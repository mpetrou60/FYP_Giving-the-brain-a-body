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University of Bath\ROBOTICS\YEAR 5\FYP\Code - Control\Pressure transducer\"/>
    </mc:Choice>
  </mc:AlternateContent>
  <xr:revisionPtr revIDLastSave="0" documentId="13_ncr:1_{633014F1-293D-4246-A44F-9C742EC1619A}" xr6:coauthVersionLast="47" xr6:coauthVersionMax="47" xr10:uidLastSave="{00000000-0000-0000-0000-000000000000}"/>
  <bookViews>
    <workbookView xWindow="-110" yWindow="-110" windowWidth="19420" windowHeight="10300" xr2:uid="{18679EE5-F0F5-4B69-A4E7-02A42BE2CCFA}"/>
  </bookViews>
  <sheets>
    <sheet name="100ml" sheetId="1" r:id="rId1"/>
    <sheet name="Stats" sheetId="4" r:id="rId2"/>
    <sheet name="10-100ml" sheetId="2" r:id="rId3"/>
    <sheet name="pump" sheetId="3" r:id="rId4"/>
  </sheets>
  <definedNames>
    <definedName name="_xlchart.v1.0" hidden="1">Stats!$A$4:$A$13</definedName>
    <definedName name="_xlchart.v1.1" hidden="1">Stats!$B$4:$B$13</definedName>
    <definedName name="_xlchart.v1.10" hidden="1">Stats!$T$2</definedName>
    <definedName name="_xlchart.v1.11" hidden="1">Stats!$T$3:$T$16</definedName>
    <definedName name="_xlchart.v1.12" hidden="1">Stats!$U$2</definedName>
    <definedName name="_xlchart.v1.13" hidden="1">Stats!$U$3:$U$16</definedName>
    <definedName name="_xlchart.v1.14" hidden="1">Stats!$V$2</definedName>
    <definedName name="_xlchart.v1.15" hidden="1">Stats!$V$3:$V$16</definedName>
    <definedName name="_xlchart.v1.16" hidden="1">Stats!$Q$18:$Q$28</definedName>
    <definedName name="_xlchart.v1.17" hidden="1">Stats!$Q$2</definedName>
    <definedName name="_xlchart.v1.18" hidden="1">Stats!$R$18:$R$28</definedName>
    <definedName name="_xlchart.v1.19" hidden="1">Stats!$R$2</definedName>
    <definedName name="_xlchart.v1.2" hidden="1">Stats!$C$4:$C$13</definedName>
    <definedName name="_xlchart.v1.20" hidden="1">Stats!$S$18:$S$28</definedName>
    <definedName name="_xlchart.v1.21" hidden="1">Stats!$S$2</definedName>
    <definedName name="_xlchart.v1.22" hidden="1">Stats!$T$18:$T$28</definedName>
    <definedName name="_xlchart.v1.23" hidden="1">Stats!$T$2</definedName>
    <definedName name="_xlchart.v1.24" hidden="1">Stats!$U$18:$U$28</definedName>
    <definedName name="_xlchart.v1.25" hidden="1">Stats!$U$2</definedName>
    <definedName name="_xlchart.v1.26" hidden="1">Stats!$V$18:$V$28</definedName>
    <definedName name="_xlchart.v1.27" hidden="1">Stats!$V$2</definedName>
    <definedName name="_xlchart.v1.3" hidden="1">Stats!$D$4:$D$13</definedName>
    <definedName name="_xlchart.v1.4" hidden="1">Stats!$Q$2</definedName>
    <definedName name="_xlchart.v1.5" hidden="1">Stats!$Q$3:$Q$16</definedName>
    <definedName name="_xlchart.v1.6" hidden="1">Stats!$R$2</definedName>
    <definedName name="_xlchart.v1.7" hidden="1">Stats!$R$3:$R$16</definedName>
    <definedName name="_xlchart.v1.8" hidden="1">Stats!$S$2</definedName>
    <definedName name="_xlchart.v1.9" hidden="1">Stats!$S$3:$S$16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5" i="3" l="1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4" i="3"/>
  <c r="AW5" i="3"/>
  <c r="AW6" i="3"/>
  <c r="AW7" i="3"/>
  <c r="AW8" i="3"/>
  <c r="AW9" i="3"/>
  <c r="AW10" i="3"/>
  <c r="AW11" i="3"/>
  <c r="V76" i="3" s="1"/>
  <c r="AW12" i="3"/>
  <c r="V85" i="3" s="1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V86" i="3" s="1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8" i="3"/>
  <c r="AO149" i="3"/>
  <c r="AO150" i="3"/>
  <c r="AO151" i="3"/>
  <c r="AO152" i="3"/>
  <c r="AO153" i="3"/>
  <c r="AO4" i="3"/>
  <c r="W91" i="3"/>
  <c r="W92" i="3"/>
  <c r="W93" i="3"/>
  <c r="W94" i="3"/>
  <c r="W95" i="3"/>
  <c r="W96" i="3"/>
  <c r="W97" i="3"/>
  <c r="W98" i="3"/>
  <c r="W99" i="3"/>
  <c r="W100" i="3"/>
  <c r="W90" i="3"/>
  <c r="CO54" i="1"/>
  <c r="CP54" i="1" s="1"/>
  <c r="CO53" i="1"/>
  <c r="CP53" i="1" s="1"/>
  <c r="CO52" i="1"/>
  <c r="CP52" i="1" s="1"/>
  <c r="CO51" i="1"/>
  <c r="CP51" i="1" s="1"/>
  <c r="CO50" i="1"/>
  <c r="CP50" i="1" s="1"/>
  <c r="CO48" i="1"/>
  <c r="CP48" i="1" s="1"/>
  <c r="CO47" i="1"/>
  <c r="CP47" i="1" s="1"/>
  <c r="CO46" i="1"/>
  <c r="CP46" i="1" s="1"/>
  <c r="CO45" i="1"/>
  <c r="CP45" i="1" s="1"/>
  <c r="CO44" i="1"/>
  <c r="CP44" i="1" s="1"/>
  <c r="BQ58" i="1"/>
  <c r="BR58" i="1" s="1"/>
  <c r="BQ57" i="1"/>
  <c r="BR57" i="1" s="1"/>
  <c r="BQ56" i="1"/>
  <c r="BR56" i="1" s="1"/>
  <c r="BQ55" i="1"/>
  <c r="BR55" i="1" s="1"/>
  <c r="BQ54" i="1"/>
  <c r="BR54" i="1" s="1"/>
  <c r="BQ52" i="1"/>
  <c r="BR52" i="1" s="1"/>
  <c r="BQ51" i="1"/>
  <c r="BR51" i="1" s="1"/>
  <c r="BQ50" i="1"/>
  <c r="BR50" i="1" s="1"/>
  <c r="BQ49" i="1"/>
  <c r="BR49" i="1" s="1"/>
  <c r="BQ48" i="1"/>
  <c r="BR48" i="1" s="1"/>
  <c r="AQ63" i="1"/>
  <c r="AR63" i="1" s="1"/>
  <c r="AQ62" i="1"/>
  <c r="AR62" i="1" s="1"/>
  <c r="AQ61" i="1"/>
  <c r="AR61" i="1" s="1"/>
  <c r="AQ60" i="1"/>
  <c r="AR60" i="1" s="1"/>
  <c r="AQ59" i="1"/>
  <c r="AR59" i="1" s="1"/>
  <c r="AQ57" i="1"/>
  <c r="AR57" i="1" s="1"/>
  <c r="AQ56" i="1"/>
  <c r="AR56" i="1" s="1"/>
  <c r="AQ55" i="1"/>
  <c r="AR55" i="1" s="1"/>
  <c r="AQ54" i="1"/>
  <c r="AR54" i="1" s="1"/>
  <c r="AQ53" i="1"/>
  <c r="AR53" i="1" s="1"/>
  <c r="Q60" i="1"/>
  <c r="R60" i="1" s="1"/>
  <c r="Q59" i="1"/>
  <c r="R59" i="1" s="1"/>
  <c r="Q58" i="1"/>
  <c r="R58" i="1" s="1"/>
  <c r="Q56" i="1"/>
  <c r="R56" i="1" s="1"/>
  <c r="Q57" i="1"/>
  <c r="R57" i="1" s="1"/>
  <c r="Q54" i="1"/>
  <c r="R54" i="1" s="1"/>
  <c r="Q53" i="1"/>
  <c r="R53" i="1" s="1"/>
  <c r="Q52" i="1"/>
  <c r="R52" i="1" s="1"/>
  <c r="Q51" i="1"/>
  <c r="R51" i="1" s="1"/>
  <c r="Q50" i="1"/>
  <c r="R50" i="1" s="1"/>
  <c r="CE5" i="2"/>
  <c r="CE4" i="2"/>
  <c r="CE3" i="2"/>
  <c r="CD5" i="2"/>
  <c r="CD4" i="2"/>
  <c r="CD3" i="2"/>
  <c r="CC5" i="2"/>
  <c r="CC4" i="2"/>
  <c r="CC3" i="2"/>
  <c r="CB5" i="2"/>
  <c r="CB4" i="2"/>
  <c r="CB3" i="2"/>
  <c r="CA5" i="2"/>
  <c r="CA4" i="2"/>
  <c r="CA3" i="2"/>
  <c r="BZ5" i="2"/>
  <c r="BZ4" i="2"/>
  <c r="BZ3" i="2"/>
  <c r="BY5" i="2"/>
  <c r="BY4" i="2"/>
  <c r="BY3" i="2"/>
  <c r="BX5" i="2"/>
  <c r="BX4" i="2"/>
  <c r="BX3" i="2"/>
  <c r="BV5" i="2"/>
  <c r="BW5" i="2"/>
  <c r="BW4" i="2"/>
  <c r="BV4" i="2"/>
  <c r="BV3" i="2"/>
  <c r="BW3" i="2"/>
  <c r="S81" i="3"/>
  <c r="BZ5" i="3"/>
  <c r="BZ6" i="3"/>
  <c r="BZ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1" i="3"/>
  <c r="BZ32" i="3"/>
  <c r="BZ33" i="3"/>
  <c r="BZ34" i="3"/>
  <c r="BZ35" i="3"/>
  <c r="BZ36" i="3"/>
  <c r="BZ37" i="3"/>
  <c r="BZ38" i="3"/>
  <c r="BZ39" i="3"/>
  <c r="BZ40" i="3"/>
  <c r="BZ41" i="3"/>
  <c r="BZ42" i="3"/>
  <c r="BZ43" i="3"/>
  <c r="BZ44" i="3"/>
  <c r="BZ45" i="3"/>
  <c r="BZ46" i="3"/>
  <c r="BZ47" i="3"/>
  <c r="BZ48" i="3"/>
  <c r="BZ49" i="3"/>
  <c r="BZ50" i="3"/>
  <c r="BZ51" i="3"/>
  <c r="BZ52" i="3"/>
  <c r="BZ53" i="3"/>
  <c r="BZ54" i="3"/>
  <c r="BZ55" i="3"/>
  <c r="BZ56" i="3"/>
  <c r="BZ57" i="3"/>
  <c r="BZ58" i="3"/>
  <c r="BZ59" i="3"/>
  <c r="BZ60" i="3"/>
  <c r="BZ61" i="3"/>
  <c r="BZ62" i="3"/>
  <c r="BZ63" i="3"/>
  <c r="BZ64" i="3"/>
  <c r="BZ65" i="3"/>
  <c r="BZ66" i="3"/>
  <c r="BZ67" i="3"/>
  <c r="BZ68" i="3"/>
  <c r="BZ69" i="3"/>
  <c r="BZ70" i="3"/>
  <c r="BZ71" i="3"/>
  <c r="BZ72" i="3"/>
  <c r="BZ73" i="3"/>
  <c r="BZ74" i="3"/>
  <c r="BZ75" i="3"/>
  <c r="BZ76" i="3"/>
  <c r="BZ77" i="3"/>
  <c r="BZ78" i="3"/>
  <c r="BZ79" i="3"/>
  <c r="BZ80" i="3"/>
  <c r="BZ81" i="3"/>
  <c r="BZ82" i="3"/>
  <c r="BZ83" i="3"/>
  <c r="BZ84" i="3"/>
  <c r="BZ85" i="3"/>
  <c r="BZ86" i="3"/>
  <c r="BZ87" i="3"/>
  <c r="BZ88" i="3"/>
  <c r="BZ89" i="3"/>
  <c r="BZ90" i="3"/>
  <c r="BZ91" i="3"/>
  <c r="BZ92" i="3"/>
  <c r="BZ93" i="3"/>
  <c r="BZ94" i="3"/>
  <c r="BZ95" i="3"/>
  <c r="BZ96" i="3"/>
  <c r="BZ97" i="3"/>
  <c r="BZ98" i="3"/>
  <c r="BZ99" i="3"/>
  <c r="BZ100" i="3"/>
  <c r="BZ101" i="3"/>
  <c r="BZ102" i="3"/>
  <c r="BZ103" i="3"/>
  <c r="BZ104" i="3"/>
  <c r="BZ105" i="3"/>
  <c r="BZ106" i="3"/>
  <c r="BZ107" i="3"/>
  <c r="BZ108" i="3"/>
  <c r="BZ109" i="3"/>
  <c r="BZ110" i="3"/>
  <c r="BZ111" i="3"/>
  <c r="BZ112" i="3"/>
  <c r="BZ113" i="3"/>
  <c r="BZ114" i="3"/>
  <c r="BZ115" i="3"/>
  <c r="BZ116" i="3"/>
  <c r="BZ117" i="3"/>
  <c r="BZ118" i="3"/>
  <c r="BZ119" i="3"/>
  <c r="BZ120" i="3"/>
  <c r="BZ121" i="3"/>
  <c r="BZ122" i="3"/>
  <c r="BZ123" i="3"/>
  <c r="BZ124" i="3"/>
  <c r="BZ125" i="3"/>
  <c r="BZ126" i="3"/>
  <c r="BZ127" i="3"/>
  <c r="BZ128" i="3"/>
  <c r="BZ129" i="3"/>
  <c r="BZ130" i="3"/>
  <c r="BZ131" i="3"/>
  <c r="BZ132" i="3"/>
  <c r="BZ133" i="3"/>
  <c r="BZ134" i="3"/>
  <c r="BZ135" i="3"/>
  <c r="BZ136" i="3"/>
  <c r="BZ137" i="3"/>
  <c r="BZ138" i="3"/>
  <c r="BZ139" i="3"/>
  <c r="BZ140" i="3"/>
  <c r="BZ141" i="3"/>
  <c r="BZ142" i="3"/>
  <c r="BZ143" i="3"/>
  <c r="BZ144" i="3"/>
  <c r="BZ145" i="3"/>
  <c r="BZ146" i="3"/>
  <c r="BZ147" i="3"/>
  <c r="BZ148" i="3"/>
  <c r="BZ149" i="3"/>
  <c r="BZ150" i="3"/>
  <c r="BZ151" i="3"/>
  <c r="BZ152" i="3"/>
  <c r="BZ153" i="3"/>
  <c r="BZ154" i="3"/>
  <c r="BZ155" i="3"/>
  <c r="BZ156" i="3"/>
  <c r="BZ157" i="3"/>
  <c r="BZ158" i="3"/>
  <c r="BZ159" i="3"/>
  <c r="BZ160" i="3"/>
  <c r="BZ161" i="3"/>
  <c r="BZ162" i="3"/>
  <c r="BZ163" i="3"/>
  <c r="BZ164" i="3"/>
  <c r="BZ165" i="3"/>
  <c r="BZ166" i="3"/>
  <c r="BZ167" i="3"/>
  <c r="BZ168" i="3"/>
  <c r="BZ169" i="3"/>
  <c r="BZ170" i="3"/>
  <c r="BZ171" i="3"/>
  <c r="BZ172" i="3"/>
  <c r="BZ173" i="3"/>
  <c r="BZ174" i="3"/>
  <c r="BZ175" i="3"/>
  <c r="BZ176" i="3"/>
  <c r="BZ177" i="3"/>
  <c r="BZ178" i="3"/>
  <c r="BZ179" i="3"/>
  <c r="BZ180" i="3"/>
  <c r="BZ181" i="3"/>
  <c r="BZ182" i="3"/>
  <c r="BZ183" i="3"/>
  <c r="BZ184" i="3"/>
  <c r="BZ185" i="3"/>
  <c r="BZ4" i="3"/>
  <c r="BX5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3" i="3"/>
  <c r="BX34" i="3"/>
  <c r="BX35" i="3"/>
  <c r="BX36" i="3"/>
  <c r="BX37" i="3"/>
  <c r="BX38" i="3"/>
  <c r="BX39" i="3"/>
  <c r="BX40" i="3"/>
  <c r="BX41" i="3"/>
  <c r="BX42" i="3"/>
  <c r="BX43" i="3"/>
  <c r="BX44" i="3"/>
  <c r="BX45" i="3"/>
  <c r="BX46" i="3"/>
  <c r="BX47" i="3"/>
  <c r="BX48" i="3"/>
  <c r="BX49" i="3"/>
  <c r="BX50" i="3"/>
  <c r="BX51" i="3"/>
  <c r="BX52" i="3"/>
  <c r="BX53" i="3"/>
  <c r="BX54" i="3"/>
  <c r="BX55" i="3"/>
  <c r="BX56" i="3"/>
  <c r="BX57" i="3"/>
  <c r="BX58" i="3"/>
  <c r="BX59" i="3"/>
  <c r="BX60" i="3"/>
  <c r="BX61" i="3"/>
  <c r="BX62" i="3"/>
  <c r="BX63" i="3"/>
  <c r="BX64" i="3"/>
  <c r="BX65" i="3"/>
  <c r="BX66" i="3"/>
  <c r="BX67" i="3"/>
  <c r="BX68" i="3"/>
  <c r="BX69" i="3"/>
  <c r="BX70" i="3"/>
  <c r="BX71" i="3"/>
  <c r="BX72" i="3"/>
  <c r="BX73" i="3"/>
  <c r="BX74" i="3"/>
  <c r="BX75" i="3"/>
  <c r="BX76" i="3"/>
  <c r="BX77" i="3"/>
  <c r="BX78" i="3"/>
  <c r="BX79" i="3"/>
  <c r="BX80" i="3"/>
  <c r="BX81" i="3"/>
  <c r="BX82" i="3"/>
  <c r="BX83" i="3"/>
  <c r="BX84" i="3"/>
  <c r="BX85" i="3"/>
  <c r="BX86" i="3"/>
  <c r="BX87" i="3"/>
  <c r="BX88" i="3"/>
  <c r="BX89" i="3"/>
  <c r="BX90" i="3"/>
  <c r="BX91" i="3"/>
  <c r="BX92" i="3"/>
  <c r="BX93" i="3"/>
  <c r="BX94" i="3"/>
  <c r="BX95" i="3"/>
  <c r="BX96" i="3"/>
  <c r="BX97" i="3"/>
  <c r="BX98" i="3"/>
  <c r="BX99" i="3"/>
  <c r="BX100" i="3"/>
  <c r="BX101" i="3"/>
  <c r="BX102" i="3"/>
  <c r="BX103" i="3"/>
  <c r="BX104" i="3"/>
  <c r="BX105" i="3"/>
  <c r="BX106" i="3"/>
  <c r="BX107" i="3"/>
  <c r="BX108" i="3"/>
  <c r="BX109" i="3"/>
  <c r="BX110" i="3"/>
  <c r="BX111" i="3"/>
  <c r="BX112" i="3"/>
  <c r="BX113" i="3"/>
  <c r="BX114" i="3"/>
  <c r="BX115" i="3"/>
  <c r="BX116" i="3"/>
  <c r="BX117" i="3"/>
  <c r="BX118" i="3"/>
  <c r="BX119" i="3"/>
  <c r="BX120" i="3"/>
  <c r="BX121" i="3"/>
  <c r="BX122" i="3"/>
  <c r="BX123" i="3"/>
  <c r="BX124" i="3"/>
  <c r="BX125" i="3"/>
  <c r="BX126" i="3"/>
  <c r="BX127" i="3"/>
  <c r="BX128" i="3"/>
  <c r="BX129" i="3"/>
  <c r="BX130" i="3"/>
  <c r="BX131" i="3"/>
  <c r="BX132" i="3"/>
  <c r="BX133" i="3"/>
  <c r="BX134" i="3"/>
  <c r="BX135" i="3"/>
  <c r="BX136" i="3"/>
  <c r="BX137" i="3"/>
  <c r="BX138" i="3"/>
  <c r="BX139" i="3"/>
  <c r="BX140" i="3"/>
  <c r="BX141" i="3"/>
  <c r="BX142" i="3"/>
  <c r="BX143" i="3"/>
  <c r="BX144" i="3"/>
  <c r="BX145" i="3"/>
  <c r="BX146" i="3"/>
  <c r="BX147" i="3"/>
  <c r="BX148" i="3"/>
  <c r="BX149" i="3"/>
  <c r="BX150" i="3"/>
  <c r="BX151" i="3"/>
  <c r="BX152" i="3"/>
  <c r="BX153" i="3"/>
  <c r="BX154" i="3"/>
  <c r="BX155" i="3"/>
  <c r="BX156" i="3"/>
  <c r="BX157" i="3"/>
  <c r="BX158" i="3"/>
  <c r="BX159" i="3"/>
  <c r="BX160" i="3"/>
  <c r="BX161" i="3"/>
  <c r="BX162" i="3"/>
  <c r="BX163" i="3"/>
  <c r="BX164" i="3"/>
  <c r="BX165" i="3"/>
  <c r="BX166" i="3"/>
  <c r="BX167" i="3"/>
  <c r="BX168" i="3"/>
  <c r="BX169" i="3"/>
  <c r="BX170" i="3"/>
  <c r="BX171" i="3"/>
  <c r="BX172" i="3"/>
  <c r="BX173" i="3"/>
  <c r="BX174" i="3"/>
  <c r="BX175" i="3"/>
  <c r="BX176" i="3"/>
  <c r="BX177" i="3"/>
  <c r="BX178" i="3"/>
  <c r="BX179" i="3"/>
  <c r="BX180" i="3"/>
  <c r="BX181" i="3"/>
  <c r="BX182" i="3"/>
  <c r="BX183" i="3"/>
  <c r="BX184" i="3"/>
  <c r="BX185" i="3"/>
  <c r="BX186" i="3"/>
  <c r="BX187" i="3"/>
  <c r="BX188" i="3"/>
  <c r="BX189" i="3"/>
  <c r="BX190" i="3"/>
  <c r="BX191" i="3"/>
  <c r="BX192" i="3"/>
  <c r="BX193" i="3"/>
  <c r="BX194" i="3"/>
  <c r="BX195" i="3"/>
  <c r="BX196" i="3"/>
  <c r="BX197" i="3"/>
  <c r="BX198" i="3"/>
  <c r="BX199" i="3"/>
  <c r="BX200" i="3"/>
  <c r="BX201" i="3"/>
  <c r="BX202" i="3"/>
  <c r="BX203" i="3"/>
  <c r="BX204" i="3"/>
  <c r="BX205" i="3"/>
  <c r="BX206" i="3"/>
  <c r="BX207" i="3"/>
  <c r="BX208" i="3"/>
  <c r="BX209" i="3"/>
  <c r="BX210" i="3"/>
  <c r="BX211" i="3"/>
  <c r="BX212" i="3"/>
  <c r="BX213" i="3"/>
  <c r="BX214" i="3"/>
  <c r="BX215" i="3"/>
  <c r="BX216" i="3"/>
  <c r="BX217" i="3"/>
  <c r="BX218" i="3"/>
  <c r="BX219" i="3"/>
  <c r="BX220" i="3"/>
  <c r="BX221" i="3"/>
  <c r="BX222" i="3"/>
  <c r="BX223" i="3"/>
  <c r="BX224" i="3"/>
  <c r="BX225" i="3"/>
  <c r="BX226" i="3"/>
  <c r="BX227" i="3"/>
  <c r="BX228" i="3"/>
  <c r="BX229" i="3"/>
  <c r="BX230" i="3"/>
  <c r="BX231" i="3"/>
  <c r="BX232" i="3"/>
  <c r="BX233" i="3"/>
  <c r="BX234" i="3"/>
  <c r="BX235" i="3"/>
  <c r="BX4" i="3"/>
  <c r="BV5" i="3"/>
  <c r="BV6" i="3"/>
  <c r="BV7" i="3"/>
  <c r="BV8" i="3"/>
  <c r="BV9" i="3"/>
  <c r="BV10" i="3"/>
  <c r="BV11" i="3"/>
  <c r="BV12" i="3"/>
  <c r="BV13" i="3"/>
  <c r="BV14" i="3"/>
  <c r="BV15" i="3"/>
  <c r="BV16" i="3"/>
  <c r="BV17" i="3"/>
  <c r="BV18" i="3"/>
  <c r="BV19" i="3"/>
  <c r="BV20" i="3"/>
  <c r="BV21" i="3"/>
  <c r="BV22" i="3"/>
  <c r="BV23" i="3"/>
  <c r="BV24" i="3"/>
  <c r="BV25" i="3"/>
  <c r="BV26" i="3"/>
  <c r="BV27" i="3"/>
  <c r="BV28" i="3"/>
  <c r="BV29" i="3"/>
  <c r="BV30" i="3"/>
  <c r="BV31" i="3"/>
  <c r="BV32" i="3"/>
  <c r="BV33" i="3"/>
  <c r="BV34" i="3"/>
  <c r="BV35" i="3"/>
  <c r="BV36" i="3"/>
  <c r="BV37" i="3"/>
  <c r="BV38" i="3"/>
  <c r="BV39" i="3"/>
  <c r="BV40" i="3"/>
  <c r="BV41" i="3"/>
  <c r="BV42" i="3"/>
  <c r="BV43" i="3"/>
  <c r="BV44" i="3"/>
  <c r="BV45" i="3"/>
  <c r="BV46" i="3"/>
  <c r="BV47" i="3"/>
  <c r="BV48" i="3"/>
  <c r="BV49" i="3"/>
  <c r="BV50" i="3"/>
  <c r="BV51" i="3"/>
  <c r="BV52" i="3"/>
  <c r="BV53" i="3"/>
  <c r="BV54" i="3"/>
  <c r="BV55" i="3"/>
  <c r="BV56" i="3"/>
  <c r="BV57" i="3"/>
  <c r="BV58" i="3"/>
  <c r="BV59" i="3"/>
  <c r="BV60" i="3"/>
  <c r="BV61" i="3"/>
  <c r="BV62" i="3"/>
  <c r="BV63" i="3"/>
  <c r="BV64" i="3"/>
  <c r="BV65" i="3"/>
  <c r="BV66" i="3"/>
  <c r="BV67" i="3"/>
  <c r="BV68" i="3"/>
  <c r="BV69" i="3"/>
  <c r="BV70" i="3"/>
  <c r="BV71" i="3"/>
  <c r="BV72" i="3"/>
  <c r="BV73" i="3"/>
  <c r="BV74" i="3"/>
  <c r="BV75" i="3"/>
  <c r="BV76" i="3"/>
  <c r="BV77" i="3"/>
  <c r="BV78" i="3"/>
  <c r="BV79" i="3"/>
  <c r="BV80" i="3"/>
  <c r="BV81" i="3"/>
  <c r="BV82" i="3"/>
  <c r="BV83" i="3"/>
  <c r="BV84" i="3"/>
  <c r="BV85" i="3"/>
  <c r="BV86" i="3"/>
  <c r="BV87" i="3"/>
  <c r="BV88" i="3"/>
  <c r="BV89" i="3"/>
  <c r="BV90" i="3"/>
  <c r="BV91" i="3"/>
  <c r="BV92" i="3"/>
  <c r="BV93" i="3"/>
  <c r="BV94" i="3"/>
  <c r="BV95" i="3"/>
  <c r="BV96" i="3"/>
  <c r="BV97" i="3"/>
  <c r="BV98" i="3"/>
  <c r="BV99" i="3"/>
  <c r="BV100" i="3"/>
  <c r="BV101" i="3"/>
  <c r="BV102" i="3"/>
  <c r="BV103" i="3"/>
  <c r="BV104" i="3"/>
  <c r="BV105" i="3"/>
  <c r="BV106" i="3"/>
  <c r="BV107" i="3"/>
  <c r="BV108" i="3"/>
  <c r="BV109" i="3"/>
  <c r="BV110" i="3"/>
  <c r="BV111" i="3"/>
  <c r="BV112" i="3"/>
  <c r="BV113" i="3"/>
  <c r="BV114" i="3"/>
  <c r="BV115" i="3"/>
  <c r="BV116" i="3"/>
  <c r="BV117" i="3"/>
  <c r="BV118" i="3"/>
  <c r="BV119" i="3"/>
  <c r="BV120" i="3"/>
  <c r="BV121" i="3"/>
  <c r="BV122" i="3"/>
  <c r="BV123" i="3"/>
  <c r="BV124" i="3"/>
  <c r="BV125" i="3"/>
  <c r="BV126" i="3"/>
  <c r="BV127" i="3"/>
  <c r="BV128" i="3"/>
  <c r="BV129" i="3"/>
  <c r="BV130" i="3"/>
  <c r="BV131" i="3"/>
  <c r="BV132" i="3"/>
  <c r="BV133" i="3"/>
  <c r="BV134" i="3"/>
  <c r="BV135" i="3"/>
  <c r="BV136" i="3"/>
  <c r="BV137" i="3"/>
  <c r="BV138" i="3"/>
  <c r="BV139" i="3"/>
  <c r="BV140" i="3"/>
  <c r="BV141" i="3"/>
  <c r="BV142" i="3"/>
  <c r="BV143" i="3"/>
  <c r="BV144" i="3"/>
  <c r="BV145" i="3"/>
  <c r="BV146" i="3"/>
  <c r="BV147" i="3"/>
  <c r="BV148" i="3"/>
  <c r="BV149" i="3"/>
  <c r="BV150" i="3"/>
  <c r="BV151" i="3"/>
  <c r="BV152" i="3"/>
  <c r="BV153" i="3"/>
  <c r="BV154" i="3"/>
  <c r="BV155" i="3"/>
  <c r="BV156" i="3"/>
  <c r="BV157" i="3"/>
  <c r="BV158" i="3"/>
  <c r="BV159" i="3"/>
  <c r="BV160" i="3"/>
  <c r="BV161" i="3"/>
  <c r="BV162" i="3"/>
  <c r="BV163" i="3"/>
  <c r="BV164" i="3"/>
  <c r="BV165" i="3"/>
  <c r="BV166" i="3"/>
  <c r="BV167" i="3"/>
  <c r="BV168" i="3"/>
  <c r="BV169" i="3"/>
  <c r="BV170" i="3"/>
  <c r="BV171" i="3"/>
  <c r="BV172" i="3"/>
  <c r="BV173" i="3"/>
  <c r="BV174" i="3"/>
  <c r="BV175" i="3"/>
  <c r="BV176" i="3"/>
  <c r="BV177" i="3"/>
  <c r="BV178" i="3"/>
  <c r="BV179" i="3"/>
  <c r="BV180" i="3"/>
  <c r="BV181" i="3"/>
  <c r="BV182" i="3"/>
  <c r="BV183" i="3"/>
  <c r="BV184" i="3"/>
  <c r="BV185" i="3"/>
  <c r="BV186" i="3"/>
  <c r="BV187" i="3"/>
  <c r="BV188" i="3"/>
  <c r="BV189" i="3"/>
  <c r="BV190" i="3"/>
  <c r="BV191" i="3"/>
  <c r="BV192" i="3"/>
  <c r="BV193" i="3"/>
  <c r="BV194" i="3"/>
  <c r="BV195" i="3"/>
  <c r="BV196" i="3"/>
  <c r="BV197" i="3"/>
  <c r="BV198" i="3"/>
  <c r="BV199" i="3"/>
  <c r="BV200" i="3"/>
  <c r="BV201" i="3"/>
  <c r="BV202" i="3"/>
  <c r="BV203" i="3"/>
  <c r="BV204" i="3"/>
  <c r="BV205" i="3"/>
  <c r="BV206" i="3"/>
  <c r="BV207" i="3"/>
  <c r="BV208" i="3"/>
  <c r="BV209" i="3"/>
  <c r="BV210" i="3"/>
  <c r="BV211" i="3"/>
  <c r="BV212" i="3"/>
  <c r="BV213" i="3"/>
  <c r="BV214" i="3"/>
  <c r="BV215" i="3"/>
  <c r="BV216" i="3"/>
  <c r="BV217" i="3"/>
  <c r="BV218" i="3"/>
  <c r="BV219" i="3"/>
  <c r="BV220" i="3"/>
  <c r="BV221" i="3"/>
  <c r="BV222" i="3"/>
  <c r="BV223" i="3"/>
  <c r="BV224" i="3"/>
  <c r="BV225" i="3"/>
  <c r="BV226" i="3"/>
  <c r="BV227" i="3"/>
  <c r="BV228" i="3"/>
  <c r="BV229" i="3"/>
  <c r="BV230" i="3"/>
  <c r="BV231" i="3"/>
  <c r="BV232" i="3"/>
  <c r="BV4" i="3"/>
  <c r="BT5" i="3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T70" i="3"/>
  <c r="BT71" i="3"/>
  <c r="BT72" i="3"/>
  <c r="BT73" i="3"/>
  <c r="BT74" i="3"/>
  <c r="BT75" i="3"/>
  <c r="BT76" i="3"/>
  <c r="BT77" i="3"/>
  <c r="BT78" i="3"/>
  <c r="BT79" i="3"/>
  <c r="BT80" i="3"/>
  <c r="BT81" i="3"/>
  <c r="BT82" i="3"/>
  <c r="BT83" i="3"/>
  <c r="BT84" i="3"/>
  <c r="BT85" i="3"/>
  <c r="BT86" i="3"/>
  <c r="BT87" i="3"/>
  <c r="BT88" i="3"/>
  <c r="BT89" i="3"/>
  <c r="BT90" i="3"/>
  <c r="BT91" i="3"/>
  <c r="BT92" i="3"/>
  <c r="BT93" i="3"/>
  <c r="BT94" i="3"/>
  <c r="BT95" i="3"/>
  <c r="BT96" i="3"/>
  <c r="BT97" i="3"/>
  <c r="BT98" i="3"/>
  <c r="BT99" i="3"/>
  <c r="BT100" i="3"/>
  <c r="BT101" i="3"/>
  <c r="BT102" i="3"/>
  <c r="BT103" i="3"/>
  <c r="BT104" i="3"/>
  <c r="BT105" i="3"/>
  <c r="BT106" i="3"/>
  <c r="BT107" i="3"/>
  <c r="BT108" i="3"/>
  <c r="BT109" i="3"/>
  <c r="BT110" i="3"/>
  <c r="BT111" i="3"/>
  <c r="BT112" i="3"/>
  <c r="BT113" i="3"/>
  <c r="BT114" i="3"/>
  <c r="BT115" i="3"/>
  <c r="BT116" i="3"/>
  <c r="BT117" i="3"/>
  <c r="BT118" i="3"/>
  <c r="BT119" i="3"/>
  <c r="BT120" i="3"/>
  <c r="BT121" i="3"/>
  <c r="BT122" i="3"/>
  <c r="BT123" i="3"/>
  <c r="BT124" i="3"/>
  <c r="BT125" i="3"/>
  <c r="BT126" i="3"/>
  <c r="BT127" i="3"/>
  <c r="BT128" i="3"/>
  <c r="BT129" i="3"/>
  <c r="BT130" i="3"/>
  <c r="BT131" i="3"/>
  <c r="BT132" i="3"/>
  <c r="BT133" i="3"/>
  <c r="BT134" i="3"/>
  <c r="BT135" i="3"/>
  <c r="BT136" i="3"/>
  <c r="BT137" i="3"/>
  <c r="BT138" i="3"/>
  <c r="BT139" i="3"/>
  <c r="BT140" i="3"/>
  <c r="BT141" i="3"/>
  <c r="BT142" i="3"/>
  <c r="BT143" i="3"/>
  <c r="BT144" i="3"/>
  <c r="BT145" i="3"/>
  <c r="BT146" i="3"/>
  <c r="BT147" i="3"/>
  <c r="BT148" i="3"/>
  <c r="BT149" i="3"/>
  <c r="BT150" i="3"/>
  <c r="BT151" i="3"/>
  <c r="BT152" i="3"/>
  <c r="BT153" i="3"/>
  <c r="BT154" i="3"/>
  <c r="BT155" i="3"/>
  <c r="BT156" i="3"/>
  <c r="BT157" i="3"/>
  <c r="BT158" i="3"/>
  <c r="BT159" i="3"/>
  <c r="BT160" i="3"/>
  <c r="BT161" i="3"/>
  <c r="BT162" i="3"/>
  <c r="BT163" i="3"/>
  <c r="BT164" i="3"/>
  <c r="BT165" i="3"/>
  <c r="BT166" i="3"/>
  <c r="BT167" i="3"/>
  <c r="BT168" i="3"/>
  <c r="BT169" i="3"/>
  <c r="BT170" i="3"/>
  <c r="BT171" i="3"/>
  <c r="BT172" i="3"/>
  <c r="BT173" i="3"/>
  <c r="BT174" i="3"/>
  <c r="BT175" i="3"/>
  <c r="BT176" i="3"/>
  <c r="BT177" i="3"/>
  <c r="BT178" i="3"/>
  <c r="BT179" i="3"/>
  <c r="BT180" i="3"/>
  <c r="BT181" i="3"/>
  <c r="BT182" i="3"/>
  <c r="BT183" i="3"/>
  <c r="BT184" i="3"/>
  <c r="BT185" i="3"/>
  <c r="BT186" i="3"/>
  <c r="BT187" i="3"/>
  <c r="BT188" i="3"/>
  <c r="BT189" i="3"/>
  <c r="BT190" i="3"/>
  <c r="BT191" i="3"/>
  <c r="BT192" i="3"/>
  <c r="BT193" i="3"/>
  <c r="BT194" i="3"/>
  <c r="BT195" i="3"/>
  <c r="BT196" i="3"/>
  <c r="BT197" i="3"/>
  <c r="BT198" i="3"/>
  <c r="BT199" i="3"/>
  <c r="BT200" i="3"/>
  <c r="BT201" i="3"/>
  <c r="BT202" i="3"/>
  <c r="BT203" i="3"/>
  <c r="BT4" i="3"/>
  <c r="BR5" i="3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40" i="3"/>
  <c r="BR41" i="3"/>
  <c r="BR42" i="3"/>
  <c r="BR43" i="3"/>
  <c r="BR44" i="3"/>
  <c r="BR45" i="3"/>
  <c r="BR46" i="3"/>
  <c r="BR47" i="3"/>
  <c r="BR48" i="3"/>
  <c r="BR49" i="3"/>
  <c r="BR50" i="3"/>
  <c r="BR51" i="3"/>
  <c r="BR52" i="3"/>
  <c r="BR53" i="3"/>
  <c r="BR54" i="3"/>
  <c r="BR55" i="3"/>
  <c r="BR56" i="3"/>
  <c r="BR57" i="3"/>
  <c r="BR58" i="3"/>
  <c r="BR59" i="3"/>
  <c r="BR60" i="3"/>
  <c r="BR61" i="3"/>
  <c r="BR62" i="3"/>
  <c r="BR63" i="3"/>
  <c r="BR64" i="3"/>
  <c r="BR65" i="3"/>
  <c r="BR66" i="3"/>
  <c r="BR67" i="3"/>
  <c r="BR68" i="3"/>
  <c r="BR69" i="3"/>
  <c r="BR70" i="3"/>
  <c r="BR71" i="3"/>
  <c r="BR72" i="3"/>
  <c r="BR73" i="3"/>
  <c r="BR74" i="3"/>
  <c r="BR75" i="3"/>
  <c r="BR76" i="3"/>
  <c r="BR77" i="3"/>
  <c r="BR78" i="3"/>
  <c r="BR79" i="3"/>
  <c r="BR80" i="3"/>
  <c r="BR81" i="3"/>
  <c r="BR82" i="3"/>
  <c r="BR83" i="3"/>
  <c r="BR84" i="3"/>
  <c r="BR85" i="3"/>
  <c r="BR86" i="3"/>
  <c r="BR87" i="3"/>
  <c r="BR88" i="3"/>
  <c r="BR89" i="3"/>
  <c r="BR90" i="3"/>
  <c r="BR91" i="3"/>
  <c r="BR92" i="3"/>
  <c r="BR93" i="3"/>
  <c r="BR94" i="3"/>
  <c r="BR95" i="3"/>
  <c r="BR96" i="3"/>
  <c r="BR97" i="3"/>
  <c r="BR98" i="3"/>
  <c r="BR99" i="3"/>
  <c r="BR100" i="3"/>
  <c r="BR101" i="3"/>
  <c r="BR102" i="3"/>
  <c r="BR103" i="3"/>
  <c r="BR104" i="3"/>
  <c r="BR105" i="3"/>
  <c r="BR106" i="3"/>
  <c r="BR107" i="3"/>
  <c r="BR108" i="3"/>
  <c r="BR109" i="3"/>
  <c r="BR110" i="3"/>
  <c r="BR111" i="3"/>
  <c r="BR112" i="3"/>
  <c r="BR113" i="3"/>
  <c r="BR114" i="3"/>
  <c r="BR115" i="3"/>
  <c r="BR116" i="3"/>
  <c r="BR117" i="3"/>
  <c r="BR118" i="3"/>
  <c r="BR119" i="3"/>
  <c r="BR120" i="3"/>
  <c r="BR121" i="3"/>
  <c r="BR122" i="3"/>
  <c r="BR123" i="3"/>
  <c r="BR124" i="3"/>
  <c r="BR125" i="3"/>
  <c r="BR126" i="3"/>
  <c r="BR127" i="3"/>
  <c r="BR128" i="3"/>
  <c r="BR129" i="3"/>
  <c r="BR130" i="3"/>
  <c r="BR131" i="3"/>
  <c r="BR132" i="3"/>
  <c r="BR133" i="3"/>
  <c r="S100" i="3" s="1"/>
  <c r="BR134" i="3"/>
  <c r="BR135" i="3"/>
  <c r="BR136" i="3"/>
  <c r="BR137" i="3"/>
  <c r="BR138" i="3"/>
  <c r="BR139" i="3"/>
  <c r="S92" i="3" s="1"/>
  <c r="BR140" i="3"/>
  <c r="BR141" i="3"/>
  <c r="BR142" i="3"/>
  <c r="BR143" i="3"/>
  <c r="BR144" i="3"/>
  <c r="BR145" i="3"/>
  <c r="BR146" i="3"/>
  <c r="BR147" i="3"/>
  <c r="BR148" i="3"/>
  <c r="BR149" i="3"/>
  <c r="BR150" i="3"/>
  <c r="BR151" i="3"/>
  <c r="BR152" i="3"/>
  <c r="BR153" i="3"/>
  <c r="BR154" i="3"/>
  <c r="BR155" i="3"/>
  <c r="BR156" i="3"/>
  <c r="BR157" i="3"/>
  <c r="BR158" i="3"/>
  <c r="BR159" i="3"/>
  <c r="BR160" i="3"/>
  <c r="BR161" i="3"/>
  <c r="BR162" i="3"/>
  <c r="BR163" i="3"/>
  <c r="BR164" i="3"/>
  <c r="BR165" i="3"/>
  <c r="BR166" i="3"/>
  <c r="BR167" i="3"/>
  <c r="BR168" i="3"/>
  <c r="BR169" i="3"/>
  <c r="BR170" i="3"/>
  <c r="BR171" i="3"/>
  <c r="BR172" i="3"/>
  <c r="BR173" i="3"/>
  <c r="BR174" i="3"/>
  <c r="BR175" i="3"/>
  <c r="BR176" i="3"/>
  <c r="BR177" i="3"/>
  <c r="BR178" i="3"/>
  <c r="BR179" i="3"/>
  <c r="BR180" i="3"/>
  <c r="BR181" i="3"/>
  <c r="BR182" i="3"/>
  <c r="BR183" i="3"/>
  <c r="BR184" i="3"/>
  <c r="BR185" i="3"/>
  <c r="BR186" i="3"/>
  <c r="BR187" i="3"/>
  <c r="BR188" i="3"/>
  <c r="BR189" i="3"/>
  <c r="BR190" i="3"/>
  <c r="BR191" i="3"/>
  <c r="BR192" i="3"/>
  <c r="BR193" i="3"/>
  <c r="BR194" i="3"/>
  <c r="BR195" i="3"/>
  <c r="BR196" i="3"/>
  <c r="BR197" i="3"/>
  <c r="BR198" i="3"/>
  <c r="BR199" i="3"/>
  <c r="BR200" i="3"/>
  <c r="BR201" i="3"/>
  <c r="BR202" i="3"/>
  <c r="BR203" i="3"/>
  <c r="BR204" i="3"/>
  <c r="BR205" i="3"/>
  <c r="BR206" i="3"/>
  <c r="BR207" i="3"/>
  <c r="BR208" i="3"/>
  <c r="BR209" i="3"/>
  <c r="BR210" i="3"/>
  <c r="BR211" i="3"/>
  <c r="BR212" i="3"/>
  <c r="BR213" i="3"/>
  <c r="BR214" i="3"/>
  <c r="BR215" i="3"/>
  <c r="BR216" i="3"/>
  <c r="BR217" i="3"/>
  <c r="BR218" i="3"/>
  <c r="BR219" i="3"/>
  <c r="BR220" i="3"/>
  <c r="BR221" i="3"/>
  <c r="BR222" i="3"/>
  <c r="BR223" i="3"/>
  <c r="BR224" i="3"/>
  <c r="BR225" i="3"/>
  <c r="BR226" i="3"/>
  <c r="BR227" i="3"/>
  <c r="BR228" i="3"/>
  <c r="BR229" i="3"/>
  <c r="BR230" i="3"/>
  <c r="BR231" i="3"/>
  <c r="BR232" i="3"/>
  <c r="BR233" i="3"/>
  <c r="BR234" i="3"/>
  <c r="BR235" i="3"/>
  <c r="BR236" i="3"/>
  <c r="BR237" i="3"/>
  <c r="BR238" i="3"/>
  <c r="BR239" i="3"/>
  <c r="BR240" i="3"/>
  <c r="BR241" i="3"/>
  <c r="BR242" i="3"/>
  <c r="BR243" i="3"/>
  <c r="BR244" i="3"/>
  <c r="BR245" i="3"/>
  <c r="BR246" i="3"/>
  <c r="BR4" i="3"/>
  <c r="BP5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BP108" i="3"/>
  <c r="BP109" i="3"/>
  <c r="BP110" i="3"/>
  <c r="BP111" i="3"/>
  <c r="BP112" i="3"/>
  <c r="BP113" i="3"/>
  <c r="BP114" i="3"/>
  <c r="BP115" i="3"/>
  <c r="BP116" i="3"/>
  <c r="BP117" i="3"/>
  <c r="BP118" i="3"/>
  <c r="BP119" i="3"/>
  <c r="BP120" i="3"/>
  <c r="BP121" i="3"/>
  <c r="BP122" i="3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P136" i="3"/>
  <c r="R95" i="3" s="1"/>
  <c r="BP137" i="3"/>
  <c r="BP138" i="3"/>
  <c r="BP139" i="3"/>
  <c r="BP140" i="3"/>
  <c r="BP141" i="3"/>
  <c r="BP142" i="3"/>
  <c r="BP143" i="3"/>
  <c r="BP144" i="3"/>
  <c r="BP145" i="3"/>
  <c r="BP146" i="3"/>
  <c r="BP147" i="3"/>
  <c r="BP148" i="3"/>
  <c r="BP149" i="3"/>
  <c r="BP150" i="3"/>
  <c r="BP151" i="3"/>
  <c r="BP152" i="3"/>
  <c r="BP153" i="3"/>
  <c r="BP154" i="3"/>
  <c r="BP155" i="3"/>
  <c r="BP156" i="3"/>
  <c r="BP157" i="3"/>
  <c r="BP158" i="3"/>
  <c r="BP159" i="3"/>
  <c r="BP160" i="3"/>
  <c r="BP161" i="3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BP177" i="3"/>
  <c r="BP178" i="3"/>
  <c r="BP179" i="3"/>
  <c r="BP180" i="3"/>
  <c r="BP181" i="3"/>
  <c r="BP182" i="3"/>
  <c r="BP183" i="3"/>
  <c r="BP184" i="3"/>
  <c r="BP185" i="3"/>
  <c r="BP186" i="3"/>
  <c r="BP187" i="3"/>
  <c r="BP188" i="3"/>
  <c r="BP189" i="3"/>
  <c r="BP190" i="3"/>
  <c r="BP191" i="3"/>
  <c r="BP192" i="3"/>
  <c r="BP193" i="3"/>
  <c r="BP194" i="3"/>
  <c r="BP195" i="3"/>
  <c r="BP196" i="3"/>
  <c r="BP197" i="3"/>
  <c r="BP198" i="3"/>
  <c r="BP199" i="3"/>
  <c r="BP200" i="3"/>
  <c r="BP201" i="3"/>
  <c r="BP202" i="3"/>
  <c r="BP203" i="3"/>
  <c r="BP4" i="3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3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E102" i="2"/>
  <c r="BE103" i="2"/>
  <c r="BE104" i="2"/>
  <c r="BE105" i="2"/>
  <c r="BE106" i="2"/>
  <c r="BE107" i="2"/>
  <c r="BE108" i="2"/>
  <c r="BE109" i="2"/>
  <c r="BE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108" i="2"/>
  <c r="BC109" i="2"/>
  <c r="BC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3" i="2"/>
  <c r="AJ4" i="3"/>
  <c r="AK4" i="3" s="1"/>
  <c r="AJ5" i="3"/>
  <c r="AK5" i="3" s="1"/>
  <c r="AJ6" i="3"/>
  <c r="AK6" i="3" s="1"/>
  <c r="AJ7" i="3"/>
  <c r="AK7" i="3" s="1"/>
  <c r="AJ8" i="3"/>
  <c r="AK8" i="3" s="1"/>
  <c r="AJ9" i="3"/>
  <c r="AK9" i="3" s="1"/>
  <c r="AJ3" i="3"/>
  <c r="AK3" i="3" s="1"/>
  <c r="W81" i="3" l="1"/>
  <c r="V84" i="3"/>
  <c r="V83" i="3"/>
  <c r="V82" i="3"/>
  <c r="V75" i="3"/>
  <c r="V81" i="3"/>
  <c r="V88" i="3"/>
  <c r="V79" i="3"/>
  <c r="V77" i="3"/>
  <c r="V87" i="3"/>
  <c r="V80" i="3"/>
  <c r="V78" i="3"/>
  <c r="T95" i="3"/>
  <c r="U98" i="3"/>
  <c r="V90" i="3"/>
  <c r="U93" i="3"/>
  <c r="R100" i="3"/>
  <c r="V96" i="3"/>
  <c r="S95" i="3"/>
  <c r="T98" i="3"/>
  <c r="R97" i="3"/>
  <c r="R99" i="3"/>
  <c r="S94" i="3"/>
  <c r="T97" i="3"/>
  <c r="U100" i="3"/>
  <c r="U92" i="3"/>
  <c r="V95" i="3"/>
  <c r="R96" i="3"/>
  <c r="S90" i="3"/>
  <c r="S93" i="3"/>
  <c r="T96" i="3"/>
  <c r="U99" i="3"/>
  <c r="U91" i="3"/>
  <c r="V94" i="3"/>
  <c r="V93" i="3"/>
  <c r="R94" i="3"/>
  <c r="S99" i="3"/>
  <c r="S91" i="3"/>
  <c r="T94" i="3"/>
  <c r="U97" i="3"/>
  <c r="V100" i="3"/>
  <c r="V92" i="3"/>
  <c r="R93" i="3"/>
  <c r="S98" i="3"/>
  <c r="T90" i="3"/>
  <c r="T93" i="3"/>
  <c r="U96" i="3"/>
  <c r="V99" i="3"/>
  <c r="V91" i="3"/>
  <c r="R92" i="3"/>
  <c r="S97" i="3"/>
  <c r="T100" i="3"/>
  <c r="T92" i="3"/>
  <c r="U95" i="3"/>
  <c r="V98" i="3"/>
  <c r="R90" i="3"/>
  <c r="R91" i="3"/>
  <c r="S96" i="3"/>
  <c r="T99" i="3"/>
  <c r="T91" i="3"/>
  <c r="U94" i="3"/>
  <c r="V97" i="3"/>
  <c r="R98" i="3"/>
  <c r="U90" i="3"/>
  <c r="T79" i="3"/>
  <c r="R78" i="3"/>
  <c r="U77" i="3"/>
  <c r="R77" i="3"/>
  <c r="S80" i="3"/>
  <c r="T86" i="3"/>
  <c r="U76" i="3"/>
  <c r="W88" i="3"/>
  <c r="W80" i="3"/>
  <c r="R88" i="3"/>
  <c r="S88" i="3"/>
  <c r="T78" i="3"/>
  <c r="U84" i="3"/>
  <c r="R76" i="3"/>
  <c r="S87" i="3"/>
  <c r="S79" i="3"/>
  <c r="T85" i="3"/>
  <c r="T77" i="3"/>
  <c r="U83" i="3"/>
  <c r="W87" i="3"/>
  <c r="W79" i="3"/>
  <c r="R75" i="3"/>
  <c r="R87" i="3"/>
  <c r="S86" i="3"/>
  <c r="S78" i="3"/>
  <c r="T84" i="3"/>
  <c r="T76" i="3"/>
  <c r="U82" i="3"/>
  <c r="W86" i="3"/>
  <c r="W78" i="3"/>
  <c r="R82" i="3"/>
  <c r="R86" i="3"/>
  <c r="S85" i="3"/>
  <c r="S77" i="3"/>
  <c r="T83" i="3"/>
  <c r="U75" i="3"/>
  <c r="U81" i="3"/>
  <c r="W85" i="3"/>
  <c r="W77" i="3"/>
  <c r="R81" i="3"/>
  <c r="R85" i="3"/>
  <c r="S84" i="3"/>
  <c r="S76" i="3"/>
  <c r="T82" i="3"/>
  <c r="U88" i="3"/>
  <c r="U80" i="3"/>
  <c r="W84" i="3"/>
  <c r="W76" i="3"/>
  <c r="R80" i="3"/>
  <c r="R84" i="3"/>
  <c r="S83" i="3"/>
  <c r="T75" i="3"/>
  <c r="T81" i="3"/>
  <c r="U87" i="3"/>
  <c r="U79" i="3"/>
  <c r="W83" i="3"/>
  <c r="R79" i="3"/>
  <c r="R83" i="3"/>
  <c r="S82" i="3"/>
  <c r="T88" i="3"/>
  <c r="T80" i="3"/>
  <c r="U86" i="3"/>
  <c r="U78" i="3"/>
  <c r="W82" i="3"/>
  <c r="S75" i="3"/>
  <c r="T87" i="3"/>
  <c r="U85" i="3"/>
  <c r="W75" i="3"/>
</calcChain>
</file>

<file path=xl/sharedStrings.xml><?xml version="1.0" encoding="utf-8"?>
<sst xmlns="http://schemas.openxmlformats.org/spreadsheetml/2006/main" count="174" uniqueCount="45">
  <si>
    <t>Readings:</t>
  </si>
  <si>
    <t xml:space="preserve">HX711 Pressure Measurements - Bubbles Right Pressure and vacuum </t>
  </si>
  <si>
    <t xml:space="preserve">HX711 Pressure Measurements - Bubbles Left Pressure and vacuum </t>
  </si>
  <si>
    <t>HX711 Pressure Measurements - Bubbles Left Pressure</t>
  </si>
  <si>
    <t xml:space="preserve">HX711 Pressure Measurements - Ripper Left Pressure and vacuum </t>
  </si>
  <si>
    <t>HX711 Pressure Measurements - Ripper Left Pressure</t>
  </si>
  <si>
    <t xml:space="preserve">HX711 Pressure Measurements - Ripper Right Pressure and vacuum </t>
  </si>
  <si>
    <t>10ml</t>
  </si>
  <si>
    <t>20ml</t>
  </si>
  <si>
    <t>30ml</t>
  </si>
  <si>
    <t>40ml</t>
  </si>
  <si>
    <t>50ml</t>
  </si>
  <si>
    <t>60ml</t>
  </si>
  <si>
    <t>70ml</t>
  </si>
  <si>
    <t>80ml</t>
  </si>
  <si>
    <t>90ml</t>
  </si>
  <si>
    <t>100ml</t>
  </si>
  <si>
    <t xml:space="preserve">HX711 Pressure Measurements - Ripper Right Pressure </t>
  </si>
  <si>
    <t>HX711 Pressure Measurements - Bubbles Right Pressure</t>
  </si>
  <si>
    <t>4V</t>
  </si>
  <si>
    <t xml:space="preserve">2V </t>
  </si>
  <si>
    <t>6V</t>
  </si>
  <si>
    <t>8V</t>
  </si>
  <si>
    <t>10V</t>
  </si>
  <si>
    <t>12V</t>
  </si>
  <si>
    <t xml:space="preserve">Bubbles left  varying voltage  </t>
  </si>
  <si>
    <t>on 500 delay off 500 delay</t>
  </si>
  <si>
    <t xml:space="preserve">Bubbles right  varying voltage  </t>
  </si>
  <si>
    <t>V</t>
  </si>
  <si>
    <t>psi</t>
  </si>
  <si>
    <t>kpa</t>
  </si>
  <si>
    <t>pressure conversion table</t>
  </si>
  <si>
    <t>2V kpa</t>
  </si>
  <si>
    <t>4V kpa</t>
  </si>
  <si>
    <t>6V kpa</t>
  </si>
  <si>
    <t>8V kpa</t>
  </si>
  <si>
    <t>10V kpa</t>
  </si>
  <si>
    <t>12V kpa</t>
  </si>
  <si>
    <t>collected values are in mmHg</t>
  </si>
  <si>
    <t>to convert to Pa multiply by 133.33 (for kpa multiply by 0.13333)</t>
  </si>
  <si>
    <t>Statistical Analysis - max values</t>
  </si>
  <si>
    <t>Ripper Right</t>
  </si>
  <si>
    <t>Ripper Left</t>
  </si>
  <si>
    <t>Bubbles Right</t>
  </si>
  <si>
    <t>Bubbles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</si>
</sst>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118"/>
      <name val="Nuni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HX711 Pressure Measurements - Bubbles Right Pressure and vacuum 100ml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'100ml'!$B$1</c:f>
              <c:strCache>
                <c:ptCount val="1"/>
                <c:pt idx="0">
                  <c:v>HX711 Pressure Measurements - Ripper Right Pressure and vacuum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'100ml'!$A$3:$A$224</c:f>
              <c:numCache>
                <c:formatCode>General</c:formatCode>
                <c:ptCount val="2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</c:numCache>
            </c:numRef>
          </c:xVal>
          <c:yVal>
            <c:numRef>
              <c:f>'100ml'!$B$3:$B$224</c:f>
              <c:numCache>
                <c:formatCode>General</c:formatCode>
                <c:ptCount val="222"/>
                <c:pt idx="0">
                  <c:v>-0.3</c:v>
                </c:pt>
                <c:pt idx="1">
                  <c:v>-0.4</c:v>
                </c:pt>
                <c:pt idx="2">
                  <c:v>-1.1000000000000001</c:v>
                </c:pt>
                <c:pt idx="3">
                  <c:v>-4.5999999999999996</c:v>
                </c:pt>
                <c:pt idx="4">
                  <c:v>-15</c:v>
                </c:pt>
                <c:pt idx="5">
                  <c:v>-38.799999999999997</c:v>
                </c:pt>
                <c:pt idx="6">
                  <c:v>-68.3</c:v>
                </c:pt>
                <c:pt idx="7">
                  <c:v>-86.9</c:v>
                </c:pt>
                <c:pt idx="8">
                  <c:v>-102.7</c:v>
                </c:pt>
                <c:pt idx="9">
                  <c:v>-122.9</c:v>
                </c:pt>
                <c:pt idx="10">
                  <c:v>-146.1</c:v>
                </c:pt>
                <c:pt idx="11">
                  <c:v>-171.1</c:v>
                </c:pt>
                <c:pt idx="12">
                  <c:v>-190.7</c:v>
                </c:pt>
                <c:pt idx="13">
                  <c:v>-205.7</c:v>
                </c:pt>
                <c:pt idx="14">
                  <c:v>-222.3</c:v>
                </c:pt>
                <c:pt idx="15">
                  <c:v>-238.8</c:v>
                </c:pt>
                <c:pt idx="16">
                  <c:v>-249.5</c:v>
                </c:pt>
                <c:pt idx="17">
                  <c:v>-256.10000000000002</c:v>
                </c:pt>
                <c:pt idx="18">
                  <c:v>-262.39999999999998</c:v>
                </c:pt>
                <c:pt idx="19">
                  <c:v>-266.8</c:v>
                </c:pt>
                <c:pt idx="20">
                  <c:v>-268.39999999999998</c:v>
                </c:pt>
                <c:pt idx="21">
                  <c:v>-268.8</c:v>
                </c:pt>
                <c:pt idx="22">
                  <c:v>-268.5</c:v>
                </c:pt>
                <c:pt idx="23">
                  <c:v>-267.8</c:v>
                </c:pt>
                <c:pt idx="24">
                  <c:v>-265.3</c:v>
                </c:pt>
                <c:pt idx="25">
                  <c:v>-261.2</c:v>
                </c:pt>
                <c:pt idx="26">
                  <c:v>-257</c:v>
                </c:pt>
                <c:pt idx="27">
                  <c:v>-253.3</c:v>
                </c:pt>
                <c:pt idx="28">
                  <c:v>-251.3</c:v>
                </c:pt>
                <c:pt idx="29">
                  <c:v>-248.5</c:v>
                </c:pt>
                <c:pt idx="30">
                  <c:v>-244.3</c:v>
                </c:pt>
                <c:pt idx="31">
                  <c:v>-240.4</c:v>
                </c:pt>
                <c:pt idx="32">
                  <c:v>-238.1</c:v>
                </c:pt>
                <c:pt idx="33">
                  <c:v>-236.5</c:v>
                </c:pt>
                <c:pt idx="34">
                  <c:v>-233.5</c:v>
                </c:pt>
                <c:pt idx="35">
                  <c:v>-230.4</c:v>
                </c:pt>
                <c:pt idx="36">
                  <c:v>-227.1</c:v>
                </c:pt>
                <c:pt idx="37">
                  <c:v>-223.5</c:v>
                </c:pt>
                <c:pt idx="38">
                  <c:v>-219.9</c:v>
                </c:pt>
                <c:pt idx="39">
                  <c:v>-217.7</c:v>
                </c:pt>
                <c:pt idx="40">
                  <c:v>-217.7</c:v>
                </c:pt>
                <c:pt idx="41">
                  <c:v>-218.4</c:v>
                </c:pt>
                <c:pt idx="42">
                  <c:v>-218.1</c:v>
                </c:pt>
                <c:pt idx="43">
                  <c:v>-217.1</c:v>
                </c:pt>
                <c:pt idx="44">
                  <c:v>-216.5</c:v>
                </c:pt>
                <c:pt idx="45">
                  <c:v>-215.5</c:v>
                </c:pt>
                <c:pt idx="46">
                  <c:v>-214.4</c:v>
                </c:pt>
                <c:pt idx="47">
                  <c:v>-213.4</c:v>
                </c:pt>
                <c:pt idx="48">
                  <c:v>-212.4</c:v>
                </c:pt>
                <c:pt idx="49">
                  <c:v>-210.7</c:v>
                </c:pt>
                <c:pt idx="50">
                  <c:v>-208.8</c:v>
                </c:pt>
                <c:pt idx="51">
                  <c:v>-207.5</c:v>
                </c:pt>
                <c:pt idx="52">
                  <c:v>-205.8</c:v>
                </c:pt>
                <c:pt idx="53">
                  <c:v>-203.3</c:v>
                </c:pt>
                <c:pt idx="54">
                  <c:v>-200.4</c:v>
                </c:pt>
                <c:pt idx="55">
                  <c:v>-198</c:v>
                </c:pt>
                <c:pt idx="56">
                  <c:v>-196.3</c:v>
                </c:pt>
                <c:pt idx="57">
                  <c:v>-195.1</c:v>
                </c:pt>
                <c:pt idx="58">
                  <c:v>-194.2</c:v>
                </c:pt>
                <c:pt idx="59">
                  <c:v>-192.4</c:v>
                </c:pt>
                <c:pt idx="60">
                  <c:v>-189.7</c:v>
                </c:pt>
                <c:pt idx="61">
                  <c:v>-186.6</c:v>
                </c:pt>
                <c:pt idx="62">
                  <c:v>-184.2</c:v>
                </c:pt>
                <c:pt idx="63">
                  <c:v>-181.9</c:v>
                </c:pt>
                <c:pt idx="64">
                  <c:v>-179.9</c:v>
                </c:pt>
                <c:pt idx="65">
                  <c:v>-178.8</c:v>
                </c:pt>
                <c:pt idx="66">
                  <c:v>-178.2</c:v>
                </c:pt>
                <c:pt idx="67">
                  <c:v>-177.9</c:v>
                </c:pt>
                <c:pt idx="68">
                  <c:v>-177.6</c:v>
                </c:pt>
                <c:pt idx="69">
                  <c:v>-177.5</c:v>
                </c:pt>
                <c:pt idx="70">
                  <c:v>-177.6</c:v>
                </c:pt>
                <c:pt idx="71">
                  <c:v>-177.6</c:v>
                </c:pt>
                <c:pt idx="72">
                  <c:v>-176.7</c:v>
                </c:pt>
                <c:pt idx="73">
                  <c:v>-175.2</c:v>
                </c:pt>
                <c:pt idx="74">
                  <c:v>-173.7</c:v>
                </c:pt>
                <c:pt idx="75">
                  <c:v>-172.6</c:v>
                </c:pt>
                <c:pt idx="76">
                  <c:v>-172.9</c:v>
                </c:pt>
                <c:pt idx="77">
                  <c:v>-174.9</c:v>
                </c:pt>
                <c:pt idx="78">
                  <c:v>-177.5</c:v>
                </c:pt>
                <c:pt idx="79">
                  <c:v>-179.4</c:v>
                </c:pt>
                <c:pt idx="80">
                  <c:v>-180.1</c:v>
                </c:pt>
                <c:pt idx="81">
                  <c:v>-179.6</c:v>
                </c:pt>
                <c:pt idx="82">
                  <c:v>-178.7</c:v>
                </c:pt>
                <c:pt idx="83">
                  <c:v>-178.3</c:v>
                </c:pt>
                <c:pt idx="84">
                  <c:v>-178.3</c:v>
                </c:pt>
                <c:pt idx="85">
                  <c:v>-178.2</c:v>
                </c:pt>
                <c:pt idx="86">
                  <c:v>-177.9</c:v>
                </c:pt>
                <c:pt idx="87">
                  <c:v>-177.7</c:v>
                </c:pt>
                <c:pt idx="88">
                  <c:v>-177.6</c:v>
                </c:pt>
                <c:pt idx="89">
                  <c:v>-177.3</c:v>
                </c:pt>
                <c:pt idx="90">
                  <c:v>-177.1</c:v>
                </c:pt>
                <c:pt idx="91">
                  <c:v>-177</c:v>
                </c:pt>
                <c:pt idx="92">
                  <c:v>-177</c:v>
                </c:pt>
                <c:pt idx="93">
                  <c:v>-177.4</c:v>
                </c:pt>
                <c:pt idx="94">
                  <c:v>-177.7</c:v>
                </c:pt>
                <c:pt idx="95">
                  <c:v>-177.6</c:v>
                </c:pt>
                <c:pt idx="96">
                  <c:v>-177.6</c:v>
                </c:pt>
                <c:pt idx="97">
                  <c:v>-177.5</c:v>
                </c:pt>
                <c:pt idx="98">
                  <c:v>-177.5</c:v>
                </c:pt>
                <c:pt idx="99">
                  <c:v>-177.2</c:v>
                </c:pt>
                <c:pt idx="100">
                  <c:v>-176.4</c:v>
                </c:pt>
                <c:pt idx="101">
                  <c:v>-175</c:v>
                </c:pt>
                <c:pt idx="102">
                  <c:v>-173.8</c:v>
                </c:pt>
                <c:pt idx="103">
                  <c:v>-173.6</c:v>
                </c:pt>
                <c:pt idx="104">
                  <c:v>-174.3</c:v>
                </c:pt>
                <c:pt idx="105">
                  <c:v>-174.9</c:v>
                </c:pt>
                <c:pt idx="106">
                  <c:v>-174.4</c:v>
                </c:pt>
                <c:pt idx="107">
                  <c:v>-173.2</c:v>
                </c:pt>
                <c:pt idx="108">
                  <c:v>-171.9</c:v>
                </c:pt>
                <c:pt idx="109">
                  <c:v>-170.8</c:v>
                </c:pt>
                <c:pt idx="110">
                  <c:v>-169.9</c:v>
                </c:pt>
                <c:pt idx="111">
                  <c:v>-168.3</c:v>
                </c:pt>
                <c:pt idx="112">
                  <c:v>-166.6</c:v>
                </c:pt>
                <c:pt idx="113">
                  <c:v>-165.3</c:v>
                </c:pt>
                <c:pt idx="114">
                  <c:v>-163.6</c:v>
                </c:pt>
                <c:pt idx="115">
                  <c:v>-161.19999999999999</c:v>
                </c:pt>
                <c:pt idx="116">
                  <c:v>-158.19999999999999</c:v>
                </c:pt>
                <c:pt idx="117">
                  <c:v>-153.9</c:v>
                </c:pt>
                <c:pt idx="118">
                  <c:v>-148.19999999999999</c:v>
                </c:pt>
                <c:pt idx="119">
                  <c:v>-141.80000000000001</c:v>
                </c:pt>
                <c:pt idx="120">
                  <c:v>-135.6</c:v>
                </c:pt>
                <c:pt idx="121">
                  <c:v>-129.6</c:v>
                </c:pt>
                <c:pt idx="122">
                  <c:v>-123.8</c:v>
                </c:pt>
                <c:pt idx="123">
                  <c:v>-117.9</c:v>
                </c:pt>
                <c:pt idx="124">
                  <c:v>-112.4</c:v>
                </c:pt>
                <c:pt idx="125">
                  <c:v>-107</c:v>
                </c:pt>
                <c:pt idx="126">
                  <c:v>-101.2</c:v>
                </c:pt>
                <c:pt idx="127">
                  <c:v>-94</c:v>
                </c:pt>
                <c:pt idx="128">
                  <c:v>-85.4</c:v>
                </c:pt>
                <c:pt idx="129">
                  <c:v>-76.2</c:v>
                </c:pt>
                <c:pt idx="130">
                  <c:v>-65.599999999999994</c:v>
                </c:pt>
                <c:pt idx="131">
                  <c:v>-53</c:v>
                </c:pt>
                <c:pt idx="132">
                  <c:v>-39.200000000000003</c:v>
                </c:pt>
                <c:pt idx="133">
                  <c:v>-24.9</c:v>
                </c:pt>
                <c:pt idx="134">
                  <c:v>-11</c:v>
                </c:pt>
                <c:pt idx="135">
                  <c:v>0.7</c:v>
                </c:pt>
                <c:pt idx="136">
                  <c:v>11.8</c:v>
                </c:pt>
                <c:pt idx="137">
                  <c:v>24.6</c:v>
                </c:pt>
                <c:pt idx="138">
                  <c:v>37</c:v>
                </c:pt>
                <c:pt idx="139">
                  <c:v>46.8</c:v>
                </c:pt>
                <c:pt idx="140">
                  <c:v>54.6</c:v>
                </c:pt>
                <c:pt idx="141">
                  <c:v>60.3</c:v>
                </c:pt>
                <c:pt idx="142">
                  <c:v>64.099999999999994</c:v>
                </c:pt>
                <c:pt idx="143">
                  <c:v>66.900000000000006</c:v>
                </c:pt>
                <c:pt idx="144">
                  <c:v>69.2</c:v>
                </c:pt>
                <c:pt idx="145">
                  <c:v>71.2</c:v>
                </c:pt>
                <c:pt idx="146">
                  <c:v>73.3</c:v>
                </c:pt>
                <c:pt idx="147">
                  <c:v>76.400000000000006</c:v>
                </c:pt>
                <c:pt idx="148">
                  <c:v>80</c:v>
                </c:pt>
                <c:pt idx="149">
                  <c:v>83.6</c:v>
                </c:pt>
                <c:pt idx="150">
                  <c:v>87</c:v>
                </c:pt>
                <c:pt idx="151">
                  <c:v>90.2</c:v>
                </c:pt>
                <c:pt idx="152">
                  <c:v>93</c:v>
                </c:pt>
                <c:pt idx="153">
                  <c:v>95.4</c:v>
                </c:pt>
                <c:pt idx="154">
                  <c:v>97.7</c:v>
                </c:pt>
                <c:pt idx="155">
                  <c:v>100.4</c:v>
                </c:pt>
                <c:pt idx="156">
                  <c:v>103.8</c:v>
                </c:pt>
                <c:pt idx="157">
                  <c:v>108.1</c:v>
                </c:pt>
                <c:pt idx="158">
                  <c:v>112.4</c:v>
                </c:pt>
                <c:pt idx="159">
                  <c:v>115</c:v>
                </c:pt>
                <c:pt idx="160">
                  <c:v>116.8</c:v>
                </c:pt>
                <c:pt idx="161">
                  <c:v>118.8</c:v>
                </c:pt>
                <c:pt idx="162">
                  <c:v>121.1</c:v>
                </c:pt>
                <c:pt idx="163">
                  <c:v>123.6</c:v>
                </c:pt>
                <c:pt idx="164">
                  <c:v>125.5</c:v>
                </c:pt>
                <c:pt idx="165">
                  <c:v>126.7</c:v>
                </c:pt>
                <c:pt idx="166">
                  <c:v>127.6</c:v>
                </c:pt>
                <c:pt idx="167">
                  <c:v>128.80000000000001</c:v>
                </c:pt>
                <c:pt idx="168">
                  <c:v>130.69999999999999</c:v>
                </c:pt>
                <c:pt idx="169">
                  <c:v>132.9</c:v>
                </c:pt>
                <c:pt idx="170">
                  <c:v>135</c:v>
                </c:pt>
                <c:pt idx="171">
                  <c:v>136.80000000000001</c:v>
                </c:pt>
                <c:pt idx="172">
                  <c:v>137.5</c:v>
                </c:pt>
                <c:pt idx="173">
                  <c:v>137.5</c:v>
                </c:pt>
                <c:pt idx="174">
                  <c:v>137.4</c:v>
                </c:pt>
                <c:pt idx="175">
                  <c:v>138.5</c:v>
                </c:pt>
                <c:pt idx="176">
                  <c:v>141.19999999999999</c:v>
                </c:pt>
                <c:pt idx="177">
                  <c:v>146.5</c:v>
                </c:pt>
                <c:pt idx="178">
                  <c:v>154.4</c:v>
                </c:pt>
                <c:pt idx="179">
                  <c:v>162.69999999999999</c:v>
                </c:pt>
                <c:pt idx="180">
                  <c:v>175.8</c:v>
                </c:pt>
                <c:pt idx="181">
                  <c:v>208.7</c:v>
                </c:pt>
                <c:pt idx="182">
                  <c:v>274.3</c:v>
                </c:pt>
                <c:pt idx="183">
                  <c:v>353.1</c:v>
                </c:pt>
                <c:pt idx="184">
                  <c:v>410.7</c:v>
                </c:pt>
                <c:pt idx="185">
                  <c:v>442.8</c:v>
                </c:pt>
                <c:pt idx="186">
                  <c:v>446.8</c:v>
                </c:pt>
                <c:pt idx="187">
                  <c:v>409.6</c:v>
                </c:pt>
                <c:pt idx="188">
                  <c:v>339.3</c:v>
                </c:pt>
                <c:pt idx="189">
                  <c:v>272.39999999999998</c:v>
                </c:pt>
                <c:pt idx="190">
                  <c:v>210.7</c:v>
                </c:pt>
                <c:pt idx="191">
                  <c:v>143.80000000000001</c:v>
                </c:pt>
                <c:pt idx="192">
                  <c:v>85.1</c:v>
                </c:pt>
                <c:pt idx="193">
                  <c:v>52.5</c:v>
                </c:pt>
                <c:pt idx="194">
                  <c:v>37.299999999999997</c:v>
                </c:pt>
                <c:pt idx="195">
                  <c:v>29.3</c:v>
                </c:pt>
                <c:pt idx="196">
                  <c:v>24.3</c:v>
                </c:pt>
                <c:pt idx="197">
                  <c:v>20.9</c:v>
                </c:pt>
                <c:pt idx="198">
                  <c:v>18.5</c:v>
                </c:pt>
                <c:pt idx="199">
                  <c:v>16.7</c:v>
                </c:pt>
                <c:pt idx="200">
                  <c:v>15.5</c:v>
                </c:pt>
                <c:pt idx="201">
                  <c:v>14.4</c:v>
                </c:pt>
                <c:pt idx="202">
                  <c:v>13.4</c:v>
                </c:pt>
                <c:pt idx="203">
                  <c:v>12.6</c:v>
                </c:pt>
                <c:pt idx="204">
                  <c:v>11.9</c:v>
                </c:pt>
                <c:pt idx="205">
                  <c:v>11.4</c:v>
                </c:pt>
                <c:pt idx="206">
                  <c:v>11.1</c:v>
                </c:pt>
                <c:pt idx="207">
                  <c:v>10.8</c:v>
                </c:pt>
                <c:pt idx="208">
                  <c:v>10.5</c:v>
                </c:pt>
                <c:pt idx="209">
                  <c:v>10.3</c:v>
                </c:pt>
                <c:pt idx="210">
                  <c:v>10</c:v>
                </c:pt>
                <c:pt idx="211">
                  <c:v>9.8000000000000007</c:v>
                </c:pt>
                <c:pt idx="212">
                  <c:v>9.6999999999999993</c:v>
                </c:pt>
                <c:pt idx="213">
                  <c:v>9.5</c:v>
                </c:pt>
                <c:pt idx="214">
                  <c:v>9.4</c:v>
                </c:pt>
                <c:pt idx="215">
                  <c:v>9.1999999999999993</c:v>
                </c:pt>
                <c:pt idx="216">
                  <c:v>9.1</c:v>
                </c:pt>
                <c:pt idx="217">
                  <c:v>9</c:v>
                </c:pt>
                <c:pt idx="218">
                  <c:v>8.9</c:v>
                </c:pt>
                <c:pt idx="219">
                  <c:v>8.8000000000000007</c:v>
                </c:pt>
                <c:pt idx="220">
                  <c:v>8.6999999999999993</c:v>
                </c:pt>
                <c:pt idx="221">
                  <c:v>8.6999999999999993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3F96-4FD5-AAD3-4A96061D2A6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'100ml'!$A$3:$A$224</c:f>
              <c:numCache>
                <c:formatCode>General</c:formatCode>
                <c:ptCount val="2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</c:numCache>
            </c:numRef>
          </c:xVal>
          <c:yVal>
            <c:numRef>
              <c:f>'100ml'!$C$3:$C$224</c:f>
              <c:numCache>
                <c:formatCode>General</c:formatCode>
                <c:ptCount val="222"/>
                <c:pt idx="0">
                  <c:v>-0.4</c:v>
                </c:pt>
                <c:pt idx="1">
                  <c:v>-1.1000000000000001</c:v>
                </c:pt>
                <c:pt idx="2">
                  <c:v>-3</c:v>
                </c:pt>
                <c:pt idx="3">
                  <c:v>-6.7</c:v>
                </c:pt>
                <c:pt idx="4">
                  <c:v>-12.5</c:v>
                </c:pt>
                <c:pt idx="5">
                  <c:v>-22.4</c:v>
                </c:pt>
                <c:pt idx="6">
                  <c:v>-41.2</c:v>
                </c:pt>
                <c:pt idx="7">
                  <c:v>-63.1</c:v>
                </c:pt>
                <c:pt idx="8">
                  <c:v>-79.599999999999994</c:v>
                </c:pt>
                <c:pt idx="9">
                  <c:v>-94</c:v>
                </c:pt>
                <c:pt idx="10">
                  <c:v>-110.2</c:v>
                </c:pt>
                <c:pt idx="11">
                  <c:v>-127.6</c:v>
                </c:pt>
                <c:pt idx="12">
                  <c:v>-142.1</c:v>
                </c:pt>
                <c:pt idx="13">
                  <c:v>-150.9</c:v>
                </c:pt>
                <c:pt idx="14">
                  <c:v>-156</c:v>
                </c:pt>
                <c:pt idx="15">
                  <c:v>-163.19999999999999</c:v>
                </c:pt>
                <c:pt idx="16">
                  <c:v>-174.5</c:v>
                </c:pt>
                <c:pt idx="17">
                  <c:v>-186</c:v>
                </c:pt>
                <c:pt idx="18">
                  <c:v>-198.1</c:v>
                </c:pt>
                <c:pt idx="19">
                  <c:v>-208.6</c:v>
                </c:pt>
                <c:pt idx="20">
                  <c:v>-218.4</c:v>
                </c:pt>
                <c:pt idx="21">
                  <c:v>-225.8</c:v>
                </c:pt>
                <c:pt idx="22">
                  <c:v>-230.3</c:v>
                </c:pt>
                <c:pt idx="23">
                  <c:v>-232.4</c:v>
                </c:pt>
                <c:pt idx="24">
                  <c:v>-232.5</c:v>
                </c:pt>
                <c:pt idx="25">
                  <c:v>-231.7</c:v>
                </c:pt>
                <c:pt idx="26">
                  <c:v>-231.1</c:v>
                </c:pt>
                <c:pt idx="27">
                  <c:v>-230.8</c:v>
                </c:pt>
                <c:pt idx="28">
                  <c:v>-230.1</c:v>
                </c:pt>
                <c:pt idx="29">
                  <c:v>-229.7</c:v>
                </c:pt>
                <c:pt idx="30">
                  <c:v>-229.9</c:v>
                </c:pt>
                <c:pt idx="31">
                  <c:v>-230</c:v>
                </c:pt>
                <c:pt idx="32">
                  <c:v>-229.7</c:v>
                </c:pt>
                <c:pt idx="33">
                  <c:v>-229.6</c:v>
                </c:pt>
                <c:pt idx="34">
                  <c:v>-228.8</c:v>
                </c:pt>
                <c:pt idx="35">
                  <c:v>-226.9</c:v>
                </c:pt>
                <c:pt idx="36">
                  <c:v>-225.4</c:v>
                </c:pt>
                <c:pt idx="37">
                  <c:v>-225.2</c:v>
                </c:pt>
                <c:pt idx="38">
                  <c:v>-225.2</c:v>
                </c:pt>
                <c:pt idx="39">
                  <c:v>-224.8</c:v>
                </c:pt>
                <c:pt idx="40">
                  <c:v>-224.1</c:v>
                </c:pt>
                <c:pt idx="41">
                  <c:v>-223.3</c:v>
                </c:pt>
                <c:pt idx="42">
                  <c:v>-222.5</c:v>
                </c:pt>
                <c:pt idx="43">
                  <c:v>-221.4</c:v>
                </c:pt>
                <c:pt idx="44">
                  <c:v>-220.2</c:v>
                </c:pt>
                <c:pt idx="45">
                  <c:v>-218.6</c:v>
                </c:pt>
                <c:pt idx="46">
                  <c:v>-217.3</c:v>
                </c:pt>
                <c:pt idx="47">
                  <c:v>-217.2</c:v>
                </c:pt>
                <c:pt idx="48">
                  <c:v>-217.1</c:v>
                </c:pt>
                <c:pt idx="49">
                  <c:v>-216.3</c:v>
                </c:pt>
                <c:pt idx="50">
                  <c:v>-214.9</c:v>
                </c:pt>
                <c:pt idx="51">
                  <c:v>-213.6</c:v>
                </c:pt>
                <c:pt idx="52">
                  <c:v>-212.2</c:v>
                </c:pt>
                <c:pt idx="53">
                  <c:v>-211</c:v>
                </c:pt>
                <c:pt idx="54">
                  <c:v>-209.8</c:v>
                </c:pt>
                <c:pt idx="55">
                  <c:v>-207.1</c:v>
                </c:pt>
                <c:pt idx="56">
                  <c:v>-203.4</c:v>
                </c:pt>
                <c:pt idx="57">
                  <c:v>-199.8</c:v>
                </c:pt>
                <c:pt idx="58">
                  <c:v>-197</c:v>
                </c:pt>
                <c:pt idx="59">
                  <c:v>-195.1</c:v>
                </c:pt>
                <c:pt idx="60">
                  <c:v>-193.8</c:v>
                </c:pt>
                <c:pt idx="61">
                  <c:v>-192.7</c:v>
                </c:pt>
                <c:pt idx="62">
                  <c:v>-191.2</c:v>
                </c:pt>
                <c:pt idx="63">
                  <c:v>-189.1</c:v>
                </c:pt>
                <c:pt idx="64">
                  <c:v>-186.2</c:v>
                </c:pt>
                <c:pt idx="65">
                  <c:v>-182.9</c:v>
                </c:pt>
                <c:pt idx="66">
                  <c:v>-180.2</c:v>
                </c:pt>
                <c:pt idx="67">
                  <c:v>-178</c:v>
                </c:pt>
                <c:pt idx="68">
                  <c:v>-176.5</c:v>
                </c:pt>
                <c:pt idx="69">
                  <c:v>-175.9</c:v>
                </c:pt>
                <c:pt idx="70">
                  <c:v>-175.6</c:v>
                </c:pt>
                <c:pt idx="71">
                  <c:v>-174.9</c:v>
                </c:pt>
                <c:pt idx="72">
                  <c:v>-173.8</c:v>
                </c:pt>
                <c:pt idx="73">
                  <c:v>-173</c:v>
                </c:pt>
                <c:pt idx="74">
                  <c:v>-172.2</c:v>
                </c:pt>
                <c:pt idx="75">
                  <c:v>-171.4</c:v>
                </c:pt>
                <c:pt idx="76">
                  <c:v>-170.6</c:v>
                </c:pt>
                <c:pt idx="77">
                  <c:v>-170.1</c:v>
                </c:pt>
                <c:pt idx="78">
                  <c:v>-169.9</c:v>
                </c:pt>
                <c:pt idx="79">
                  <c:v>-169.6</c:v>
                </c:pt>
                <c:pt idx="80">
                  <c:v>-169.7</c:v>
                </c:pt>
                <c:pt idx="81">
                  <c:v>-170.4</c:v>
                </c:pt>
                <c:pt idx="82">
                  <c:v>-171.8</c:v>
                </c:pt>
                <c:pt idx="83">
                  <c:v>-173.4</c:v>
                </c:pt>
                <c:pt idx="84">
                  <c:v>-175.5</c:v>
                </c:pt>
                <c:pt idx="85">
                  <c:v>-178.1</c:v>
                </c:pt>
                <c:pt idx="86">
                  <c:v>-180.2</c:v>
                </c:pt>
                <c:pt idx="87">
                  <c:v>-180.9</c:v>
                </c:pt>
                <c:pt idx="88">
                  <c:v>-179.9</c:v>
                </c:pt>
                <c:pt idx="89">
                  <c:v>-178</c:v>
                </c:pt>
                <c:pt idx="90">
                  <c:v>-176.5</c:v>
                </c:pt>
                <c:pt idx="91">
                  <c:v>-175.7</c:v>
                </c:pt>
                <c:pt idx="92">
                  <c:v>-175.2</c:v>
                </c:pt>
                <c:pt idx="93">
                  <c:v>-174.7</c:v>
                </c:pt>
                <c:pt idx="94">
                  <c:v>-174.3</c:v>
                </c:pt>
                <c:pt idx="95">
                  <c:v>-173.9</c:v>
                </c:pt>
                <c:pt idx="96">
                  <c:v>-173.4</c:v>
                </c:pt>
                <c:pt idx="97">
                  <c:v>-172.7</c:v>
                </c:pt>
                <c:pt idx="98">
                  <c:v>-171.4</c:v>
                </c:pt>
                <c:pt idx="99">
                  <c:v>-169.4</c:v>
                </c:pt>
                <c:pt idx="100">
                  <c:v>-166.1</c:v>
                </c:pt>
                <c:pt idx="101">
                  <c:v>-160.1</c:v>
                </c:pt>
                <c:pt idx="102">
                  <c:v>-152.4</c:v>
                </c:pt>
                <c:pt idx="103">
                  <c:v>-145</c:v>
                </c:pt>
                <c:pt idx="104">
                  <c:v>-138.69999999999999</c:v>
                </c:pt>
                <c:pt idx="105">
                  <c:v>-133.1</c:v>
                </c:pt>
                <c:pt idx="106">
                  <c:v>-128.1</c:v>
                </c:pt>
                <c:pt idx="107">
                  <c:v>-123.6</c:v>
                </c:pt>
                <c:pt idx="108">
                  <c:v>-118.7</c:v>
                </c:pt>
                <c:pt idx="109">
                  <c:v>-112.2</c:v>
                </c:pt>
                <c:pt idx="110">
                  <c:v>-101.9</c:v>
                </c:pt>
                <c:pt idx="111">
                  <c:v>-89.7</c:v>
                </c:pt>
                <c:pt idx="112">
                  <c:v>-78.400000000000006</c:v>
                </c:pt>
                <c:pt idx="113">
                  <c:v>-67.900000000000006</c:v>
                </c:pt>
                <c:pt idx="114">
                  <c:v>-57.5</c:v>
                </c:pt>
                <c:pt idx="115">
                  <c:v>-47.2</c:v>
                </c:pt>
                <c:pt idx="116">
                  <c:v>-37</c:v>
                </c:pt>
                <c:pt idx="117">
                  <c:v>-26.4</c:v>
                </c:pt>
                <c:pt idx="118">
                  <c:v>-16</c:v>
                </c:pt>
                <c:pt idx="119">
                  <c:v>-6.6</c:v>
                </c:pt>
                <c:pt idx="120">
                  <c:v>2.2000000000000002</c:v>
                </c:pt>
                <c:pt idx="121">
                  <c:v>11.4</c:v>
                </c:pt>
                <c:pt idx="122">
                  <c:v>20.9</c:v>
                </c:pt>
                <c:pt idx="123">
                  <c:v>30.2</c:v>
                </c:pt>
                <c:pt idx="124">
                  <c:v>42.1</c:v>
                </c:pt>
                <c:pt idx="125">
                  <c:v>64.5</c:v>
                </c:pt>
                <c:pt idx="126">
                  <c:v>99.4</c:v>
                </c:pt>
                <c:pt idx="127">
                  <c:v>139.6</c:v>
                </c:pt>
                <c:pt idx="128">
                  <c:v>171.2</c:v>
                </c:pt>
                <c:pt idx="129">
                  <c:v>192.1</c:v>
                </c:pt>
                <c:pt idx="130">
                  <c:v>206.3</c:v>
                </c:pt>
                <c:pt idx="131">
                  <c:v>214.9</c:v>
                </c:pt>
                <c:pt idx="132">
                  <c:v>218.5</c:v>
                </c:pt>
                <c:pt idx="133">
                  <c:v>221.8</c:v>
                </c:pt>
                <c:pt idx="134">
                  <c:v>227.2</c:v>
                </c:pt>
                <c:pt idx="135">
                  <c:v>234.4</c:v>
                </c:pt>
                <c:pt idx="136">
                  <c:v>243.1</c:v>
                </c:pt>
                <c:pt idx="137">
                  <c:v>254.4</c:v>
                </c:pt>
                <c:pt idx="138">
                  <c:v>266.3</c:v>
                </c:pt>
                <c:pt idx="139">
                  <c:v>279.7</c:v>
                </c:pt>
                <c:pt idx="140">
                  <c:v>297.89999999999998</c:v>
                </c:pt>
                <c:pt idx="141">
                  <c:v>320.89999999999998</c:v>
                </c:pt>
                <c:pt idx="142">
                  <c:v>342.5</c:v>
                </c:pt>
                <c:pt idx="143">
                  <c:v>357.1</c:v>
                </c:pt>
                <c:pt idx="144">
                  <c:v>364.5</c:v>
                </c:pt>
                <c:pt idx="145">
                  <c:v>371.4</c:v>
                </c:pt>
                <c:pt idx="146">
                  <c:v>383.1</c:v>
                </c:pt>
                <c:pt idx="147">
                  <c:v>398.7</c:v>
                </c:pt>
                <c:pt idx="148">
                  <c:v>409.2</c:v>
                </c:pt>
                <c:pt idx="149">
                  <c:v>414</c:v>
                </c:pt>
                <c:pt idx="150">
                  <c:v>416.1</c:v>
                </c:pt>
                <c:pt idx="151">
                  <c:v>418.5</c:v>
                </c:pt>
                <c:pt idx="152">
                  <c:v>426.9</c:v>
                </c:pt>
                <c:pt idx="153">
                  <c:v>440.8</c:v>
                </c:pt>
                <c:pt idx="154">
                  <c:v>448.1</c:v>
                </c:pt>
                <c:pt idx="155">
                  <c:v>446.4</c:v>
                </c:pt>
                <c:pt idx="156">
                  <c:v>444.4</c:v>
                </c:pt>
                <c:pt idx="157">
                  <c:v>443.1</c:v>
                </c:pt>
                <c:pt idx="158">
                  <c:v>439.6</c:v>
                </c:pt>
                <c:pt idx="159">
                  <c:v>432.5</c:v>
                </c:pt>
                <c:pt idx="160">
                  <c:v>421.6</c:v>
                </c:pt>
                <c:pt idx="161">
                  <c:v>408.3</c:v>
                </c:pt>
                <c:pt idx="162">
                  <c:v>404.5</c:v>
                </c:pt>
                <c:pt idx="163">
                  <c:v>406.2</c:v>
                </c:pt>
                <c:pt idx="164">
                  <c:v>404.4</c:v>
                </c:pt>
                <c:pt idx="165">
                  <c:v>410.6</c:v>
                </c:pt>
                <c:pt idx="166">
                  <c:v>413</c:v>
                </c:pt>
                <c:pt idx="167">
                  <c:v>391.8</c:v>
                </c:pt>
                <c:pt idx="168">
                  <c:v>356.1</c:v>
                </c:pt>
                <c:pt idx="169">
                  <c:v>291.8</c:v>
                </c:pt>
                <c:pt idx="170">
                  <c:v>225.8</c:v>
                </c:pt>
                <c:pt idx="171">
                  <c:v>174.4</c:v>
                </c:pt>
                <c:pt idx="172">
                  <c:v>134.69999999999999</c:v>
                </c:pt>
                <c:pt idx="173">
                  <c:v>103.4</c:v>
                </c:pt>
                <c:pt idx="174">
                  <c:v>77.099999999999994</c:v>
                </c:pt>
                <c:pt idx="175">
                  <c:v>51.2</c:v>
                </c:pt>
                <c:pt idx="176">
                  <c:v>29.9</c:v>
                </c:pt>
                <c:pt idx="177">
                  <c:v>18.3</c:v>
                </c:pt>
                <c:pt idx="178">
                  <c:v>12.6</c:v>
                </c:pt>
                <c:pt idx="179">
                  <c:v>9.1999999999999993</c:v>
                </c:pt>
                <c:pt idx="180">
                  <c:v>7</c:v>
                </c:pt>
                <c:pt idx="181">
                  <c:v>5.5</c:v>
                </c:pt>
                <c:pt idx="182">
                  <c:v>4.4000000000000004</c:v>
                </c:pt>
                <c:pt idx="183">
                  <c:v>3.6</c:v>
                </c:pt>
                <c:pt idx="184">
                  <c:v>3.3</c:v>
                </c:pt>
                <c:pt idx="185">
                  <c:v>3.2</c:v>
                </c:pt>
                <c:pt idx="186">
                  <c:v>3.1</c:v>
                </c:pt>
                <c:pt idx="187">
                  <c:v>3</c:v>
                </c:pt>
                <c:pt idx="188">
                  <c:v>3</c:v>
                </c:pt>
                <c:pt idx="189">
                  <c:v>2.9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3.1</c:v>
                </c:pt>
                <c:pt idx="194">
                  <c:v>3.1</c:v>
                </c:pt>
                <c:pt idx="195">
                  <c:v>3.2</c:v>
                </c:pt>
                <c:pt idx="196">
                  <c:v>3.3</c:v>
                </c:pt>
                <c:pt idx="197">
                  <c:v>3.3</c:v>
                </c:pt>
                <c:pt idx="198">
                  <c:v>3.4</c:v>
                </c:pt>
                <c:pt idx="199">
                  <c:v>3.4</c:v>
                </c:pt>
                <c:pt idx="200">
                  <c:v>3.5</c:v>
                </c:pt>
                <c:pt idx="201">
                  <c:v>3.6</c:v>
                </c:pt>
                <c:pt idx="202">
                  <c:v>3.7</c:v>
                </c:pt>
                <c:pt idx="203">
                  <c:v>3.8</c:v>
                </c:pt>
                <c:pt idx="204">
                  <c:v>3.9</c:v>
                </c:pt>
                <c:pt idx="205">
                  <c:v>4</c:v>
                </c:pt>
                <c:pt idx="206">
                  <c:v>4.0999999999999996</c:v>
                </c:pt>
                <c:pt idx="207">
                  <c:v>4.3</c:v>
                </c:pt>
                <c:pt idx="208">
                  <c:v>4.4000000000000004</c:v>
                </c:pt>
                <c:pt idx="209">
                  <c:v>4.5</c:v>
                </c:pt>
                <c:pt idx="210">
                  <c:v>4.5999999999999996</c:v>
                </c:pt>
                <c:pt idx="211">
                  <c:v>4.5999999999999996</c:v>
                </c:pt>
                <c:pt idx="212">
                  <c:v>4.7</c:v>
                </c:pt>
                <c:pt idx="213">
                  <c:v>4.8</c:v>
                </c:pt>
                <c:pt idx="214">
                  <c:v>4.8</c:v>
                </c:pt>
                <c:pt idx="215">
                  <c:v>4.9000000000000004</c:v>
                </c:pt>
                <c:pt idx="216">
                  <c:v>5</c:v>
                </c:pt>
                <c:pt idx="217">
                  <c:v>5.0999999999999996</c:v>
                </c:pt>
                <c:pt idx="218">
                  <c:v>5.0999999999999996</c:v>
                </c:pt>
                <c:pt idx="219">
                  <c:v>5.2</c:v>
                </c:pt>
                <c:pt idx="220">
                  <c:v>5.3</c:v>
                </c:pt>
                <c:pt idx="221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E-3F96-4FD5-AAD3-4A96061D2A6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'100ml'!$A$3:$A$224</c:f>
              <c:numCache>
                <c:formatCode>General</c:formatCode>
                <c:ptCount val="2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</c:numCache>
            </c:numRef>
          </c:xVal>
          <c:yVal>
            <c:numRef>
              <c:f>'100ml'!$D$3:$D$224</c:f>
              <c:numCache>
                <c:formatCode>General</c:formatCode>
                <c:ptCount val="222"/>
                <c:pt idx="0">
                  <c:v>-38.4</c:v>
                </c:pt>
                <c:pt idx="1">
                  <c:v>-49.6</c:v>
                </c:pt>
                <c:pt idx="2">
                  <c:v>-60.5</c:v>
                </c:pt>
                <c:pt idx="3">
                  <c:v>-71.099999999999994</c:v>
                </c:pt>
                <c:pt idx="4">
                  <c:v>-79.8</c:v>
                </c:pt>
                <c:pt idx="5">
                  <c:v>-87.7</c:v>
                </c:pt>
                <c:pt idx="6">
                  <c:v>-97.6</c:v>
                </c:pt>
                <c:pt idx="7">
                  <c:v>-109.8</c:v>
                </c:pt>
                <c:pt idx="8">
                  <c:v>-118.5</c:v>
                </c:pt>
                <c:pt idx="9">
                  <c:v>-123.7</c:v>
                </c:pt>
                <c:pt idx="10">
                  <c:v>-127.4</c:v>
                </c:pt>
                <c:pt idx="11">
                  <c:v>-129.9</c:v>
                </c:pt>
                <c:pt idx="12">
                  <c:v>-131.19999999999999</c:v>
                </c:pt>
                <c:pt idx="13">
                  <c:v>-132</c:v>
                </c:pt>
                <c:pt idx="14">
                  <c:v>-132.69999999999999</c:v>
                </c:pt>
                <c:pt idx="15">
                  <c:v>-133.4</c:v>
                </c:pt>
                <c:pt idx="16">
                  <c:v>-134.19999999999999</c:v>
                </c:pt>
                <c:pt idx="17">
                  <c:v>-134.80000000000001</c:v>
                </c:pt>
                <c:pt idx="18">
                  <c:v>-134.9</c:v>
                </c:pt>
                <c:pt idx="19">
                  <c:v>-135.30000000000001</c:v>
                </c:pt>
                <c:pt idx="20">
                  <c:v>-134.9</c:v>
                </c:pt>
                <c:pt idx="21">
                  <c:v>-133.30000000000001</c:v>
                </c:pt>
                <c:pt idx="22">
                  <c:v>-131.9</c:v>
                </c:pt>
                <c:pt idx="23">
                  <c:v>-131.30000000000001</c:v>
                </c:pt>
                <c:pt idx="24">
                  <c:v>-131.19999999999999</c:v>
                </c:pt>
                <c:pt idx="25">
                  <c:v>-131.19999999999999</c:v>
                </c:pt>
                <c:pt idx="26">
                  <c:v>-130.69999999999999</c:v>
                </c:pt>
                <c:pt idx="27">
                  <c:v>-130.19999999999999</c:v>
                </c:pt>
                <c:pt idx="28">
                  <c:v>-130</c:v>
                </c:pt>
                <c:pt idx="29">
                  <c:v>-129.80000000000001</c:v>
                </c:pt>
                <c:pt idx="30">
                  <c:v>-129</c:v>
                </c:pt>
                <c:pt idx="31">
                  <c:v>-127.6</c:v>
                </c:pt>
                <c:pt idx="32">
                  <c:v>-125.9</c:v>
                </c:pt>
                <c:pt idx="33">
                  <c:v>-124.6</c:v>
                </c:pt>
                <c:pt idx="34">
                  <c:v>-123.6</c:v>
                </c:pt>
                <c:pt idx="35">
                  <c:v>-122.7</c:v>
                </c:pt>
                <c:pt idx="36">
                  <c:v>-121.5</c:v>
                </c:pt>
                <c:pt idx="37">
                  <c:v>-120.1</c:v>
                </c:pt>
                <c:pt idx="38">
                  <c:v>-118.8</c:v>
                </c:pt>
                <c:pt idx="39">
                  <c:v>-117.8</c:v>
                </c:pt>
                <c:pt idx="40">
                  <c:v>-116.7</c:v>
                </c:pt>
                <c:pt idx="41">
                  <c:v>-115.7</c:v>
                </c:pt>
                <c:pt idx="42">
                  <c:v>-114.8</c:v>
                </c:pt>
                <c:pt idx="43">
                  <c:v>-113.6</c:v>
                </c:pt>
                <c:pt idx="44">
                  <c:v>-111.5</c:v>
                </c:pt>
                <c:pt idx="45">
                  <c:v>-109.2</c:v>
                </c:pt>
                <c:pt idx="46">
                  <c:v>-107.4</c:v>
                </c:pt>
                <c:pt idx="47">
                  <c:v>-105.9</c:v>
                </c:pt>
                <c:pt idx="48">
                  <c:v>-104.6</c:v>
                </c:pt>
                <c:pt idx="49">
                  <c:v>-103.1</c:v>
                </c:pt>
                <c:pt idx="50">
                  <c:v>-101.5</c:v>
                </c:pt>
                <c:pt idx="51">
                  <c:v>-100.1</c:v>
                </c:pt>
                <c:pt idx="52">
                  <c:v>-98.5</c:v>
                </c:pt>
                <c:pt idx="53">
                  <c:v>-97</c:v>
                </c:pt>
                <c:pt idx="54">
                  <c:v>-95.8</c:v>
                </c:pt>
                <c:pt idx="55">
                  <c:v>-94.6</c:v>
                </c:pt>
                <c:pt idx="56">
                  <c:v>-93.5</c:v>
                </c:pt>
                <c:pt idx="57">
                  <c:v>-92.2</c:v>
                </c:pt>
                <c:pt idx="58">
                  <c:v>-90.6</c:v>
                </c:pt>
                <c:pt idx="59">
                  <c:v>-89.1</c:v>
                </c:pt>
                <c:pt idx="60">
                  <c:v>-87.7</c:v>
                </c:pt>
                <c:pt idx="61">
                  <c:v>-86.7</c:v>
                </c:pt>
                <c:pt idx="62">
                  <c:v>-86.2</c:v>
                </c:pt>
                <c:pt idx="63">
                  <c:v>-85.9</c:v>
                </c:pt>
                <c:pt idx="64">
                  <c:v>-85.6</c:v>
                </c:pt>
                <c:pt idx="65">
                  <c:v>-85</c:v>
                </c:pt>
                <c:pt idx="66">
                  <c:v>-84.1</c:v>
                </c:pt>
                <c:pt idx="67">
                  <c:v>-82.6</c:v>
                </c:pt>
                <c:pt idx="68">
                  <c:v>-81.099999999999994</c:v>
                </c:pt>
                <c:pt idx="69">
                  <c:v>-79.900000000000006</c:v>
                </c:pt>
                <c:pt idx="70">
                  <c:v>-79.099999999999994</c:v>
                </c:pt>
                <c:pt idx="71">
                  <c:v>-78.599999999999994</c:v>
                </c:pt>
                <c:pt idx="72">
                  <c:v>-78.3</c:v>
                </c:pt>
                <c:pt idx="73">
                  <c:v>-78</c:v>
                </c:pt>
                <c:pt idx="74">
                  <c:v>-77.400000000000006</c:v>
                </c:pt>
                <c:pt idx="75">
                  <c:v>-76.7</c:v>
                </c:pt>
                <c:pt idx="76">
                  <c:v>-75.8</c:v>
                </c:pt>
                <c:pt idx="77">
                  <c:v>-75</c:v>
                </c:pt>
                <c:pt idx="78">
                  <c:v>-74.2</c:v>
                </c:pt>
                <c:pt idx="79">
                  <c:v>-73.5</c:v>
                </c:pt>
                <c:pt idx="80">
                  <c:v>-73.099999999999994</c:v>
                </c:pt>
                <c:pt idx="81">
                  <c:v>-72.900000000000006</c:v>
                </c:pt>
                <c:pt idx="82">
                  <c:v>-72.8</c:v>
                </c:pt>
                <c:pt idx="83">
                  <c:v>-72.400000000000006</c:v>
                </c:pt>
                <c:pt idx="84">
                  <c:v>-71.599999999999994</c:v>
                </c:pt>
                <c:pt idx="85">
                  <c:v>-70.5</c:v>
                </c:pt>
                <c:pt idx="86">
                  <c:v>-69.400000000000006</c:v>
                </c:pt>
                <c:pt idx="87">
                  <c:v>-68.3</c:v>
                </c:pt>
                <c:pt idx="88">
                  <c:v>-67</c:v>
                </c:pt>
                <c:pt idx="89">
                  <c:v>-65.8</c:v>
                </c:pt>
                <c:pt idx="90">
                  <c:v>-64.900000000000006</c:v>
                </c:pt>
                <c:pt idx="91">
                  <c:v>-64.099999999999994</c:v>
                </c:pt>
                <c:pt idx="92">
                  <c:v>-63.5</c:v>
                </c:pt>
                <c:pt idx="93">
                  <c:v>-63</c:v>
                </c:pt>
                <c:pt idx="94">
                  <c:v>-62.8</c:v>
                </c:pt>
                <c:pt idx="95">
                  <c:v>-62.4</c:v>
                </c:pt>
                <c:pt idx="96">
                  <c:v>-62</c:v>
                </c:pt>
                <c:pt idx="97">
                  <c:v>-61.6</c:v>
                </c:pt>
                <c:pt idx="98">
                  <c:v>-61.4</c:v>
                </c:pt>
                <c:pt idx="99">
                  <c:v>-61.5</c:v>
                </c:pt>
                <c:pt idx="100">
                  <c:v>-61.8</c:v>
                </c:pt>
                <c:pt idx="101">
                  <c:v>-62</c:v>
                </c:pt>
                <c:pt idx="102">
                  <c:v>-62.1</c:v>
                </c:pt>
                <c:pt idx="103">
                  <c:v>-62.4</c:v>
                </c:pt>
                <c:pt idx="104">
                  <c:v>-62.6</c:v>
                </c:pt>
                <c:pt idx="105">
                  <c:v>-62.6</c:v>
                </c:pt>
                <c:pt idx="106">
                  <c:v>-62.6</c:v>
                </c:pt>
                <c:pt idx="107">
                  <c:v>-62.5</c:v>
                </c:pt>
                <c:pt idx="108">
                  <c:v>-62.2</c:v>
                </c:pt>
                <c:pt idx="109">
                  <c:v>-62.1</c:v>
                </c:pt>
                <c:pt idx="110">
                  <c:v>-62</c:v>
                </c:pt>
                <c:pt idx="111">
                  <c:v>-62</c:v>
                </c:pt>
                <c:pt idx="112">
                  <c:v>-61.9</c:v>
                </c:pt>
                <c:pt idx="113">
                  <c:v>-61.7</c:v>
                </c:pt>
                <c:pt idx="114">
                  <c:v>-61.4</c:v>
                </c:pt>
                <c:pt idx="115">
                  <c:v>-61.3</c:v>
                </c:pt>
                <c:pt idx="116">
                  <c:v>-61.1</c:v>
                </c:pt>
                <c:pt idx="117">
                  <c:v>-60.8</c:v>
                </c:pt>
                <c:pt idx="118">
                  <c:v>-60.5</c:v>
                </c:pt>
                <c:pt idx="119">
                  <c:v>-60.2</c:v>
                </c:pt>
                <c:pt idx="120">
                  <c:v>-60</c:v>
                </c:pt>
                <c:pt idx="121">
                  <c:v>-59.9</c:v>
                </c:pt>
                <c:pt idx="122">
                  <c:v>-59.8</c:v>
                </c:pt>
                <c:pt idx="123">
                  <c:v>-59.6</c:v>
                </c:pt>
                <c:pt idx="124">
                  <c:v>-59.2</c:v>
                </c:pt>
                <c:pt idx="125">
                  <c:v>-58.8</c:v>
                </c:pt>
                <c:pt idx="126">
                  <c:v>-58.2</c:v>
                </c:pt>
                <c:pt idx="127">
                  <c:v>-57.7</c:v>
                </c:pt>
                <c:pt idx="128">
                  <c:v>-57</c:v>
                </c:pt>
                <c:pt idx="129">
                  <c:v>-56.1</c:v>
                </c:pt>
                <c:pt idx="130">
                  <c:v>-55</c:v>
                </c:pt>
                <c:pt idx="131">
                  <c:v>-52.5</c:v>
                </c:pt>
                <c:pt idx="132">
                  <c:v>-48</c:v>
                </c:pt>
                <c:pt idx="133">
                  <c:v>-41.6</c:v>
                </c:pt>
                <c:pt idx="134">
                  <c:v>-34.700000000000003</c:v>
                </c:pt>
                <c:pt idx="135">
                  <c:v>-28.2</c:v>
                </c:pt>
                <c:pt idx="136">
                  <c:v>-22.6</c:v>
                </c:pt>
                <c:pt idx="137">
                  <c:v>-18.100000000000001</c:v>
                </c:pt>
                <c:pt idx="138">
                  <c:v>-14.3</c:v>
                </c:pt>
                <c:pt idx="139">
                  <c:v>-10.4</c:v>
                </c:pt>
                <c:pt idx="140">
                  <c:v>-5</c:v>
                </c:pt>
                <c:pt idx="141">
                  <c:v>3.2</c:v>
                </c:pt>
                <c:pt idx="142">
                  <c:v>15.3</c:v>
                </c:pt>
                <c:pt idx="143">
                  <c:v>30.7</c:v>
                </c:pt>
                <c:pt idx="144">
                  <c:v>46.6</c:v>
                </c:pt>
                <c:pt idx="145">
                  <c:v>61.2</c:v>
                </c:pt>
                <c:pt idx="146">
                  <c:v>75.400000000000006</c:v>
                </c:pt>
                <c:pt idx="147">
                  <c:v>97.1</c:v>
                </c:pt>
                <c:pt idx="148">
                  <c:v>137.9</c:v>
                </c:pt>
                <c:pt idx="149">
                  <c:v>188.2</c:v>
                </c:pt>
                <c:pt idx="150">
                  <c:v>229.2</c:v>
                </c:pt>
                <c:pt idx="151">
                  <c:v>268.3</c:v>
                </c:pt>
                <c:pt idx="152">
                  <c:v>308.3</c:v>
                </c:pt>
                <c:pt idx="153">
                  <c:v>338.9</c:v>
                </c:pt>
                <c:pt idx="154">
                  <c:v>357.1</c:v>
                </c:pt>
                <c:pt idx="155">
                  <c:v>366.5</c:v>
                </c:pt>
                <c:pt idx="156">
                  <c:v>374.4</c:v>
                </c:pt>
                <c:pt idx="157">
                  <c:v>389.6</c:v>
                </c:pt>
                <c:pt idx="158">
                  <c:v>408.4</c:v>
                </c:pt>
                <c:pt idx="159">
                  <c:v>419.5</c:v>
                </c:pt>
                <c:pt idx="160">
                  <c:v>425.9</c:v>
                </c:pt>
                <c:pt idx="161">
                  <c:v>433.5</c:v>
                </c:pt>
                <c:pt idx="162">
                  <c:v>441.1</c:v>
                </c:pt>
                <c:pt idx="163">
                  <c:v>445.5</c:v>
                </c:pt>
                <c:pt idx="164">
                  <c:v>447.4</c:v>
                </c:pt>
                <c:pt idx="165">
                  <c:v>449.3</c:v>
                </c:pt>
                <c:pt idx="166">
                  <c:v>450.6</c:v>
                </c:pt>
                <c:pt idx="167">
                  <c:v>453.4</c:v>
                </c:pt>
                <c:pt idx="168">
                  <c:v>455.8</c:v>
                </c:pt>
                <c:pt idx="169">
                  <c:v>452.6</c:v>
                </c:pt>
                <c:pt idx="170">
                  <c:v>445.9</c:v>
                </c:pt>
                <c:pt idx="171">
                  <c:v>439.1</c:v>
                </c:pt>
                <c:pt idx="172">
                  <c:v>435.9</c:v>
                </c:pt>
                <c:pt idx="173">
                  <c:v>435.9</c:v>
                </c:pt>
                <c:pt idx="174">
                  <c:v>441.1</c:v>
                </c:pt>
                <c:pt idx="175">
                  <c:v>447.8</c:v>
                </c:pt>
                <c:pt idx="176">
                  <c:v>452.8</c:v>
                </c:pt>
                <c:pt idx="177">
                  <c:v>452.1</c:v>
                </c:pt>
                <c:pt idx="178">
                  <c:v>452.9</c:v>
                </c:pt>
                <c:pt idx="179">
                  <c:v>456.9</c:v>
                </c:pt>
                <c:pt idx="180">
                  <c:v>462.8</c:v>
                </c:pt>
                <c:pt idx="181">
                  <c:v>472.1</c:v>
                </c:pt>
                <c:pt idx="182">
                  <c:v>483.8</c:v>
                </c:pt>
                <c:pt idx="183">
                  <c:v>491.4</c:v>
                </c:pt>
                <c:pt idx="184">
                  <c:v>476.5</c:v>
                </c:pt>
                <c:pt idx="185">
                  <c:v>417.6</c:v>
                </c:pt>
                <c:pt idx="186">
                  <c:v>332.8</c:v>
                </c:pt>
                <c:pt idx="187">
                  <c:v>263</c:v>
                </c:pt>
                <c:pt idx="188">
                  <c:v>207.3</c:v>
                </c:pt>
                <c:pt idx="189">
                  <c:v>154.1</c:v>
                </c:pt>
                <c:pt idx="190">
                  <c:v>102.3</c:v>
                </c:pt>
                <c:pt idx="191">
                  <c:v>71.900000000000006</c:v>
                </c:pt>
                <c:pt idx="192">
                  <c:v>57.9</c:v>
                </c:pt>
                <c:pt idx="193">
                  <c:v>50.5</c:v>
                </c:pt>
                <c:pt idx="194">
                  <c:v>45.8</c:v>
                </c:pt>
                <c:pt idx="195">
                  <c:v>42.7</c:v>
                </c:pt>
                <c:pt idx="196">
                  <c:v>40.4</c:v>
                </c:pt>
                <c:pt idx="197">
                  <c:v>38.799999999999997</c:v>
                </c:pt>
                <c:pt idx="198">
                  <c:v>37.700000000000003</c:v>
                </c:pt>
                <c:pt idx="199">
                  <c:v>36.799999999999997</c:v>
                </c:pt>
                <c:pt idx="200">
                  <c:v>36.1</c:v>
                </c:pt>
                <c:pt idx="201">
                  <c:v>35.700000000000003</c:v>
                </c:pt>
                <c:pt idx="202">
                  <c:v>35.6</c:v>
                </c:pt>
                <c:pt idx="203">
                  <c:v>35.5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35.6</c:v>
                </c:pt>
                <c:pt idx="214">
                  <c:v>35.700000000000003</c:v>
                </c:pt>
                <c:pt idx="215">
                  <c:v>35.799999999999997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35.9</c:v>
                </c:pt>
                <c:pt idx="219">
                  <c:v>35.9</c:v>
                </c:pt>
                <c:pt idx="220">
                  <c:v>36</c:v>
                </c:pt>
                <c:pt idx="221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3F96-4FD5-AAD3-4A96061D2A6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'100ml'!$A$3:$A$224</c:f>
              <c:numCache>
                <c:formatCode>General</c:formatCode>
                <c:ptCount val="2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</c:numCache>
            </c:numRef>
          </c:xVal>
          <c:yVal>
            <c:numRef>
              <c:f>'100ml'!$E$3:$E$224</c:f>
              <c:numCache>
                <c:formatCode>General</c:formatCode>
                <c:ptCount val="222"/>
                <c:pt idx="0">
                  <c:v>0.1</c:v>
                </c:pt>
                <c:pt idx="1">
                  <c:v>-0.1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-0.1</c:v>
                </c:pt>
                <c:pt idx="9">
                  <c:v>0</c:v>
                </c:pt>
                <c:pt idx="10">
                  <c:v>-0.3</c:v>
                </c:pt>
                <c:pt idx="11">
                  <c:v>-2.1</c:v>
                </c:pt>
                <c:pt idx="12">
                  <c:v>-10.7</c:v>
                </c:pt>
                <c:pt idx="13">
                  <c:v>-34.1</c:v>
                </c:pt>
                <c:pt idx="14">
                  <c:v>-68.400000000000006</c:v>
                </c:pt>
                <c:pt idx="15">
                  <c:v>-95.4</c:v>
                </c:pt>
                <c:pt idx="16">
                  <c:v>-111.5</c:v>
                </c:pt>
                <c:pt idx="17">
                  <c:v>-123.1</c:v>
                </c:pt>
                <c:pt idx="18">
                  <c:v>-135.30000000000001</c:v>
                </c:pt>
                <c:pt idx="19">
                  <c:v>-147.5</c:v>
                </c:pt>
                <c:pt idx="20">
                  <c:v>-155.9</c:v>
                </c:pt>
                <c:pt idx="21">
                  <c:v>-164.4</c:v>
                </c:pt>
                <c:pt idx="22">
                  <c:v>-179</c:v>
                </c:pt>
                <c:pt idx="23">
                  <c:v>-194.6</c:v>
                </c:pt>
                <c:pt idx="24">
                  <c:v>-210.1</c:v>
                </c:pt>
                <c:pt idx="25">
                  <c:v>-226.8</c:v>
                </c:pt>
                <c:pt idx="26">
                  <c:v>-246.7</c:v>
                </c:pt>
                <c:pt idx="27">
                  <c:v>-263.39999999999998</c:v>
                </c:pt>
                <c:pt idx="28">
                  <c:v>-275.5</c:v>
                </c:pt>
                <c:pt idx="29">
                  <c:v>-284.89999999999998</c:v>
                </c:pt>
                <c:pt idx="30">
                  <c:v>-292.60000000000002</c:v>
                </c:pt>
                <c:pt idx="31">
                  <c:v>-301.2</c:v>
                </c:pt>
                <c:pt idx="32">
                  <c:v>-308.8</c:v>
                </c:pt>
                <c:pt idx="33">
                  <c:v>-313.39999999999998</c:v>
                </c:pt>
                <c:pt idx="34">
                  <c:v>-314.89999999999998</c:v>
                </c:pt>
                <c:pt idx="35">
                  <c:v>-314.8</c:v>
                </c:pt>
                <c:pt idx="36">
                  <c:v>-314.7</c:v>
                </c:pt>
                <c:pt idx="37">
                  <c:v>-315</c:v>
                </c:pt>
                <c:pt idx="38">
                  <c:v>-313.7</c:v>
                </c:pt>
                <c:pt idx="39">
                  <c:v>-312.3</c:v>
                </c:pt>
                <c:pt idx="40">
                  <c:v>-311.10000000000002</c:v>
                </c:pt>
                <c:pt idx="41">
                  <c:v>-310.2</c:v>
                </c:pt>
                <c:pt idx="42">
                  <c:v>-310.2</c:v>
                </c:pt>
                <c:pt idx="43">
                  <c:v>-311</c:v>
                </c:pt>
                <c:pt idx="44">
                  <c:v>-313</c:v>
                </c:pt>
                <c:pt idx="45">
                  <c:v>-315.5</c:v>
                </c:pt>
                <c:pt idx="46">
                  <c:v>-318.89999999999998</c:v>
                </c:pt>
                <c:pt idx="47">
                  <c:v>-323.3</c:v>
                </c:pt>
                <c:pt idx="48">
                  <c:v>-326.5</c:v>
                </c:pt>
                <c:pt idx="49">
                  <c:v>-328</c:v>
                </c:pt>
                <c:pt idx="50">
                  <c:v>-328.7</c:v>
                </c:pt>
                <c:pt idx="51">
                  <c:v>-329.7</c:v>
                </c:pt>
                <c:pt idx="52">
                  <c:v>-330.6</c:v>
                </c:pt>
                <c:pt idx="53">
                  <c:v>-331.4</c:v>
                </c:pt>
                <c:pt idx="54">
                  <c:v>-331.8</c:v>
                </c:pt>
                <c:pt idx="55">
                  <c:v>-331.7</c:v>
                </c:pt>
                <c:pt idx="56">
                  <c:v>-332</c:v>
                </c:pt>
                <c:pt idx="57">
                  <c:v>-332.4</c:v>
                </c:pt>
                <c:pt idx="58">
                  <c:v>-333.1</c:v>
                </c:pt>
                <c:pt idx="59">
                  <c:v>-333.1</c:v>
                </c:pt>
                <c:pt idx="60">
                  <c:v>-332.7</c:v>
                </c:pt>
                <c:pt idx="61">
                  <c:v>-333</c:v>
                </c:pt>
                <c:pt idx="62">
                  <c:v>-332.4</c:v>
                </c:pt>
                <c:pt idx="63">
                  <c:v>-329</c:v>
                </c:pt>
                <c:pt idx="64">
                  <c:v>-324.60000000000002</c:v>
                </c:pt>
                <c:pt idx="65">
                  <c:v>-322</c:v>
                </c:pt>
                <c:pt idx="66">
                  <c:v>-321.2</c:v>
                </c:pt>
                <c:pt idx="67">
                  <c:v>-320.8</c:v>
                </c:pt>
                <c:pt idx="68">
                  <c:v>-319.60000000000002</c:v>
                </c:pt>
                <c:pt idx="69">
                  <c:v>-317.60000000000002</c:v>
                </c:pt>
                <c:pt idx="70">
                  <c:v>-316.10000000000002</c:v>
                </c:pt>
                <c:pt idx="71">
                  <c:v>-314.89999999999998</c:v>
                </c:pt>
                <c:pt idx="72">
                  <c:v>-312.89999999999998</c:v>
                </c:pt>
                <c:pt idx="73">
                  <c:v>-310</c:v>
                </c:pt>
                <c:pt idx="74">
                  <c:v>-306.8</c:v>
                </c:pt>
                <c:pt idx="75">
                  <c:v>-303</c:v>
                </c:pt>
                <c:pt idx="76">
                  <c:v>-299.3</c:v>
                </c:pt>
                <c:pt idx="77">
                  <c:v>-295.5</c:v>
                </c:pt>
                <c:pt idx="78">
                  <c:v>-291.39999999999998</c:v>
                </c:pt>
                <c:pt idx="79">
                  <c:v>-286.10000000000002</c:v>
                </c:pt>
                <c:pt idx="80">
                  <c:v>-279.7</c:v>
                </c:pt>
                <c:pt idx="81">
                  <c:v>-272.60000000000002</c:v>
                </c:pt>
                <c:pt idx="82">
                  <c:v>-264.7</c:v>
                </c:pt>
                <c:pt idx="83">
                  <c:v>-255.7</c:v>
                </c:pt>
                <c:pt idx="84">
                  <c:v>-245.2</c:v>
                </c:pt>
                <c:pt idx="85">
                  <c:v>-234</c:v>
                </c:pt>
                <c:pt idx="86">
                  <c:v>-222.2</c:v>
                </c:pt>
                <c:pt idx="87">
                  <c:v>-210.2</c:v>
                </c:pt>
                <c:pt idx="88">
                  <c:v>-199.2</c:v>
                </c:pt>
                <c:pt idx="89">
                  <c:v>-188.4</c:v>
                </c:pt>
                <c:pt idx="90">
                  <c:v>-176.4</c:v>
                </c:pt>
                <c:pt idx="91">
                  <c:v>-163.4</c:v>
                </c:pt>
                <c:pt idx="92">
                  <c:v>-149</c:v>
                </c:pt>
                <c:pt idx="93">
                  <c:v>-132</c:v>
                </c:pt>
                <c:pt idx="94">
                  <c:v>-112.6</c:v>
                </c:pt>
                <c:pt idx="95">
                  <c:v>-91.2</c:v>
                </c:pt>
                <c:pt idx="96">
                  <c:v>-69.2</c:v>
                </c:pt>
                <c:pt idx="97">
                  <c:v>-47.7</c:v>
                </c:pt>
                <c:pt idx="98">
                  <c:v>-25.5</c:v>
                </c:pt>
                <c:pt idx="99">
                  <c:v>-2.2999999999999998</c:v>
                </c:pt>
                <c:pt idx="100">
                  <c:v>21.2</c:v>
                </c:pt>
                <c:pt idx="101">
                  <c:v>46.1</c:v>
                </c:pt>
                <c:pt idx="102">
                  <c:v>90.8</c:v>
                </c:pt>
                <c:pt idx="103">
                  <c:v>179</c:v>
                </c:pt>
                <c:pt idx="104">
                  <c:v>267</c:v>
                </c:pt>
                <c:pt idx="105">
                  <c:v>331.5</c:v>
                </c:pt>
                <c:pt idx="106">
                  <c:v>382.9</c:v>
                </c:pt>
                <c:pt idx="107">
                  <c:v>422.9</c:v>
                </c:pt>
                <c:pt idx="108">
                  <c:v>454.2</c:v>
                </c:pt>
                <c:pt idx="109">
                  <c:v>481.3</c:v>
                </c:pt>
                <c:pt idx="110">
                  <c:v>503.1</c:v>
                </c:pt>
                <c:pt idx="111">
                  <c:v>518.9</c:v>
                </c:pt>
                <c:pt idx="112">
                  <c:v>526.1</c:v>
                </c:pt>
                <c:pt idx="113">
                  <c:v>528.9</c:v>
                </c:pt>
                <c:pt idx="114">
                  <c:v>539.5</c:v>
                </c:pt>
                <c:pt idx="115">
                  <c:v>560.20000000000005</c:v>
                </c:pt>
                <c:pt idx="116">
                  <c:v>582.20000000000005</c:v>
                </c:pt>
                <c:pt idx="117">
                  <c:v>600.29999999999995</c:v>
                </c:pt>
                <c:pt idx="118">
                  <c:v>605.70000000000005</c:v>
                </c:pt>
                <c:pt idx="119">
                  <c:v>596.79999999999995</c:v>
                </c:pt>
                <c:pt idx="120">
                  <c:v>589.4</c:v>
                </c:pt>
                <c:pt idx="121">
                  <c:v>591.4</c:v>
                </c:pt>
                <c:pt idx="122">
                  <c:v>602</c:v>
                </c:pt>
                <c:pt idx="123">
                  <c:v>569.79999999999995</c:v>
                </c:pt>
                <c:pt idx="124">
                  <c:v>474.6</c:v>
                </c:pt>
                <c:pt idx="125">
                  <c:v>368.5</c:v>
                </c:pt>
                <c:pt idx="126">
                  <c:v>282</c:v>
                </c:pt>
                <c:pt idx="127">
                  <c:v>211</c:v>
                </c:pt>
                <c:pt idx="128">
                  <c:v>150.80000000000001</c:v>
                </c:pt>
                <c:pt idx="129">
                  <c:v>93.8</c:v>
                </c:pt>
                <c:pt idx="130">
                  <c:v>52.2</c:v>
                </c:pt>
                <c:pt idx="131">
                  <c:v>30.2</c:v>
                </c:pt>
                <c:pt idx="132">
                  <c:v>19</c:v>
                </c:pt>
                <c:pt idx="133">
                  <c:v>12.8</c:v>
                </c:pt>
                <c:pt idx="134">
                  <c:v>8.8000000000000007</c:v>
                </c:pt>
                <c:pt idx="135">
                  <c:v>6</c:v>
                </c:pt>
                <c:pt idx="136">
                  <c:v>4.0999999999999996</c:v>
                </c:pt>
                <c:pt idx="137">
                  <c:v>2.6</c:v>
                </c:pt>
                <c:pt idx="138">
                  <c:v>1.6</c:v>
                </c:pt>
                <c:pt idx="139">
                  <c:v>1.1000000000000001</c:v>
                </c:pt>
                <c:pt idx="140">
                  <c:v>0.7</c:v>
                </c:pt>
                <c:pt idx="141">
                  <c:v>0.6</c:v>
                </c:pt>
                <c:pt idx="142">
                  <c:v>0.4</c:v>
                </c:pt>
                <c:pt idx="143">
                  <c:v>0.2</c:v>
                </c:pt>
                <c:pt idx="144">
                  <c:v>0</c:v>
                </c:pt>
                <c:pt idx="145">
                  <c:v>-0.1</c:v>
                </c:pt>
                <c:pt idx="146">
                  <c:v>-0.1</c:v>
                </c:pt>
                <c:pt idx="147">
                  <c:v>-0.1</c:v>
                </c:pt>
                <c:pt idx="148">
                  <c:v>-0.1</c:v>
                </c:pt>
                <c:pt idx="149">
                  <c:v>-0.1</c:v>
                </c:pt>
                <c:pt idx="150">
                  <c:v>-0.1</c:v>
                </c:pt>
                <c:pt idx="151">
                  <c:v>-0.1</c:v>
                </c:pt>
                <c:pt idx="152">
                  <c:v>-0.1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</c:v>
                </c:pt>
                <c:pt idx="157">
                  <c:v>0.2</c:v>
                </c:pt>
                <c:pt idx="158">
                  <c:v>0.4</c:v>
                </c:pt>
                <c:pt idx="159">
                  <c:v>0.4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0.6</c:v>
                </c:pt>
                <c:pt idx="167">
                  <c:v>0.6</c:v>
                </c:pt>
                <c:pt idx="168">
                  <c:v>0.7</c:v>
                </c:pt>
                <c:pt idx="169">
                  <c:v>0.7</c:v>
                </c:pt>
                <c:pt idx="170">
                  <c:v>0.8</c:v>
                </c:pt>
                <c:pt idx="171">
                  <c:v>0.8</c:v>
                </c:pt>
                <c:pt idx="172">
                  <c:v>0.9</c:v>
                </c:pt>
                <c:pt idx="173">
                  <c:v>0.9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1.2</c:v>
                </c:pt>
                <c:pt idx="180">
                  <c:v>1.3</c:v>
                </c:pt>
                <c:pt idx="181">
                  <c:v>1.3</c:v>
                </c:pt>
                <c:pt idx="182">
                  <c:v>1.3</c:v>
                </c:pt>
                <c:pt idx="183">
                  <c:v>1.4</c:v>
                </c:pt>
                <c:pt idx="184">
                  <c:v>1.4</c:v>
                </c:pt>
                <c:pt idx="185">
                  <c:v>1.5</c:v>
                </c:pt>
                <c:pt idx="186">
                  <c:v>1.5</c:v>
                </c:pt>
                <c:pt idx="187">
                  <c:v>1.6</c:v>
                </c:pt>
                <c:pt idx="188">
                  <c:v>1.6</c:v>
                </c:pt>
                <c:pt idx="189">
                  <c:v>1.6</c:v>
                </c:pt>
                <c:pt idx="190">
                  <c:v>1.7</c:v>
                </c:pt>
                <c:pt idx="191">
                  <c:v>1.7</c:v>
                </c:pt>
                <c:pt idx="192">
                  <c:v>1.8</c:v>
                </c:pt>
                <c:pt idx="193">
                  <c:v>1.8</c:v>
                </c:pt>
                <c:pt idx="194">
                  <c:v>1.8</c:v>
                </c:pt>
                <c:pt idx="195">
                  <c:v>1.9</c:v>
                </c:pt>
                <c:pt idx="196">
                  <c:v>1.9</c:v>
                </c:pt>
                <c:pt idx="197">
                  <c:v>1.9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2.1</c:v>
                </c:pt>
                <c:pt idx="202">
                  <c:v>2.1</c:v>
                </c:pt>
                <c:pt idx="203">
                  <c:v>2.1</c:v>
                </c:pt>
                <c:pt idx="204">
                  <c:v>2.1</c:v>
                </c:pt>
                <c:pt idx="205">
                  <c:v>2.2000000000000002</c:v>
                </c:pt>
                <c:pt idx="206">
                  <c:v>2.2000000000000002</c:v>
                </c:pt>
                <c:pt idx="207">
                  <c:v>2.2999999999999998</c:v>
                </c:pt>
                <c:pt idx="208">
                  <c:v>2.2999999999999998</c:v>
                </c:pt>
                <c:pt idx="209">
                  <c:v>2.2999999999999998</c:v>
                </c:pt>
                <c:pt idx="210">
                  <c:v>2.4</c:v>
                </c:pt>
                <c:pt idx="211">
                  <c:v>2.4</c:v>
                </c:pt>
                <c:pt idx="212">
                  <c:v>2.4</c:v>
                </c:pt>
                <c:pt idx="213">
                  <c:v>2.5</c:v>
                </c:pt>
                <c:pt idx="214">
                  <c:v>2.5</c:v>
                </c:pt>
                <c:pt idx="215">
                  <c:v>2.5</c:v>
                </c:pt>
                <c:pt idx="216">
                  <c:v>2.5</c:v>
                </c:pt>
                <c:pt idx="217">
                  <c:v>2.6</c:v>
                </c:pt>
                <c:pt idx="218">
                  <c:v>2.6</c:v>
                </c:pt>
                <c:pt idx="219">
                  <c:v>2.6</c:v>
                </c:pt>
                <c:pt idx="220">
                  <c:v>2.7</c:v>
                </c:pt>
                <c:pt idx="22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3F96-4FD5-AAD3-4A96061D2A6F}"/>
            </c:ext>
          </c:extLst>
        </c:ser>
        <c:ser>
          <c:idx val="4"/>
          <c:order val="4"/>
          <c:tx>
            <c:strRef>
              <c:f>'100ml'!$A$3:$A$224</c:f>
              <c:strCache>
                <c:ptCount val="2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'100ml'!$A$3:$A$224</c:f>
              <c:numCache>
                <c:formatCode>General</c:formatCode>
                <c:ptCount val="2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</c:numCache>
            </c:numRef>
          </c:xVal>
          <c:yVal>
            <c:numRef>
              <c:f>'100ml'!$F$3:$F$224</c:f>
              <c:numCache>
                <c:formatCode>General</c:formatCode>
                <c:ptCount val="222"/>
                <c:pt idx="0">
                  <c:v>-0.4</c:v>
                </c:pt>
                <c:pt idx="1">
                  <c:v>-0.4</c:v>
                </c:pt>
                <c:pt idx="2">
                  <c:v>-0.4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-0.6</c:v>
                </c:pt>
                <c:pt idx="7">
                  <c:v>-0.6</c:v>
                </c:pt>
                <c:pt idx="8">
                  <c:v>-1.6</c:v>
                </c:pt>
                <c:pt idx="9">
                  <c:v>-10.6</c:v>
                </c:pt>
                <c:pt idx="10">
                  <c:v>-51.9</c:v>
                </c:pt>
                <c:pt idx="11">
                  <c:v>-112.6</c:v>
                </c:pt>
                <c:pt idx="12">
                  <c:v>-152.30000000000001</c:v>
                </c:pt>
                <c:pt idx="13">
                  <c:v>-181.7</c:v>
                </c:pt>
                <c:pt idx="14">
                  <c:v>-213.4</c:v>
                </c:pt>
                <c:pt idx="15">
                  <c:v>-242.3</c:v>
                </c:pt>
                <c:pt idx="16">
                  <c:v>-284</c:v>
                </c:pt>
                <c:pt idx="17">
                  <c:v>-329.2</c:v>
                </c:pt>
                <c:pt idx="18">
                  <c:v>-359.9</c:v>
                </c:pt>
                <c:pt idx="19">
                  <c:v>-379.6</c:v>
                </c:pt>
                <c:pt idx="20">
                  <c:v>-391.2</c:v>
                </c:pt>
                <c:pt idx="21">
                  <c:v>-399.4</c:v>
                </c:pt>
                <c:pt idx="22">
                  <c:v>-408.7</c:v>
                </c:pt>
                <c:pt idx="23">
                  <c:v>-415.8</c:v>
                </c:pt>
                <c:pt idx="24">
                  <c:v>-419.9</c:v>
                </c:pt>
                <c:pt idx="25">
                  <c:v>-420.9</c:v>
                </c:pt>
                <c:pt idx="26">
                  <c:v>-419.8</c:v>
                </c:pt>
                <c:pt idx="27">
                  <c:v>-419</c:v>
                </c:pt>
                <c:pt idx="28">
                  <c:v>-421.2</c:v>
                </c:pt>
                <c:pt idx="29">
                  <c:v>-422.4</c:v>
                </c:pt>
                <c:pt idx="30">
                  <c:v>-419.1</c:v>
                </c:pt>
                <c:pt idx="31">
                  <c:v>-411.8</c:v>
                </c:pt>
                <c:pt idx="32">
                  <c:v>-403.3</c:v>
                </c:pt>
                <c:pt idx="33">
                  <c:v>-395.4</c:v>
                </c:pt>
                <c:pt idx="34">
                  <c:v>-387.7</c:v>
                </c:pt>
                <c:pt idx="35">
                  <c:v>-380.4</c:v>
                </c:pt>
                <c:pt idx="36">
                  <c:v>-374.1</c:v>
                </c:pt>
                <c:pt idx="37">
                  <c:v>-368.8</c:v>
                </c:pt>
                <c:pt idx="38">
                  <c:v>-363.5</c:v>
                </c:pt>
                <c:pt idx="39">
                  <c:v>-357.6</c:v>
                </c:pt>
                <c:pt idx="40">
                  <c:v>-351.1</c:v>
                </c:pt>
                <c:pt idx="41">
                  <c:v>-344.8</c:v>
                </c:pt>
                <c:pt idx="42">
                  <c:v>-339.9</c:v>
                </c:pt>
                <c:pt idx="43">
                  <c:v>-336.7</c:v>
                </c:pt>
                <c:pt idx="44">
                  <c:v>-334.5</c:v>
                </c:pt>
                <c:pt idx="45">
                  <c:v>-331.5</c:v>
                </c:pt>
                <c:pt idx="46">
                  <c:v>-327.3</c:v>
                </c:pt>
                <c:pt idx="47">
                  <c:v>-322.39999999999998</c:v>
                </c:pt>
                <c:pt idx="48">
                  <c:v>-318.10000000000002</c:v>
                </c:pt>
                <c:pt idx="49">
                  <c:v>-314.7</c:v>
                </c:pt>
                <c:pt idx="50">
                  <c:v>-312</c:v>
                </c:pt>
                <c:pt idx="51">
                  <c:v>-309.10000000000002</c:v>
                </c:pt>
                <c:pt idx="52">
                  <c:v>-305.39999999999998</c:v>
                </c:pt>
                <c:pt idx="53">
                  <c:v>-301.2</c:v>
                </c:pt>
                <c:pt idx="54">
                  <c:v>-296.89999999999998</c:v>
                </c:pt>
                <c:pt idx="55">
                  <c:v>-293.3</c:v>
                </c:pt>
                <c:pt idx="56">
                  <c:v>-289.39999999999998</c:v>
                </c:pt>
                <c:pt idx="57">
                  <c:v>-284.89999999999998</c:v>
                </c:pt>
                <c:pt idx="58">
                  <c:v>-279.89999999999998</c:v>
                </c:pt>
                <c:pt idx="59">
                  <c:v>-274.7</c:v>
                </c:pt>
                <c:pt idx="60">
                  <c:v>-270.10000000000002</c:v>
                </c:pt>
                <c:pt idx="61">
                  <c:v>-266.3</c:v>
                </c:pt>
                <c:pt idx="62">
                  <c:v>-262.60000000000002</c:v>
                </c:pt>
                <c:pt idx="63">
                  <c:v>-259</c:v>
                </c:pt>
                <c:pt idx="64">
                  <c:v>-255.8</c:v>
                </c:pt>
                <c:pt idx="65">
                  <c:v>-252.7</c:v>
                </c:pt>
                <c:pt idx="66">
                  <c:v>-249.6</c:v>
                </c:pt>
                <c:pt idx="67">
                  <c:v>-245.6</c:v>
                </c:pt>
                <c:pt idx="68">
                  <c:v>-240.9</c:v>
                </c:pt>
                <c:pt idx="69">
                  <c:v>-236.7</c:v>
                </c:pt>
                <c:pt idx="70">
                  <c:v>-234</c:v>
                </c:pt>
                <c:pt idx="71">
                  <c:v>-232.7</c:v>
                </c:pt>
                <c:pt idx="72">
                  <c:v>-232.3</c:v>
                </c:pt>
                <c:pt idx="73">
                  <c:v>-232</c:v>
                </c:pt>
                <c:pt idx="74">
                  <c:v>-231.5</c:v>
                </c:pt>
                <c:pt idx="75">
                  <c:v>-231</c:v>
                </c:pt>
                <c:pt idx="76">
                  <c:v>-230</c:v>
                </c:pt>
                <c:pt idx="77">
                  <c:v>-228.6</c:v>
                </c:pt>
                <c:pt idx="78">
                  <c:v>-226.3</c:v>
                </c:pt>
                <c:pt idx="79">
                  <c:v>-222.7</c:v>
                </c:pt>
                <c:pt idx="80">
                  <c:v>-218.8</c:v>
                </c:pt>
                <c:pt idx="81">
                  <c:v>-215.3</c:v>
                </c:pt>
                <c:pt idx="82">
                  <c:v>-212.4</c:v>
                </c:pt>
                <c:pt idx="83">
                  <c:v>-209.9</c:v>
                </c:pt>
                <c:pt idx="84">
                  <c:v>-207.7</c:v>
                </c:pt>
                <c:pt idx="85">
                  <c:v>-205.5</c:v>
                </c:pt>
                <c:pt idx="86">
                  <c:v>-202.9</c:v>
                </c:pt>
                <c:pt idx="87">
                  <c:v>-199.9</c:v>
                </c:pt>
                <c:pt idx="88">
                  <c:v>-196</c:v>
                </c:pt>
                <c:pt idx="89">
                  <c:v>-191.9</c:v>
                </c:pt>
                <c:pt idx="90">
                  <c:v>-188.3</c:v>
                </c:pt>
                <c:pt idx="91">
                  <c:v>-184.4</c:v>
                </c:pt>
                <c:pt idx="92">
                  <c:v>-179</c:v>
                </c:pt>
                <c:pt idx="93">
                  <c:v>-169.7</c:v>
                </c:pt>
                <c:pt idx="94">
                  <c:v>-153.9</c:v>
                </c:pt>
                <c:pt idx="95">
                  <c:v>-133.19999999999999</c:v>
                </c:pt>
                <c:pt idx="96">
                  <c:v>-114.2</c:v>
                </c:pt>
                <c:pt idx="97">
                  <c:v>-99.4</c:v>
                </c:pt>
                <c:pt idx="98">
                  <c:v>-88.4</c:v>
                </c:pt>
                <c:pt idx="99">
                  <c:v>-79.900000000000006</c:v>
                </c:pt>
                <c:pt idx="100">
                  <c:v>-73.2</c:v>
                </c:pt>
                <c:pt idx="101">
                  <c:v>-67.400000000000006</c:v>
                </c:pt>
                <c:pt idx="102">
                  <c:v>-61.5</c:v>
                </c:pt>
                <c:pt idx="103">
                  <c:v>-54.3</c:v>
                </c:pt>
                <c:pt idx="104">
                  <c:v>-45.3</c:v>
                </c:pt>
                <c:pt idx="105">
                  <c:v>-34.9</c:v>
                </c:pt>
                <c:pt idx="106">
                  <c:v>-21.2</c:v>
                </c:pt>
                <c:pt idx="107">
                  <c:v>-3.8</c:v>
                </c:pt>
                <c:pt idx="108">
                  <c:v>15.4</c:v>
                </c:pt>
                <c:pt idx="109">
                  <c:v>35.4</c:v>
                </c:pt>
                <c:pt idx="110">
                  <c:v>66.099999999999994</c:v>
                </c:pt>
                <c:pt idx="111">
                  <c:v>131.80000000000001</c:v>
                </c:pt>
                <c:pt idx="112">
                  <c:v>210.8</c:v>
                </c:pt>
                <c:pt idx="113">
                  <c:v>273.60000000000002</c:v>
                </c:pt>
                <c:pt idx="114">
                  <c:v>327.10000000000002</c:v>
                </c:pt>
                <c:pt idx="115">
                  <c:v>367</c:v>
                </c:pt>
                <c:pt idx="116">
                  <c:v>395.7</c:v>
                </c:pt>
                <c:pt idx="117">
                  <c:v>419.4</c:v>
                </c:pt>
                <c:pt idx="118">
                  <c:v>442.4</c:v>
                </c:pt>
                <c:pt idx="119">
                  <c:v>460.7</c:v>
                </c:pt>
                <c:pt idx="120">
                  <c:v>473.3</c:v>
                </c:pt>
                <c:pt idx="121">
                  <c:v>479.8</c:v>
                </c:pt>
                <c:pt idx="122">
                  <c:v>485.2</c:v>
                </c:pt>
                <c:pt idx="123">
                  <c:v>494</c:v>
                </c:pt>
                <c:pt idx="124">
                  <c:v>503.2</c:v>
                </c:pt>
                <c:pt idx="125">
                  <c:v>512.29999999999995</c:v>
                </c:pt>
                <c:pt idx="126">
                  <c:v>519.1</c:v>
                </c:pt>
                <c:pt idx="127">
                  <c:v>525.4</c:v>
                </c:pt>
                <c:pt idx="128">
                  <c:v>533.6</c:v>
                </c:pt>
                <c:pt idx="129">
                  <c:v>540.1</c:v>
                </c:pt>
                <c:pt idx="130">
                  <c:v>544.9</c:v>
                </c:pt>
                <c:pt idx="131">
                  <c:v>550.6</c:v>
                </c:pt>
                <c:pt idx="132">
                  <c:v>558.5</c:v>
                </c:pt>
                <c:pt idx="133">
                  <c:v>582.6</c:v>
                </c:pt>
                <c:pt idx="134">
                  <c:v>619.29999999999995</c:v>
                </c:pt>
                <c:pt idx="135">
                  <c:v>588.1</c:v>
                </c:pt>
                <c:pt idx="136">
                  <c:v>474.3</c:v>
                </c:pt>
                <c:pt idx="137">
                  <c:v>364.4</c:v>
                </c:pt>
                <c:pt idx="138">
                  <c:v>269.2</c:v>
                </c:pt>
                <c:pt idx="139">
                  <c:v>165</c:v>
                </c:pt>
                <c:pt idx="140">
                  <c:v>85</c:v>
                </c:pt>
                <c:pt idx="141">
                  <c:v>46.9</c:v>
                </c:pt>
                <c:pt idx="142">
                  <c:v>28.1</c:v>
                </c:pt>
                <c:pt idx="143">
                  <c:v>17.7</c:v>
                </c:pt>
                <c:pt idx="144">
                  <c:v>11.2</c:v>
                </c:pt>
                <c:pt idx="145">
                  <c:v>7</c:v>
                </c:pt>
                <c:pt idx="146">
                  <c:v>4</c:v>
                </c:pt>
                <c:pt idx="147">
                  <c:v>2</c:v>
                </c:pt>
                <c:pt idx="148">
                  <c:v>0.6</c:v>
                </c:pt>
                <c:pt idx="149">
                  <c:v>-0.5</c:v>
                </c:pt>
                <c:pt idx="150">
                  <c:v>-1</c:v>
                </c:pt>
                <c:pt idx="151">
                  <c:v>-1.3</c:v>
                </c:pt>
                <c:pt idx="152">
                  <c:v>-1.7</c:v>
                </c:pt>
                <c:pt idx="153">
                  <c:v>-1.8</c:v>
                </c:pt>
                <c:pt idx="154">
                  <c:v>-1.9</c:v>
                </c:pt>
                <c:pt idx="155">
                  <c:v>-1.9</c:v>
                </c:pt>
                <c:pt idx="156">
                  <c:v>-1.9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-1.9</c:v>
                </c:pt>
                <c:pt idx="161">
                  <c:v>-1.9</c:v>
                </c:pt>
                <c:pt idx="162">
                  <c:v>-1.9</c:v>
                </c:pt>
                <c:pt idx="163">
                  <c:v>-1.9</c:v>
                </c:pt>
                <c:pt idx="164">
                  <c:v>-1.8</c:v>
                </c:pt>
                <c:pt idx="165">
                  <c:v>-1.8</c:v>
                </c:pt>
                <c:pt idx="166">
                  <c:v>-1.7</c:v>
                </c:pt>
                <c:pt idx="167">
                  <c:v>-1.7</c:v>
                </c:pt>
                <c:pt idx="168">
                  <c:v>-1.7</c:v>
                </c:pt>
                <c:pt idx="169">
                  <c:v>-1.6</c:v>
                </c:pt>
                <c:pt idx="170">
                  <c:v>-1.6</c:v>
                </c:pt>
                <c:pt idx="171">
                  <c:v>-1.5</c:v>
                </c:pt>
                <c:pt idx="172">
                  <c:v>-1.5</c:v>
                </c:pt>
                <c:pt idx="173">
                  <c:v>-1.5</c:v>
                </c:pt>
                <c:pt idx="174">
                  <c:v>-1.4</c:v>
                </c:pt>
                <c:pt idx="175">
                  <c:v>-1.4</c:v>
                </c:pt>
                <c:pt idx="176">
                  <c:v>-1.3</c:v>
                </c:pt>
                <c:pt idx="177">
                  <c:v>-1.2</c:v>
                </c:pt>
                <c:pt idx="178">
                  <c:v>-1.2</c:v>
                </c:pt>
                <c:pt idx="179">
                  <c:v>-1.1000000000000001</c:v>
                </c:pt>
                <c:pt idx="180">
                  <c:v>-1.1000000000000001</c:v>
                </c:pt>
                <c:pt idx="181">
                  <c:v>-1</c:v>
                </c:pt>
                <c:pt idx="182">
                  <c:v>-1</c:v>
                </c:pt>
                <c:pt idx="183">
                  <c:v>-0.9</c:v>
                </c:pt>
                <c:pt idx="184">
                  <c:v>-0.9</c:v>
                </c:pt>
                <c:pt idx="185">
                  <c:v>-0.8</c:v>
                </c:pt>
                <c:pt idx="186">
                  <c:v>0.8</c:v>
                </c:pt>
                <c:pt idx="187">
                  <c:v>-0.7</c:v>
                </c:pt>
                <c:pt idx="188">
                  <c:v>-0.7</c:v>
                </c:pt>
                <c:pt idx="189">
                  <c:v>-0.6</c:v>
                </c:pt>
                <c:pt idx="190">
                  <c:v>-0.6</c:v>
                </c:pt>
                <c:pt idx="191">
                  <c:v>-0.5</c:v>
                </c:pt>
                <c:pt idx="192">
                  <c:v>-0.5</c:v>
                </c:pt>
                <c:pt idx="193">
                  <c:v>-0.4</c:v>
                </c:pt>
                <c:pt idx="194">
                  <c:v>-0.4</c:v>
                </c:pt>
                <c:pt idx="195">
                  <c:v>-0.3</c:v>
                </c:pt>
                <c:pt idx="196">
                  <c:v>-0.3</c:v>
                </c:pt>
                <c:pt idx="197">
                  <c:v>-0.2</c:v>
                </c:pt>
                <c:pt idx="198">
                  <c:v>-0.2</c:v>
                </c:pt>
                <c:pt idx="199">
                  <c:v>-0.1</c:v>
                </c:pt>
                <c:pt idx="200">
                  <c:v>-0.1</c:v>
                </c:pt>
                <c:pt idx="201">
                  <c:v>-0.1</c:v>
                </c:pt>
                <c:pt idx="202">
                  <c:v>-0.1</c:v>
                </c:pt>
                <c:pt idx="203">
                  <c:v>0</c:v>
                </c:pt>
                <c:pt idx="204">
                  <c:v>0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0.2</c:v>
                </c:pt>
                <c:pt idx="209">
                  <c:v>0.2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0.4</c:v>
                </c:pt>
                <c:pt idx="214">
                  <c:v>0.4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1-3F96-4FD5-AAD3-4A96061D2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112928"/>
        <c:axId val="653121208"/>
      </c:scatterChart>
      <c:valAx>
        <c:axId val="65311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121208"/>
        <c:crosses val="autoZero"/>
        <c:crossBetween val="midCat"/>
      </c:valAx>
      <c:valAx>
        <c:axId val="65312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11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HX711 Pressure Measurements - Bubbles Right Pressure 100ml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'100ml'!$H$3:$H$204</c:f>
              <c:numCache>
                <c:formatCode>General</c:formatCode>
                <c:ptCount val="2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</c:numCache>
            </c:numRef>
          </c:xVal>
          <c:yVal>
            <c:numRef>
              <c:f>'100ml'!$I$3:$I$204</c:f>
              <c:numCache>
                <c:formatCode>General</c:formatCode>
                <c:ptCount val="202"/>
                <c:pt idx="0">
                  <c:v>0.9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1.3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2.7</c:v>
                </c:pt>
                <c:pt idx="14">
                  <c:v>3</c:v>
                </c:pt>
                <c:pt idx="15">
                  <c:v>3.3</c:v>
                </c:pt>
                <c:pt idx="16">
                  <c:v>3.5</c:v>
                </c:pt>
                <c:pt idx="17">
                  <c:v>3.8</c:v>
                </c:pt>
                <c:pt idx="18">
                  <c:v>4.4000000000000004</c:v>
                </c:pt>
                <c:pt idx="19">
                  <c:v>5.2</c:v>
                </c:pt>
                <c:pt idx="20">
                  <c:v>6</c:v>
                </c:pt>
                <c:pt idx="21">
                  <c:v>6.8</c:v>
                </c:pt>
                <c:pt idx="22">
                  <c:v>7.9</c:v>
                </c:pt>
                <c:pt idx="23">
                  <c:v>9.1</c:v>
                </c:pt>
                <c:pt idx="24">
                  <c:v>10.8</c:v>
                </c:pt>
                <c:pt idx="25">
                  <c:v>13.6</c:v>
                </c:pt>
                <c:pt idx="26">
                  <c:v>17.5</c:v>
                </c:pt>
                <c:pt idx="27">
                  <c:v>22</c:v>
                </c:pt>
                <c:pt idx="28">
                  <c:v>28.7</c:v>
                </c:pt>
                <c:pt idx="29">
                  <c:v>37.5</c:v>
                </c:pt>
                <c:pt idx="30">
                  <c:v>46.7</c:v>
                </c:pt>
                <c:pt idx="31">
                  <c:v>56.9</c:v>
                </c:pt>
                <c:pt idx="32">
                  <c:v>74.599999999999994</c:v>
                </c:pt>
                <c:pt idx="33">
                  <c:v>110.4</c:v>
                </c:pt>
                <c:pt idx="34">
                  <c:v>157.1</c:v>
                </c:pt>
                <c:pt idx="35">
                  <c:v>196.2</c:v>
                </c:pt>
                <c:pt idx="36">
                  <c:v>225.1</c:v>
                </c:pt>
                <c:pt idx="37">
                  <c:v>251.8</c:v>
                </c:pt>
                <c:pt idx="38">
                  <c:v>277.39999999999998</c:v>
                </c:pt>
                <c:pt idx="39">
                  <c:v>298.89999999999998</c:v>
                </c:pt>
                <c:pt idx="40">
                  <c:v>315.5</c:v>
                </c:pt>
                <c:pt idx="41">
                  <c:v>328.9</c:v>
                </c:pt>
                <c:pt idx="42">
                  <c:v>341.3</c:v>
                </c:pt>
                <c:pt idx="43">
                  <c:v>354.6</c:v>
                </c:pt>
                <c:pt idx="44">
                  <c:v>366.9</c:v>
                </c:pt>
                <c:pt idx="45">
                  <c:v>378.1</c:v>
                </c:pt>
                <c:pt idx="46">
                  <c:v>389.2</c:v>
                </c:pt>
                <c:pt idx="47">
                  <c:v>401.4</c:v>
                </c:pt>
                <c:pt idx="48">
                  <c:v>413.7</c:v>
                </c:pt>
                <c:pt idx="49">
                  <c:v>425.8</c:v>
                </c:pt>
                <c:pt idx="50">
                  <c:v>438.9</c:v>
                </c:pt>
                <c:pt idx="51">
                  <c:v>447.8</c:v>
                </c:pt>
                <c:pt idx="52">
                  <c:v>452.5</c:v>
                </c:pt>
                <c:pt idx="53">
                  <c:v>453.8</c:v>
                </c:pt>
                <c:pt idx="54">
                  <c:v>461.4</c:v>
                </c:pt>
                <c:pt idx="55">
                  <c:v>482.4</c:v>
                </c:pt>
                <c:pt idx="56">
                  <c:v>516.9</c:v>
                </c:pt>
                <c:pt idx="57">
                  <c:v>549.20000000000005</c:v>
                </c:pt>
                <c:pt idx="58">
                  <c:v>571.5</c:v>
                </c:pt>
                <c:pt idx="59">
                  <c:v>590</c:v>
                </c:pt>
                <c:pt idx="60">
                  <c:v>604.9</c:v>
                </c:pt>
                <c:pt idx="61">
                  <c:v>612.29999999999995</c:v>
                </c:pt>
                <c:pt idx="62">
                  <c:v>610.9</c:v>
                </c:pt>
                <c:pt idx="63">
                  <c:v>614.20000000000005</c:v>
                </c:pt>
                <c:pt idx="64">
                  <c:v>619.79999999999995</c:v>
                </c:pt>
                <c:pt idx="65">
                  <c:v>625.6</c:v>
                </c:pt>
                <c:pt idx="66">
                  <c:v>583.9</c:v>
                </c:pt>
                <c:pt idx="67">
                  <c:v>482.8</c:v>
                </c:pt>
                <c:pt idx="68">
                  <c:v>387.3</c:v>
                </c:pt>
                <c:pt idx="69">
                  <c:v>303</c:v>
                </c:pt>
                <c:pt idx="70">
                  <c:v>212.6</c:v>
                </c:pt>
                <c:pt idx="71">
                  <c:v>132.69999999999999</c:v>
                </c:pt>
                <c:pt idx="72">
                  <c:v>85.8</c:v>
                </c:pt>
                <c:pt idx="73">
                  <c:v>63.2</c:v>
                </c:pt>
                <c:pt idx="74">
                  <c:v>50.8</c:v>
                </c:pt>
                <c:pt idx="75">
                  <c:v>43.2</c:v>
                </c:pt>
                <c:pt idx="76">
                  <c:v>42.5</c:v>
                </c:pt>
                <c:pt idx="77">
                  <c:v>40.200000000000003</c:v>
                </c:pt>
                <c:pt idx="78">
                  <c:v>32.200000000000003</c:v>
                </c:pt>
                <c:pt idx="79">
                  <c:v>28.8</c:v>
                </c:pt>
                <c:pt idx="80">
                  <c:v>27.2</c:v>
                </c:pt>
                <c:pt idx="81">
                  <c:v>26</c:v>
                </c:pt>
                <c:pt idx="82">
                  <c:v>25.1</c:v>
                </c:pt>
                <c:pt idx="83">
                  <c:v>24.4</c:v>
                </c:pt>
                <c:pt idx="84">
                  <c:v>23.9</c:v>
                </c:pt>
                <c:pt idx="85">
                  <c:v>23.7</c:v>
                </c:pt>
                <c:pt idx="86">
                  <c:v>23.6</c:v>
                </c:pt>
                <c:pt idx="87">
                  <c:v>23.6</c:v>
                </c:pt>
                <c:pt idx="88">
                  <c:v>23.5</c:v>
                </c:pt>
                <c:pt idx="89">
                  <c:v>23.5</c:v>
                </c:pt>
                <c:pt idx="90">
                  <c:v>23.5</c:v>
                </c:pt>
                <c:pt idx="91">
                  <c:v>23.4</c:v>
                </c:pt>
                <c:pt idx="92">
                  <c:v>23.4</c:v>
                </c:pt>
                <c:pt idx="93">
                  <c:v>23.4</c:v>
                </c:pt>
                <c:pt idx="94">
                  <c:v>23.4</c:v>
                </c:pt>
                <c:pt idx="95">
                  <c:v>23.5</c:v>
                </c:pt>
                <c:pt idx="96">
                  <c:v>23.5</c:v>
                </c:pt>
                <c:pt idx="97">
                  <c:v>23.5</c:v>
                </c:pt>
                <c:pt idx="98">
                  <c:v>23.6</c:v>
                </c:pt>
                <c:pt idx="99">
                  <c:v>23.6</c:v>
                </c:pt>
                <c:pt idx="100">
                  <c:v>23.6</c:v>
                </c:pt>
                <c:pt idx="101">
                  <c:v>23.7</c:v>
                </c:pt>
                <c:pt idx="102">
                  <c:v>23.7</c:v>
                </c:pt>
                <c:pt idx="103">
                  <c:v>23.8</c:v>
                </c:pt>
                <c:pt idx="104">
                  <c:v>23.8</c:v>
                </c:pt>
                <c:pt idx="105">
                  <c:v>23.9</c:v>
                </c:pt>
                <c:pt idx="106">
                  <c:v>24</c:v>
                </c:pt>
                <c:pt idx="107">
                  <c:v>24</c:v>
                </c:pt>
                <c:pt idx="108">
                  <c:v>24.1</c:v>
                </c:pt>
                <c:pt idx="109">
                  <c:v>24.1</c:v>
                </c:pt>
                <c:pt idx="110">
                  <c:v>24.2</c:v>
                </c:pt>
                <c:pt idx="111">
                  <c:v>24.3</c:v>
                </c:pt>
                <c:pt idx="112">
                  <c:v>24.3</c:v>
                </c:pt>
                <c:pt idx="113">
                  <c:v>24.4</c:v>
                </c:pt>
                <c:pt idx="114">
                  <c:v>24.5</c:v>
                </c:pt>
                <c:pt idx="115">
                  <c:v>24.5</c:v>
                </c:pt>
                <c:pt idx="116">
                  <c:v>24.6</c:v>
                </c:pt>
                <c:pt idx="117">
                  <c:v>24.6</c:v>
                </c:pt>
                <c:pt idx="118">
                  <c:v>24.7</c:v>
                </c:pt>
                <c:pt idx="119">
                  <c:v>24.8</c:v>
                </c:pt>
                <c:pt idx="120">
                  <c:v>24.8</c:v>
                </c:pt>
                <c:pt idx="121">
                  <c:v>24.9</c:v>
                </c:pt>
                <c:pt idx="122">
                  <c:v>24.9</c:v>
                </c:pt>
                <c:pt idx="123">
                  <c:v>25</c:v>
                </c:pt>
                <c:pt idx="124">
                  <c:v>25.1</c:v>
                </c:pt>
                <c:pt idx="125">
                  <c:v>25.1</c:v>
                </c:pt>
                <c:pt idx="126">
                  <c:v>25.2</c:v>
                </c:pt>
                <c:pt idx="127">
                  <c:v>25.2</c:v>
                </c:pt>
                <c:pt idx="128">
                  <c:v>25.3</c:v>
                </c:pt>
                <c:pt idx="129">
                  <c:v>25.3</c:v>
                </c:pt>
                <c:pt idx="130">
                  <c:v>25.4</c:v>
                </c:pt>
                <c:pt idx="131">
                  <c:v>25.4</c:v>
                </c:pt>
                <c:pt idx="132">
                  <c:v>25.5</c:v>
                </c:pt>
                <c:pt idx="133">
                  <c:v>25.6</c:v>
                </c:pt>
                <c:pt idx="134">
                  <c:v>25.6</c:v>
                </c:pt>
                <c:pt idx="135">
                  <c:v>25.7</c:v>
                </c:pt>
                <c:pt idx="136">
                  <c:v>25.7</c:v>
                </c:pt>
                <c:pt idx="137">
                  <c:v>25.7</c:v>
                </c:pt>
                <c:pt idx="138">
                  <c:v>25.8</c:v>
                </c:pt>
                <c:pt idx="139">
                  <c:v>25.8</c:v>
                </c:pt>
                <c:pt idx="140">
                  <c:v>25.9</c:v>
                </c:pt>
                <c:pt idx="141">
                  <c:v>25.9</c:v>
                </c:pt>
                <c:pt idx="142">
                  <c:v>26</c:v>
                </c:pt>
                <c:pt idx="143">
                  <c:v>26</c:v>
                </c:pt>
                <c:pt idx="144">
                  <c:v>26.1</c:v>
                </c:pt>
                <c:pt idx="145">
                  <c:v>26.1</c:v>
                </c:pt>
                <c:pt idx="146">
                  <c:v>26.2</c:v>
                </c:pt>
                <c:pt idx="147">
                  <c:v>26.2</c:v>
                </c:pt>
                <c:pt idx="148">
                  <c:v>26.2</c:v>
                </c:pt>
                <c:pt idx="149">
                  <c:v>26.3</c:v>
                </c:pt>
                <c:pt idx="150">
                  <c:v>26.3</c:v>
                </c:pt>
                <c:pt idx="151">
                  <c:v>26.4</c:v>
                </c:pt>
                <c:pt idx="152">
                  <c:v>26.4</c:v>
                </c:pt>
                <c:pt idx="153">
                  <c:v>26.4</c:v>
                </c:pt>
                <c:pt idx="154">
                  <c:v>26.5</c:v>
                </c:pt>
                <c:pt idx="155">
                  <c:v>26.5</c:v>
                </c:pt>
                <c:pt idx="156">
                  <c:v>26.6</c:v>
                </c:pt>
                <c:pt idx="157">
                  <c:v>26.6</c:v>
                </c:pt>
                <c:pt idx="158">
                  <c:v>26.6</c:v>
                </c:pt>
                <c:pt idx="159">
                  <c:v>26.7</c:v>
                </c:pt>
                <c:pt idx="160">
                  <c:v>26.7</c:v>
                </c:pt>
                <c:pt idx="161">
                  <c:v>26.7</c:v>
                </c:pt>
                <c:pt idx="162">
                  <c:v>26.8</c:v>
                </c:pt>
                <c:pt idx="163">
                  <c:v>26.8</c:v>
                </c:pt>
                <c:pt idx="164">
                  <c:v>26.8</c:v>
                </c:pt>
                <c:pt idx="165">
                  <c:v>26.9</c:v>
                </c:pt>
                <c:pt idx="166">
                  <c:v>26.9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27.1</c:v>
                </c:pt>
                <c:pt idx="172">
                  <c:v>27.1</c:v>
                </c:pt>
                <c:pt idx="173">
                  <c:v>27.1</c:v>
                </c:pt>
                <c:pt idx="174">
                  <c:v>27.2</c:v>
                </c:pt>
                <c:pt idx="175">
                  <c:v>27.2</c:v>
                </c:pt>
                <c:pt idx="176">
                  <c:v>27.2</c:v>
                </c:pt>
                <c:pt idx="177">
                  <c:v>27.3</c:v>
                </c:pt>
                <c:pt idx="178">
                  <c:v>27.3</c:v>
                </c:pt>
                <c:pt idx="179">
                  <c:v>27.3</c:v>
                </c:pt>
                <c:pt idx="180">
                  <c:v>27.4</c:v>
                </c:pt>
                <c:pt idx="181">
                  <c:v>27.4</c:v>
                </c:pt>
                <c:pt idx="182">
                  <c:v>27.4</c:v>
                </c:pt>
                <c:pt idx="183">
                  <c:v>27.4</c:v>
                </c:pt>
                <c:pt idx="184">
                  <c:v>27.5</c:v>
                </c:pt>
                <c:pt idx="185">
                  <c:v>27.5</c:v>
                </c:pt>
                <c:pt idx="186">
                  <c:v>27.5</c:v>
                </c:pt>
                <c:pt idx="187">
                  <c:v>27.5</c:v>
                </c:pt>
                <c:pt idx="188">
                  <c:v>27.6</c:v>
                </c:pt>
                <c:pt idx="189">
                  <c:v>27.6</c:v>
                </c:pt>
                <c:pt idx="190">
                  <c:v>27.6</c:v>
                </c:pt>
                <c:pt idx="191">
                  <c:v>27.6</c:v>
                </c:pt>
                <c:pt idx="192">
                  <c:v>27.7</c:v>
                </c:pt>
                <c:pt idx="193">
                  <c:v>27.7</c:v>
                </c:pt>
                <c:pt idx="194">
                  <c:v>27.7</c:v>
                </c:pt>
                <c:pt idx="195">
                  <c:v>27.7</c:v>
                </c:pt>
                <c:pt idx="196">
                  <c:v>27.8</c:v>
                </c:pt>
                <c:pt idx="197">
                  <c:v>27.8</c:v>
                </c:pt>
                <c:pt idx="198">
                  <c:v>27.8</c:v>
                </c:pt>
                <c:pt idx="199">
                  <c:v>27.8</c:v>
                </c:pt>
                <c:pt idx="200">
                  <c:v>27.8</c:v>
                </c:pt>
                <c:pt idx="201">
                  <c:v>27.9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5-47A6-8AAB-EC5FF4A92E4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'100ml'!$H$3:$H$204</c:f>
              <c:numCache>
                <c:formatCode>General</c:formatCode>
                <c:ptCount val="2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</c:numCache>
            </c:numRef>
          </c:xVal>
          <c:yVal>
            <c:numRef>
              <c:f>'100ml'!$J$3:$J$204</c:f>
              <c:numCache>
                <c:formatCode>General</c:formatCode>
                <c:ptCount val="202"/>
                <c:pt idx="0">
                  <c:v>2.4</c:v>
                </c:pt>
                <c:pt idx="1">
                  <c:v>2.6</c:v>
                </c:pt>
                <c:pt idx="2">
                  <c:v>2.7</c:v>
                </c:pt>
                <c:pt idx="3">
                  <c:v>2.8</c:v>
                </c:pt>
                <c:pt idx="4">
                  <c:v>3</c:v>
                </c:pt>
                <c:pt idx="5">
                  <c:v>3.1</c:v>
                </c:pt>
                <c:pt idx="6">
                  <c:v>3.3</c:v>
                </c:pt>
                <c:pt idx="7">
                  <c:v>3.8</c:v>
                </c:pt>
                <c:pt idx="8">
                  <c:v>4.8</c:v>
                </c:pt>
                <c:pt idx="9">
                  <c:v>6.8</c:v>
                </c:pt>
                <c:pt idx="10">
                  <c:v>10.5</c:v>
                </c:pt>
                <c:pt idx="11">
                  <c:v>15.4</c:v>
                </c:pt>
                <c:pt idx="12">
                  <c:v>21</c:v>
                </c:pt>
                <c:pt idx="13">
                  <c:v>25.7</c:v>
                </c:pt>
                <c:pt idx="14">
                  <c:v>29.2</c:v>
                </c:pt>
                <c:pt idx="15">
                  <c:v>33</c:v>
                </c:pt>
                <c:pt idx="16">
                  <c:v>40.1</c:v>
                </c:pt>
                <c:pt idx="17">
                  <c:v>55.6</c:v>
                </c:pt>
                <c:pt idx="18">
                  <c:v>79.3</c:v>
                </c:pt>
                <c:pt idx="19">
                  <c:v>109</c:v>
                </c:pt>
                <c:pt idx="20">
                  <c:v>143.19999999999999</c:v>
                </c:pt>
                <c:pt idx="21">
                  <c:v>175</c:v>
                </c:pt>
                <c:pt idx="22">
                  <c:v>203.8</c:v>
                </c:pt>
                <c:pt idx="23">
                  <c:v>230.6</c:v>
                </c:pt>
                <c:pt idx="24">
                  <c:v>255.2</c:v>
                </c:pt>
                <c:pt idx="25">
                  <c:v>278.8</c:v>
                </c:pt>
                <c:pt idx="26">
                  <c:v>304.2</c:v>
                </c:pt>
                <c:pt idx="27">
                  <c:v>329.7</c:v>
                </c:pt>
                <c:pt idx="28">
                  <c:v>351.8</c:v>
                </c:pt>
                <c:pt idx="29">
                  <c:v>371.2</c:v>
                </c:pt>
                <c:pt idx="30">
                  <c:v>390.2</c:v>
                </c:pt>
                <c:pt idx="31">
                  <c:v>410.8</c:v>
                </c:pt>
                <c:pt idx="32">
                  <c:v>432.3</c:v>
                </c:pt>
                <c:pt idx="33">
                  <c:v>451</c:v>
                </c:pt>
                <c:pt idx="34">
                  <c:v>462.8</c:v>
                </c:pt>
                <c:pt idx="35">
                  <c:v>467.1</c:v>
                </c:pt>
                <c:pt idx="36">
                  <c:v>472.4</c:v>
                </c:pt>
                <c:pt idx="37">
                  <c:v>485.2</c:v>
                </c:pt>
                <c:pt idx="38">
                  <c:v>504.7</c:v>
                </c:pt>
                <c:pt idx="39">
                  <c:v>518.4</c:v>
                </c:pt>
                <c:pt idx="40">
                  <c:v>525</c:v>
                </c:pt>
                <c:pt idx="41">
                  <c:v>530.6</c:v>
                </c:pt>
                <c:pt idx="42">
                  <c:v>536.6</c:v>
                </c:pt>
                <c:pt idx="43">
                  <c:v>549.79999999999995</c:v>
                </c:pt>
                <c:pt idx="44">
                  <c:v>567</c:v>
                </c:pt>
                <c:pt idx="45">
                  <c:v>589.4</c:v>
                </c:pt>
                <c:pt idx="46">
                  <c:v>611.20000000000005</c:v>
                </c:pt>
                <c:pt idx="47">
                  <c:v>628.5</c:v>
                </c:pt>
                <c:pt idx="48">
                  <c:v>641.20000000000005</c:v>
                </c:pt>
                <c:pt idx="49">
                  <c:v>652.20000000000005</c:v>
                </c:pt>
                <c:pt idx="50">
                  <c:v>628.9</c:v>
                </c:pt>
                <c:pt idx="51">
                  <c:v>545.5</c:v>
                </c:pt>
                <c:pt idx="52">
                  <c:v>430.6</c:v>
                </c:pt>
                <c:pt idx="53">
                  <c:v>334.3</c:v>
                </c:pt>
                <c:pt idx="54">
                  <c:v>254.7</c:v>
                </c:pt>
                <c:pt idx="55">
                  <c:v>180.1</c:v>
                </c:pt>
                <c:pt idx="56">
                  <c:v>113.9</c:v>
                </c:pt>
                <c:pt idx="57">
                  <c:v>74.8</c:v>
                </c:pt>
                <c:pt idx="58">
                  <c:v>56.2</c:v>
                </c:pt>
                <c:pt idx="59">
                  <c:v>46.4</c:v>
                </c:pt>
                <c:pt idx="60">
                  <c:v>40.6</c:v>
                </c:pt>
                <c:pt idx="61">
                  <c:v>36.6</c:v>
                </c:pt>
                <c:pt idx="62">
                  <c:v>33.4</c:v>
                </c:pt>
                <c:pt idx="63">
                  <c:v>31.2</c:v>
                </c:pt>
                <c:pt idx="64">
                  <c:v>29.8</c:v>
                </c:pt>
                <c:pt idx="65">
                  <c:v>28.8</c:v>
                </c:pt>
                <c:pt idx="66">
                  <c:v>27.9</c:v>
                </c:pt>
                <c:pt idx="67">
                  <c:v>27.4</c:v>
                </c:pt>
                <c:pt idx="68">
                  <c:v>27</c:v>
                </c:pt>
                <c:pt idx="69">
                  <c:v>26.8</c:v>
                </c:pt>
                <c:pt idx="70">
                  <c:v>26.7</c:v>
                </c:pt>
                <c:pt idx="71">
                  <c:v>26.6</c:v>
                </c:pt>
                <c:pt idx="72">
                  <c:v>26.6</c:v>
                </c:pt>
                <c:pt idx="73">
                  <c:v>26.6</c:v>
                </c:pt>
                <c:pt idx="74">
                  <c:v>26.6</c:v>
                </c:pt>
                <c:pt idx="75">
                  <c:v>26.6</c:v>
                </c:pt>
                <c:pt idx="76">
                  <c:v>26.7</c:v>
                </c:pt>
                <c:pt idx="77">
                  <c:v>26.8</c:v>
                </c:pt>
                <c:pt idx="78">
                  <c:v>26.8</c:v>
                </c:pt>
                <c:pt idx="79">
                  <c:v>26.8</c:v>
                </c:pt>
                <c:pt idx="80">
                  <c:v>26.9</c:v>
                </c:pt>
                <c:pt idx="81">
                  <c:v>26.9</c:v>
                </c:pt>
                <c:pt idx="82">
                  <c:v>26.9</c:v>
                </c:pt>
                <c:pt idx="83">
                  <c:v>27</c:v>
                </c:pt>
                <c:pt idx="84">
                  <c:v>27.1</c:v>
                </c:pt>
                <c:pt idx="85">
                  <c:v>27.1</c:v>
                </c:pt>
                <c:pt idx="86">
                  <c:v>27.2</c:v>
                </c:pt>
                <c:pt idx="87">
                  <c:v>27.3</c:v>
                </c:pt>
                <c:pt idx="88">
                  <c:v>27.4</c:v>
                </c:pt>
                <c:pt idx="89">
                  <c:v>27.6</c:v>
                </c:pt>
                <c:pt idx="90">
                  <c:v>27.8</c:v>
                </c:pt>
                <c:pt idx="91">
                  <c:v>27.9</c:v>
                </c:pt>
                <c:pt idx="92">
                  <c:v>27.9</c:v>
                </c:pt>
                <c:pt idx="93">
                  <c:v>27.9</c:v>
                </c:pt>
                <c:pt idx="94">
                  <c:v>28</c:v>
                </c:pt>
                <c:pt idx="95">
                  <c:v>28</c:v>
                </c:pt>
                <c:pt idx="96">
                  <c:v>28.1</c:v>
                </c:pt>
                <c:pt idx="97">
                  <c:v>28.1</c:v>
                </c:pt>
                <c:pt idx="98">
                  <c:v>28.2</c:v>
                </c:pt>
                <c:pt idx="99">
                  <c:v>28.2</c:v>
                </c:pt>
                <c:pt idx="100">
                  <c:v>28.3</c:v>
                </c:pt>
                <c:pt idx="101">
                  <c:v>28.4</c:v>
                </c:pt>
                <c:pt idx="102">
                  <c:v>28.4</c:v>
                </c:pt>
                <c:pt idx="103">
                  <c:v>28.5</c:v>
                </c:pt>
                <c:pt idx="104">
                  <c:v>28.6</c:v>
                </c:pt>
                <c:pt idx="105">
                  <c:v>28.6</c:v>
                </c:pt>
                <c:pt idx="106">
                  <c:v>28.7</c:v>
                </c:pt>
                <c:pt idx="107">
                  <c:v>28.7</c:v>
                </c:pt>
                <c:pt idx="108">
                  <c:v>28.8</c:v>
                </c:pt>
                <c:pt idx="109">
                  <c:v>28.8</c:v>
                </c:pt>
                <c:pt idx="110">
                  <c:v>28.9</c:v>
                </c:pt>
                <c:pt idx="111">
                  <c:v>29</c:v>
                </c:pt>
                <c:pt idx="112">
                  <c:v>29</c:v>
                </c:pt>
                <c:pt idx="113">
                  <c:v>29.1</c:v>
                </c:pt>
                <c:pt idx="114">
                  <c:v>29.2</c:v>
                </c:pt>
                <c:pt idx="115">
                  <c:v>29.2</c:v>
                </c:pt>
                <c:pt idx="116">
                  <c:v>29.3</c:v>
                </c:pt>
                <c:pt idx="117">
                  <c:v>29.3</c:v>
                </c:pt>
                <c:pt idx="118">
                  <c:v>29.4</c:v>
                </c:pt>
                <c:pt idx="119">
                  <c:v>29.4</c:v>
                </c:pt>
                <c:pt idx="120">
                  <c:v>29.5</c:v>
                </c:pt>
                <c:pt idx="121">
                  <c:v>29.6</c:v>
                </c:pt>
                <c:pt idx="122">
                  <c:v>29.6</c:v>
                </c:pt>
                <c:pt idx="123">
                  <c:v>29.7</c:v>
                </c:pt>
                <c:pt idx="124">
                  <c:v>29.7</c:v>
                </c:pt>
                <c:pt idx="125">
                  <c:v>29.7</c:v>
                </c:pt>
                <c:pt idx="126">
                  <c:v>29.8</c:v>
                </c:pt>
                <c:pt idx="127">
                  <c:v>29.8</c:v>
                </c:pt>
                <c:pt idx="128">
                  <c:v>29.9</c:v>
                </c:pt>
                <c:pt idx="129">
                  <c:v>29.9</c:v>
                </c:pt>
                <c:pt idx="130">
                  <c:v>29.9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30.1</c:v>
                </c:pt>
                <c:pt idx="135">
                  <c:v>30.2</c:v>
                </c:pt>
                <c:pt idx="136">
                  <c:v>30.3</c:v>
                </c:pt>
                <c:pt idx="137">
                  <c:v>30.3</c:v>
                </c:pt>
                <c:pt idx="138">
                  <c:v>30.4</c:v>
                </c:pt>
                <c:pt idx="139">
                  <c:v>30.4</c:v>
                </c:pt>
                <c:pt idx="140">
                  <c:v>30.5</c:v>
                </c:pt>
                <c:pt idx="141">
                  <c:v>30.5</c:v>
                </c:pt>
                <c:pt idx="142">
                  <c:v>30.5</c:v>
                </c:pt>
                <c:pt idx="143">
                  <c:v>30.6</c:v>
                </c:pt>
                <c:pt idx="144">
                  <c:v>30.6</c:v>
                </c:pt>
                <c:pt idx="145">
                  <c:v>30.6</c:v>
                </c:pt>
                <c:pt idx="146">
                  <c:v>30.7</c:v>
                </c:pt>
                <c:pt idx="147">
                  <c:v>30.7</c:v>
                </c:pt>
                <c:pt idx="148">
                  <c:v>30.7</c:v>
                </c:pt>
                <c:pt idx="149">
                  <c:v>30.8</c:v>
                </c:pt>
                <c:pt idx="150">
                  <c:v>30.8</c:v>
                </c:pt>
                <c:pt idx="151">
                  <c:v>30.8</c:v>
                </c:pt>
                <c:pt idx="152">
                  <c:v>30.9</c:v>
                </c:pt>
                <c:pt idx="153">
                  <c:v>30.9</c:v>
                </c:pt>
                <c:pt idx="154">
                  <c:v>30.9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31.1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31.4</c:v>
                </c:pt>
                <c:pt idx="166">
                  <c:v>31.4</c:v>
                </c:pt>
                <c:pt idx="167">
                  <c:v>31.4</c:v>
                </c:pt>
                <c:pt idx="168">
                  <c:v>31.5</c:v>
                </c:pt>
                <c:pt idx="169">
                  <c:v>31.5</c:v>
                </c:pt>
                <c:pt idx="170">
                  <c:v>31.5</c:v>
                </c:pt>
                <c:pt idx="171">
                  <c:v>31.5</c:v>
                </c:pt>
                <c:pt idx="172">
                  <c:v>31.6</c:v>
                </c:pt>
                <c:pt idx="173">
                  <c:v>31.6</c:v>
                </c:pt>
                <c:pt idx="174">
                  <c:v>31.6</c:v>
                </c:pt>
                <c:pt idx="175">
                  <c:v>31.6</c:v>
                </c:pt>
                <c:pt idx="176">
                  <c:v>31.6</c:v>
                </c:pt>
                <c:pt idx="177">
                  <c:v>31.6</c:v>
                </c:pt>
                <c:pt idx="178">
                  <c:v>31.6</c:v>
                </c:pt>
                <c:pt idx="179">
                  <c:v>31.6</c:v>
                </c:pt>
                <c:pt idx="180">
                  <c:v>31.6</c:v>
                </c:pt>
                <c:pt idx="181">
                  <c:v>31.6</c:v>
                </c:pt>
                <c:pt idx="182">
                  <c:v>31.7</c:v>
                </c:pt>
                <c:pt idx="183">
                  <c:v>31.7</c:v>
                </c:pt>
                <c:pt idx="184">
                  <c:v>31.7</c:v>
                </c:pt>
                <c:pt idx="185">
                  <c:v>31.7</c:v>
                </c:pt>
                <c:pt idx="186">
                  <c:v>31.7</c:v>
                </c:pt>
                <c:pt idx="187">
                  <c:v>31.8</c:v>
                </c:pt>
                <c:pt idx="188">
                  <c:v>31.8</c:v>
                </c:pt>
                <c:pt idx="189">
                  <c:v>31.8</c:v>
                </c:pt>
                <c:pt idx="190">
                  <c:v>31.8</c:v>
                </c:pt>
                <c:pt idx="191">
                  <c:v>31.8</c:v>
                </c:pt>
                <c:pt idx="192">
                  <c:v>31.9</c:v>
                </c:pt>
                <c:pt idx="193">
                  <c:v>31.9</c:v>
                </c:pt>
                <c:pt idx="194">
                  <c:v>31.9</c:v>
                </c:pt>
                <c:pt idx="195">
                  <c:v>31.9</c:v>
                </c:pt>
                <c:pt idx="196">
                  <c:v>32</c:v>
                </c:pt>
                <c:pt idx="197">
                  <c:v>32.1</c:v>
                </c:pt>
                <c:pt idx="198">
                  <c:v>32.299999999999997</c:v>
                </c:pt>
                <c:pt idx="199">
                  <c:v>32.299999999999997</c:v>
                </c:pt>
                <c:pt idx="200">
                  <c:v>32.4</c:v>
                </c:pt>
                <c:pt idx="201">
                  <c:v>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C5-47A6-8AAB-EC5FF4A92E49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'100ml'!$H$3:$H$204</c:f>
              <c:numCache>
                <c:formatCode>General</c:formatCode>
                <c:ptCount val="2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</c:numCache>
            </c:numRef>
          </c:xVal>
          <c:yVal>
            <c:numRef>
              <c:f>'100ml'!$K$3:$K$204</c:f>
              <c:numCache>
                <c:formatCode>General</c:formatCode>
                <c:ptCount val="202"/>
                <c:pt idx="0">
                  <c:v>0.9</c:v>
                </c:pt>
                <c:pt idx="1">
                  <c:v>1.2</c:v>
                </c:pt>
                <c:pt idx="2">
                  <c:v>1.7</c:v>
                </c:pt>
                <c:pt idx="3">
                  <c:v>2.4</c:v>
                </c:pt>
                <c:pt idx="4">
                  <c:v>3.4</c:v>
                </c:pt>
                <c:pt idx="5">
                  <c:v>4.5</c:v>
                </c:pt>
                <c:pt idx="6">
                  <c:v>5.6</c:v>
                </c:pt>
                <c:pt idx="7">
                  <c:v>7.5</c:v>
                </c:pt>
                <c:pt idx="8">
                  <c:v>10.6</c:v>
                </c:pt>
                <c:pt idx="9">
                  <c:v>14.3</c:v>
                </c:pt>
                <c:pt idx="10">
                  <c:v>19</c:v>
                </c:pt>
                <c:pt idx="11">
                  <c:v>25.2</c:v>
                </c:pt>
                <c:pt idx="12">
                  <c:v>33.299999999999997</c:v>
                </c:pt>
                <c:pt idx="13">
                  <c:v>43.2</c:v>
                </c:pt>
                <c:pt idx="14">
                  <c:v>54.6</c:v>
                </c:pt>
                <c:pt idx="15">
                  <c:v>74.599999999999994</c:v>
                </c:pt>
                <c:pt idx="16">
                  <c:v>116.4</c:v>
                </c:pt>
                <c:pt idx="17">
                  <c:v>166.3</c:v>
                </c:pt>
                <c:pt idx="18">
                  <c:v>204.4</c:v>
                </c:pt>
                <c:pt idx="19">
                  <c:v>232.6</c:v>
                </c:pt>
                <c:pt idx="20">
                  <c:v>258.89999999999998</c:v>
                </c:pt>
                <c:pt idx="21">
                  <c:v>284.89999999999998</c:v>
                </c:pt>
                <c:pt idx="22">
                  <c:v>310.10000000000002</c:v>
                </c:pt>
                <c:pt idx="23">
                  <c:v>332.8</c:v>
                </c:pt>
                <c:pt idx="24">
                  <c:v>355.1</c:v>
                </c:pt>
                <c:pt idx="25">
                  <c:v>378.1</c:v>
                </c:pt>
                <c:pt idx="26">
                  <c:v>402.6</c:v>
                </c:pt>
                <c:pt idx="27">
                  <c:v>431.1</c:v>
                </c:pt>
                <c:pt idx="28">
                  <c:v>456</c:v>
                </c:pt>
                <c:pt idx="29">
                  <c:v>467.9</c:v>
                </c:pt>
                <c:pt idx="30">
                  <c:v>471.6</c:v>
                </c:pt>
                <c:pt idx="31">
                  <c:v>480.3</c:v>
                </c:pt>
                <c:pt idx="32">
                  <c:v>500.3</c:v>
                </c:pt>
                <c:pt idx="33">
                  <c:v>511.3</c:v>
                </c:pt>
                <c:pt idx="34">
                  <c:v>504.3</c:v>
                </c:pt>
                <c:pt idx="35">
                  <c:v>486.8</c:v>
                </c:pt>
                <c:pt idx="36">
                  <c:v>476.1</c:v>
                </c:pt>
                <c:pt idx="37">
                  <c:v>473.3</c:v>
                </c:pt>
                <c:pt idx="38">
                  <c:v>464</c:v>
                </c:pt>
                <c:pt idx="39">
                  <c:v>438.6</c:v>
                </c:pt>
                <c:pt idx="40">
                  <c:v>407.2</c:v>
                </c:pt>
                <c:pt idx="41">
                  <c:v>384.9</c:v>
                </c:pt>
                <c:pt idx="42">
                  <c:v>377.5</c:v>
                </c:pt>
                <c:pt idx="43">
                  <c:v>383.7</c:v>
                </c:pt>
                <c:pt idx="44">
                  <c:v>425.3</c:v>
                </c:pt>
                <c:pt idx="45">
                  <c:v>509.3</c:v>
                </c:pt>
                <c:pt idx="46">
                  <c:v>582.9</c:v>
                </c:pt>
                <c:pt idx="47">
                  <c:v>631.29999999999995</c:v>
                </c:pt>
                <c:pt idx="48">
                  <c:v>675.6</c:v>
                </c:pt>
                <c:pt idx="49">
                  <c:v>664</c:v>
                </c:pt>
                <c:pt idx="50">
                  <c:v>550.29999999999995</c:v>
                </c:pt>
                <c:pt idx="51">
                  <c:v>428.4</c:v>
                </c:pt>
                <c:pt idx="52">
                  <c:v>329.6</c:v>
                </c:pt>
                <c:pt idx="53">
                  <c:v>235.5</c:v>
                </c:pt>
                <c:pt idx="54">
                  <c:v>150.69999999999999</c:v>
                </c:pt>
                <c:pt idx="55">
                  <c:v>98.3</c:v>
                </c:pt>
                <c:pt idx="56">
                  <c:v>72.599999999999994</c:v>
                </c:pt>
                <c:pt idx="57">
                  <c:v>58.6</c:v>
                </c:pt>
                <c:pt idx="58">
                  <c:v>49.3</c:v>
                </c:pt>
                <c:pt idx="59">
                  <c:v>42.8</c:v>
                </c:pt>
                <c:pt idx="60">
                  <c:v>38.299999999999997</c:v>
                </c:pt>
                <c:pt idx="61">
                  <c:v>35.1</c:v>
                </c:pt>
                <c:pt idx="62">
                  <c:v>33.1</c:v>
                </c:pt>
                <c:pt idx="63">
                  <c:v>32.200000000000003</c:v>
                </c:pt>
                <c:pt idx="64">
                  <c:v>31.6</c:v>
                </c:pt>
                <c:pt idx="65">
                  <c:v>31.1</c:v>
                </c:pt>
                <c:pt idx="66">
                  <c:v>30.7</c:v>
                </c:pt>
                <c:pt idx="67">
                  <c:v>30.4</c:v>
                </c:pt>
                <c:pt idx="68">
                  <c:v>30.2</c:v>
                </c:pt>
                <c:pt idx="69">
                  <c:v>30</c:v>
                </c:pt>
                <c:pt idx="70">
                  <c:v>29.9</c:v>
                </c:pt>
                <c:pt idx="71">
                  <c:v>29.8</c:v>
                </c:pt>
                <c:pt idx="72">
                  <c:v>29.7</c:v>
                </c:pt>
                <c:pt idx="73">
                  <c:v>29.7</c:v>
                </c:pt>
                <c:pt idx="74">
                  <c:v>29.7</c:v>
                </c:pt>
                <c:pt idx="75">
                  <c:v>29.7</c:v>
                </c:pt>
                <c:pt idx="76">
                  <c:v>29.7</c:v>
                </c:pt>
                <c:pt idx="77">
                  <c:v>29.8</c:v>
                </c:pt>
                <c:pt idx="78">
                  <c:v>30</c:v>
                </c:pt>
                <c:pt idx="79">
                  <c:v>30.2</c:v>
                </c:pt>
                <c:pt idx="80">
                  <c:v>30.2</c:v>
                </c:pt>
                <c:pt idx="81">
                  <c:v>30.4</c:v>
                </c:pt>
                <c:pt idx="82">
                  <c:v>30.5</c:v>
                </c:pt>
                <c:pt idx="83">
                  <c:v>30.5</c:v>
                </c:pt>
                <c:pt idx="84">
                  <c:v>30.6</c:v>
                </c:pt>
                <c:pt idx="85">
                  <c:v>30.6</c:v>
                </c:pt>
                <c:pt idx="86">
                  <c:v>30.7</c:v>
                </c:pt>
                <c:pt idx="87">
                  <c:v>30.7</c:v>
                </c:pt>
                <c:pt idx="88">
                  <c:v>30.7</c:v>
                </c:pt>
                <c:pt idx="89">
                  <c:v>30.8</c:v>
                </c:pt>
                <c:pt idx="90">
                  <c:v>30.9</c:v>
                </c:pt>
                <c:pt idx="91">
                  <c:v>31.1</c:v>
                </c:pt>
                <c:pt idx="92">
                  <c:v>31.3</c:v>
                </c:pt>
                <c:pt idx="93">
                  <c:v>31.5</c:v>
                </c:pt>
                <c:pt idx="94">
                  <c:v>31.5</c:v>
                </c:pt>
                <c:pt idx="95">
                  <c:v>31.4</c:v>
                </c:pt>
                <c:pt idx="96">
                  <c:v>31.4</c:v>
                </c:pt>
                <c:pt idx="97">
                  <c:v>31.3</c:v>
                </c:pt>
                <c:pt idx="98">
                  <c:v>31.4</c:v>
                </c:pt>
                <c:pt idx="99">
                  <c:v>31.4</c:v>
                </c:pt>
                <c:pt idx="100">
                  <c:v>31.5</c:v>
                </c:pt>
                <c:pt idx="101">
                  <c:v>31.6</c:v>
                </c:pt>
                <c:pt idx="102">
                  <c:v>31.6</c:v>
                </c:pt>
                <c:pt idx="103">
                  <c:v>31.7</c:v>
                </c:pt>
                <c:pt idx="104">
                  <c:v>31.8</c:v>
                </c:pt>
                <c:pt idx="105">
                  <c:v>31.8</c:v>
                </c:pt>
                <c:pt idx="106">
                  <c:v>31.9</c:v>
                </c:pt>
                <c:pt idx="107">
                  <c:v>31.9</c:v>
                </c:pt>
                <c:pt idx="108">
                  <c:v>32</c:v>
                </c:pt>
                <c:pt idx="109">
                  <c:v>32</c:v>
                </c:pt>
                <c:pt idx="110">
                  <c:v>32.1</c:v>
                </c:pt>
                <c:pt idx="111">
                  <c:v>32.200000000000003</c:v>
                </c:pt>
                <c:pt idx="112">
                  <c:v>32.299999999999997</c:v>
                </c:pt>
                <c:pt idx="113">
                  <c:v>32.299999999999997</c:v>
                </c:pt>
                <c:pt idx="114">
                  <c:v>32.4</c:v>
                </c:pt>
                <c:pt idx="115">
                  <c:v>32.4</c:v>
                </c:pt>
                <c:pt idx="116">
                  <c:v>32.5</c:v>
                </c:pt>
                <c:pt idx="117">
                  <c:v>32.5</c:v>
                </c:pt>
                <c:pt idx="118">
                  <c:v>32.6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32.9</c:v>
                </c:pt>
                <c:pt idx="124">
                  <c:v>32.9</c:v>
                </c:pt>
                <c:pt idx="125">
                  <c:v>33</c:v>
                </c:pt>
                <c:pt idx="126">
                  <c:v>33</c:v>
                </c:pt>
                <c:pt idx="127">
                  <c:v>33.1</c:v>
                </c:pt>
                <c:pt idx="128">
                  <c:v>33.200000000000003</c:v>
                </c:pt>
                <c:pt idx="129">
                  <c:v>33.200000000000003</c:v>
                </c:pt>
                <c:pt idx="130">
                  <c:v>33.200000000000003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33.4</c:v>
                </c:pt>
                <c:pt idx="134">
                  <c:v>33.4</c:v>
                </c:pt>
                <c:pt idx="135">
                  <c:v>33.4</c:v>
                </c:pt>
                <c:pt idx="136">
                  <c:v>33.5</c:v>
                </c:pt>
                <c:pt idx="137">
                  <c:v>33.5</c:v>
                </c:pt>
                <c:pt idx="138">
                  <c:v>33.6</c:v>
                </c:pt>
                <c:pt idx="139">
                  <c:v>33.6</c:v>
                </c:pt>
                <c:pt idx="140">
                  <c:v>33.6</c:v>
                </c:pt>
                <c:pt idx="141">
                  <c:v>33.700000000000003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33.799999999999997</c:v>
                </c:pt>
                <c:pt idx="145">
                  <c:v>33.799999999999997</c:v>
                </c:pt>
                <c:pt idx="146">
                  <c:v>33.9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34.6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34.700000000000003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35.1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35.200000000000003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C5-47A6-8AAB-EC5FF4A92E49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'100ml'!$H$3:$H$204</c:f>
              <c:numCache>
                <c:formatCode>General</c:formatCode>
                <c:ptCount val="2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</c:numCache>
            </c:numRef>
          </c:xVal>
          <c:yVal>
            <c:numRef>
              <c:f>'100ml'!$L$3:$L$204</c:f>
              <c:numCache>
                <c:formatCode>General</c:formatCode>
                <c:ptCount val="202"/>
                <c:pt idx="0">
                  <c:v>2</c:v>
                </c:pt>
                <c:pt idx="1">
                  <c:v>2.5</c:v>
                </c:pt>
                <c:pt idx="2">
                  <c:v>3.1</c:v>
                </c:pt>
                <c:pt idx="3">
                  <c:v>3.5</c:v>
                </c:pt>
                <c:pt idx="4">
                  <c:v>3.8</c:v>
                </c:pt>
                <c:pt idx="5">
                  <c:v>4</c:v>
                </c:pt>
                <c:pt idx="6">
                  <c:v>4.2</c:v>
                </c:pt>
                <c:pt idx="7">
                  <c:v>4.8</c:v>
                </c:pt>
                <c:pt idx="8">
                  <c:v>6.1</c:v>
                </c:pt>
                <c:pt idx="9">
                  <c:v>7.8</c:v>
                </c:pt>
                <c:pt idx="10">
                  <c:v>10.8</c:v>
                </c:pt>
                <c:pt idx="11">
                  <c:v>17.600000000000001</c:v>
                </c:pt>
                <c:pt idx="12">
                  <c:v>26.7</c:v>
                </c:pt>
                <c:pt idx="13">
                  <c:v>34.9</c:v>
                </c:pt>
                <c:pt idx="14">
                  <c:v>45.5</c:v>
                </c:pt>
                <c:pt idx="15">
                  <c:v>68.2</c:v>
                </c:pt>
                <c:pt idx="16">
                  <c:v>131.69999999999999</c:v>
                </c:pt>
                <c:pt idx="17">
                  <c:v>220.1</c:v>
                </c:pt>
                <c:pt idx="18">
                  <c:v>279.7</c:v>
                </c:pt>
                <c:pt idx="19">
                  <c:v>315.2</c:v>
                </c:pt>
                <c:pt idx="20">
                  <c:v>338.1</c:v>
                </c:pt>
                <c:pt idx="21">
                  <c:v>354.9</c:v>
                </c:pt>
                <c:pt idx="22">
                  <c:v>366.9</c:v>
                </c:pt>
                <c:pt idx="23">
                  <c:v>374.5</c:v>
                </c:pt>
                <c:pt idx="24">
                  <c:v>381.4</c:v>
                </c:pt>
                <c:pt idx="25">
                  <c:v>390.5</c:v>
                </c:pt>
                <c:pt idx="26">
                  <c:v>404</c:v>
                </c:pt>
                <c:pt idx="27">
                  <c:v>417.9</c:v>
                </c:pt>
                <c:pt idx="28">
                  <c:v>427.4</c:v>
                </c:pt>
                <c:pt idx="29">
                  <c:v>435.4</c:v>
                </c:pt>
                <c:pt idx="30">
                  <c:v>442.9</c:v>
                </c:pt>
                <c:pt idx="31">
                  <c:v>450.9</c:v>
                </c:pt>
                <c:pt idx="32">
                  <c:v>458.5</c:v>
                </c:pt>
                <c:pt idx="33">
                  <c:v>462.3</c:v>
                </c:pt>
                <c:pt idx="34">
                  <c:v>465.7</c:v>
                </c:pt>
                <c:pt idx="35">
                  <c:v>470</c:v>
                </c:pt>
                <c:pt idx="36">
                  <c:v>472.4</c:v>
                </c:pt>
                <c:pt idx="37">
                  <c:v>466.9</c:v>
                </c:pt>
                <c:pt idx="38">
                  <c:v>453.1</c:v>
                </c:pt>
                <c:pt idx="39">
                  <c:v>440.4</c:v>
                </c:pt>
                <c:pt idx="40">
                  <c:v>441.2</c:v>
                </c:pt>
                <c:pt idx="41">
                  <c:v>447.2</c:v>
                </c:pt>
                <c:pt idx="42">
                  <c:v>446.6</c:v>
                </c:pt>
                <c:pt idx="43">
                  <c:v>442.6</c:v>
                </c:pt>
                <c:pt idx="44">
                  <c:v>443.5</c:v>
                </c:pt>
                <c:pt idx="45">
                  <c:v>450.1</c:v>
                </c:pt>
                <c:pt idx="46">
                  <c:v>450.6</c:v>
                </c:pt>
                <c:pt idx="47">
                  <c:v>446.4</c:v>
                </c:pt>
                <c:pt idx="48">
                  <c:v>443.6</c:v>
                </c:pt>
                <c:pt idx="49">
                  <c:v>441.5</c:v>
                </c:pt>
                <c:pt idx="50">
                  <c:v>438.1</c:v>
                </c:pt>
                <c:pt idx="51">
                  <c:v>436.1</c:v>
                </c:pt>
                <c:pt idx="52">
                  <c:v>433.9</c:v>
                </c:pt>
                <c:pt idx="53">
                  <c:v>429</c:v>
                </c:pt>
                <c:pt idx="54">
                  <c:v>427.5</c:v>
                </c:pt>
                <c:pt idx="55">
                  <c:v>424.7</c:v>
                </c:pt>
                <c:pt idx="56">
                  <c:v>406.3</c:v>
                </c:pt>
                <c:pt idx="57">
                  <c:v>382.4</c:v>
                </c:pt>
                <c:pt idx="58">
                  <c:v>355.9</c:v>
                </c:pt>
                <c:pt idx="59">
                  <c:v>300.2</c:v>
                </c:pt>
                <c:pt idx="60">
                  <c:v>239.2</c:v>
                </c:pt>
                <c:pt idx="61">
                  <c:v>190.2</c:v>
                </c:pt>
                <c:pt idx="62">
                  <c:v>148</c:v>
                </c:pt>
                <c:pt idx="63">
                  <c:v>106.2</c:v>
                </c:pt>
                <c:pt idx="64">
                  <c:v>72.7</c:v>
                </c:pt>
                <c:pt idx="65">
                  <c:v>54.2</c:v>
                </c:pt>
                <c:pt idx="66">
                  <c:v>44.4</c:v>
                </c:pt>
                <c:pt idx="67">
                  <c:v>38.299999999999997</c:v>
                </c:pt>
                <c:pt idx="68">
                  <c:v>34.299999999999997</c:v>
                </c:pt>
                <c:pt idx="69">
                  <c:v>31.5</c:v>
                </c:pt>
                <c:pt idx="70">
                  <c:v>29.6</c:v>
                </c:pt>
                <c:pt idx="71">
                  <c:v>28.6</c:v>
                </c:pt>
                <c:pt idx="72">
                  <c:v>28.1</c:v>
                </c:pt>
                <c:pt idx="73">
                  <c:v>27.9</c:v>
                </c:pt>
                <c:pt idx="74">
                  <c:v>27.8</c:v>
                </c:pt>
                <c:pt idx="75">
                  <c:v>27.7</c:v>
                </c:pt>
                <c:pt idx="76">
                  <c:v>27.6</c:v>
                </c:pt>
                <c:pt idx="77">
                  <c:v>27.5</c:v>
                </c:pt>
                <c:pt idx="78">
                  <c:v>27.4</c:v>
                </c:pt>
                <c:pt idx="79">
                  <c:v>27.4</c:v>
                </c:pt>
                <c:pt idx="80">
                  <c:v>27.4</c:v>
                </c:pt>
                <c:pt idx="81">
                  <c:v>27.4</c:v>
                </c:pt>
                <c:pt idx="82">
                  <c:v>27.4</c:v>
                </c:pt>
                <c:pt idx="83">
                  <c:v>27.4</c:v>
                </c:pt>
                <c:pt idx="84">
                  <c:v>27.5</c:v>
                </c:pt>
                <c:pt idx="85">
                  <c:v>27.5</c:v>
                </c:pt>
                <c:pt idx="86">
                  <c:v>27.6</c:v>
                </c:pt>
                <c:pt idx="87">
                  <c:v>27.7</c:v>
                </c:pt>
                <c:pt idx="88">
                  <c:v>27.7</c:v>
                </c:pt>
                <c:pt idx="89">
                  <c:v>27.8</c:v>
                </c:pt>
                <c:pt idx="90">
                  <c:v>27.8</c:v>
                </c:pt>
                <c:pt idx="91">
                  <c:v>27.9</c:v>
                </c:pt>
                <c:pt idx="92">
                  <c:v>28</c:v>
                </c:pt>
                <c:pt idx="93">
                  <c:v>28.1</c:v>
                </c:pt>
                <c:pt idx="94">
                  <c:v>28.1</c:v>
                </c:pt>
                <c:pt idx="95">
                  <c:v>28.2</c:v>
                </c:pt>
                <c:pt idx="96">
                  <c:v>28.3</c:v>
                </c:pt>
                <c:pt idx="97">
                  <c:v>28.4</c:v>
                </c:pt>
                <c:pt idx="98">
                  <c:v>28.5</c:v>
                </c:pt>
                <c:pt idx="99">
                  <c:v>28.5</c:v>
                </c:pt>
                <c:pt idx="100">
                  <c:v>28.6</c:v>
                </c:pt>
                <c:pt idx="101">
                  <c:v>28.7</c:v>
                </c:pt>
                <c:pt idx="102">
                  <c:v>28.8</c:v>
                </c:pt>
                <c:pt idx="103">
                  <c:v>28.9</c:v>
                </c:pt>
                <c:pt idx="104">
                  <c:v>28.9</c:v>
                </c:pt>
                <c:pt idx="105">
                  <c:v>29</c:v>
                </c:pt>
                <c:pt idx="106">
                  <c:v>29.1</c:v>
                </c:pt>
                <c:pt idx="107">
                  <c:v>29.1</c:v>
                </c:pt>
                <c:pt idx="108">
                  <c:v>29.2</c:v>
                </c:pt>
                <c:pt idx="109">
                  <c:v>29.3</c:v>
                </c:pt>
                <c:pt idx="110">
                  <c:v>29.3</c:v>
                </c:pt>
                <c:pt idx="111">
                  <c:v>29.4</c:v>
                </c:pt>
                <c:pt idx="112">
                  <c:v>29.5</c:v>
                </c:pt>
                <c:pt idx="113">
                  <c:v>29.5</c:v>
                </c:pt>
                <c:pt idx="114">
                  <c:v>29.6</c:v>
                </c:pt>
                <c:pt idx="115">
                  <c:v>29.7</c:v>
                </c:pt>
                <c:pt idx="116">
                  <c:v>29.7</c:v>
                </c:pt>
                <c:pt idx="117">
                  <c:v>29.8</c:v>
                </c:pt>
                <c:pt idx="118">
                  <c:v>29.8</c:v>
                </c:pt>
                <c:pt idx="119">
                  <c:v>29.9</c:v>
                </c:pt>
                <c:pt idx="120">
                  <c:v>30</c:v>
                </c:pt>
                <c:pt idx="121">
                  <c:v>30.1</c:v>
                </c:pt>
                <c:pt idx="122">
                  <c:v>30.1</c:v>
                </c:pt>
                <c:pt idx="123">
                  <c:v>30.1</c:v>
                </c:pt>
                <c:pt idx="124">
                  <c:v>30.2</c:v>
                </c:pt>
                <c:pt idx="125">
                  <c:v>30.3</c:v>
                </c:pt>
                <c:pt idx="126">
                  <c:v>30.3</c:v>
                </c:pt>
                <c:pt idx="127">
                  <c:v>30.4</c:v>
                </c:pt>
                <c:pt idx="128">
                  <c:v>30.4</c:v>
                </c:pt>
                <c:pt idx="129">
                  <c:v>30.5</c:v>
                </c:pt>
                <c:pt idx="130">
                  <c:v>30.5</c:v>
                </c:pt>
                <c:pt idx="131">
                  <c:v>30.6</c:v>
                </c:pt>
                <c:pt idx="132">
                  <c:v>30.6</c:v>
                </c:pt>
                <c:pt idx="133">
                  <c:v>30.7</c:v>
                </c:pt>
                <c:pt idx="134">
                  <c:v>30.7</c:v>
                </c:pt>
                <c:pt idx="135">
                  <c:v>30.8</c:v>
                </c:pt>
                <c:pt idx="136">
                  <c:v>30.8</c:v>
                </c:pt>
                <c:pt idx="137">
                  <c:v>30.9</c:v>
                </c:pt>
                <c:pt idx="138">
                  <c:v>30.9</c:v>
                </c:pt>
                <c:pt idx="139">
                  <c:v>30.9</c:v>
                </c:pt>
                <c:pt idx="140">
                  <c:v>31</c:v>
                </c:pt>
                <c:pt idx="141">
                  <c:v>31</c:v>
                </c:pt>
                <c:pt idx="142">
                  <c:v>31.1</c:v>
                </c:pt>
                <c:pt idx="143">
                  <c:v>31.1</c:v>
                </c:pt>
                <c:pt idx="144">
                  <c:v>31.2</c:v>
                </c:pt>
                <c:pt idx="145">
                  <c:v>31.2</c:v>
                </c:pt>
                <c:pt idx="146">
                  <c:v>31.3</c:v>
                </c:pt>
                <c:pt idx="147">
                  <c:v>31.3</c:v>
                </c:pt>
                <c:pt idx="148">
                  <c:v>31.3</c:v>
                </c:pt>
                <c:pt idx="149">
                  <c:v>31.4</c:v>
                </c:pt>
                <c:pt idx="150">
                  <c:v>31.4</c:v>
                </c:pt>
                <c:pt idx="151">
                  <c:v>31.4</c:v>
                </c:pt>
                <c:pt idx="152">
                  <c:v>31.5</c:v>
                </c:pt>
                <c:pt idx="153">
                  <c:v>31.5</c:v>
                </c:pt>
                <c:pt idx="154">
                  <c:v>31.5</c:v>
                </c:pt>
                <c:pt idx="155">
                  <c:v>31.6</c:v>
                </c:pt>
                <c:pt idx="156">
                  <c:v>31.6</c:v>
                </c:pt>
                <c:pt idx="157">
                  <c:v>31.7</c:v>
                </c:pt>
                <c:pt idx="158">
                  <c:v>31.7</c:v>
                </c:pt>
                <c:pt idx="159">
                  <c:v>31.7</c:v>
                </c:pt>
                <c:pt idx="160">
                  <c:v>31.8</c:v>
                </c:pt>
                <c:pt idx="161">
                  <c:v>31.8</c:v>
                </c:pt>
                <c:pt idx="162">
                  <c:v>31.8</c:v>
                </c:pt>
                <c:pt idx="163">
                  <c:v>31.9</c:v>
                </c:pt>
                <c:pt idx="164">
                  <c:v>31.9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32.1</c:v>
                </c:pt>
                <c:pt idx="170">
                  <c:v>32.1</c:v>
                </c:pt>
                <c:pt idx="171">
                  <c:v>32.1</c:v>
                </c:pt>
                <c:pt idx="172">
                  <c:v>32.1</c:v>
                </c:pt>
                <c:pt idx="173">
                  <c:v>32.200000000000003</c:v>
                </c:pt>
                <c:pt idx="174">
                  <c:v>32.200000000000003</c:v>
                </c:pt>
                <c:pt idx="175">
                  <c:v>32.200000000000003</c:v>
                </c:pt>
                <c:pt idx="176">
                  <c:v>32.299999999999997</c:v>
                </c:pt>
                <c:pt idx="177">
                  <c:v>32.299999999999997</c:v>
                </c:pt>
                <c:pt idx="178">
                  <c:v>32.299999999999997</c:v>
                </c:pt>
                <c:pt idx="179">
                  <c:v>32.4</c:v>
                </c:pt>
                <c:pt idx="180">
                  <c:v>32.4</c:v>
                </c:pt>
                <c:pt idx="181">
                  <c:v>32.4</c:v>
                </c:pt>
                <c:pt idx="182">
                  <c:v>32.4</c:v>
                </c:pt>
                <c:pt idx="183">
                  <c:v>32.5</c:v>
                </c:pt>
                <c:pt idx="184">
                  <c:v>32.5</c:v>
                </c:pt>
                <c:pt idx="185">
                  <c:v>32.5</c:v>
                </c:pt>
                <c:pt idx="186">
                  <c:v>32.5</c:v>
                </c:pt>
                <c:pt idx="187">
                  <c:v>32.5</c:v>
                </c:pt>
                <c:pt idx="188">
                  <c:v>32.6</c:v>
                </c:pt>
                <c:pt idx="189">
                  <c:v>32.6</c:v>
                </c:pt>
                <c:pt idx="190">
                  <c:v>32.6</c:v>
                </c:pt>
                <c:pt idx="191">
                  <c:v>32.6</c:v>
                </c:pt>
                <c:pt idx="192">
                  <c:v>32.6</c:v>
                </c:pt>
                <c:pt idx="193">
                  <c:v>32.700000000000003</c:v>
                </c:pt>
                <c:pt idx="194">
                  <c:v>32.700000000000003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32.799999999999997</c:v>
                </c:pt>
                <c:pt idx="198">
                  <c:v>32.799999999999997</c:v>
                </c:pt>
                <c:pt idx="199">
                  <c:v>32.799999999999997</c:v>
                </c:pt>
                <c:pt idx="200">
                  <c:v>32.799999999999997</c:v>
                </c:pt>
                <c:pt idx="201">
                  <c:v>32.799999999999997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C5-47A6-8AAB-EC5FF4A92E49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'100ml'!$H$3:$H$204</c:f>
              <c:numCache>
                <c:formatCode>General</c:formatCode>
                <c:ptCount val="2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</c:numCache>
            </c:numRef>
          </c:xVal>
          <c:yVal>
            <c:numRef>
              <c:f>'100ml'!$M$3:$M$204</c:f>
              <c:numCache>
                <c:formatCode>General</c:formatCode>
                <c:ptCount val="20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0.3</c:v>
                </c:pt>
                <c:pt idx="9">
                  <c:v>0.3</c:v>
                </c:pt>
                <c:pt idx="10">
                  <c:v>0.6</c:v>
                </c:pt>
                <c:pt idx="11">
                  <c:v>1.9</c:v>
                </c:pt>
                <c:pt idx="12">
                  <c:v>4.9000000000000004</c:v>
                </c:pt>
                <c:pt idx="13">
                  <c:v>9.6999999999999993</c:v>
                </c:pt>
                <c:pt idx="14">
                  <c:v>15.7</c:v>
                </c:pt>
                <c:pt idx="15">
                  <c:v>21.7</c:v>
                </c:pt>
                <c:pt idx="16">
                  <c:v>27.8</c:v>
                </c:pt>
                <c:pt idx="17">
                  <c:v>34.4</c:v>
                </c:pt>
                <c:pt idx="18">
                  <c:v>41.4</c:v>
                </c:pt>
                <c:pt idx="19">
                  <c:v>48.5</c:v>
                </c:pt>
                <c:pt idx="20">
                  <c:v>56.2</c:v>
                </c:pt>
                <c:pt idx="21">
                  <c:v>71.5</c:v>
                </c:pt>
                <c:pt idx="22">
                  <c:v>104.1</c:v>
                </c:pt>
                <c:pt idx="23">
                  <c:v>139.30000000000001</c:v>
                </c:pt>
                <c:pt idx="24">
                  <c:v>162.30000000000001</c:v>
                </c:pt>
                <c:pt idx="25">
                  <c:v>178.1</c:v>
                </c:pt>
                <c:pt idx="26">
                  <c:v>191.9</c:v>
                </c:pt>
                <c:pt idx="27">
                  <c:v>202.7</c:v>
                </c:pt>
                <c:pt idx="28">
                  <c:v>211.2</c:v>
                </c:pt>
                <c:pt idx="29">
                  <c:v>219.2</c:v>
                </c:pt>
                <c:pt idx="30">
                  <c:v>227.9</c:v>
                </c:pt>
                <c:pt idx="31">
                  <c:v>235.5</c:v>
                </c:pt>
                <c:pt idx="32">
                  <c:v>242.4</c:v>
                </c:pt>
                <c:pt idx="33">
                  <c:v>249.2</c:v>
                </c:pt>
                <c:pt idx="34">
                  <c:v>254.9</c:v>
                </c:pt>
                <c:pt idx="35">
                  <c:v>259.39999999999998</c:v>
                </c:pt>
                <c:pt idx="36">
                  <c:v>265.2</c:v>
                </c:pt>
                <c:pt idx="37">
                  <c:v>273.3</c:v>
                </c:pt>
                <c:pt idx="38">
                  <c:v>284</c:v>
                </c:pt>
                <c:pt idx="39">
                  <c:v>294.7</c:v>
                </c:pt>
                <c:pt idx="40">
                  <c:v>303.39999999999998</c:v>
                </c:pt>
                <c:pt idx="41">
                  <c:v>314</c:v>
                </c:pt>
                <c:pt idx="42">
                  <c:v>330.9</c:v>
                </c:pt>
                <c:pt idx="43">
                  <c:v>348</c:v>
                </c:pt>
                <c:pt idx="44">
                  <c:v>362</c:v>
                </c:pt>
                <c:pt idx="45">
                  <c:v>371.3</c:v>
                </c:pt>
                <c:pt idx="46">
                  <c:v>379</c:v>
                </c:pt>
                <c:pt idx="47">
                  <c:v>390.4</c:v>
                </c:pt>
                <c:pt idx="48">
                  <c:v>404.5</c:v>
                </c:pt>
                <c:pt idx="49">
                  <c:v>418.2</c:v>
                </c:pt>
                <c:pt idx="50">
                  <c:v>429.2</c:v>
                </c:pt>
                <c:pt idx="51">
                  <c:v>440</c:v>
                </c:pt>
                <c:pt idx="52">
                  <c:v>449.9</c:v>
                </c:pt>
                <c:pt idx="53">
                  <c:v>458.7</c:v>
                </c:pt>
                <c:pt idx="54">
                  <c:v>466.8</c:v>
                </c:pt>
                <c:pt idx="55">
                  <c:v>472</c:v>
                </c:pt>
                <c:pt idx="56">
                  <c:v>476</c:v>
                </c:pt>
                <c:pt idx="57">
                  <c:v>479.5</c:v>
                </c:pt>
                <c:pt idx="58">
                  <c:v>480.5</c:v>
                </c:pt>
                <c:pt idx="59">
                  <c:v>482.9</c:v>
                </c:pt>
                <c:pt idx="60">
                  <c:v>489.5</c:v>
                </c:pt>
                <c:pt idx="61">
                  <c:v>504.7</c:v>
                </c:pt>
                <c:pt idx="62">
                  <c:v>526.1</c:v>
                </c:pt>
                <c:pt idx="63">
                  <c:v>538.4</c:v>
                </c:pt>
                <c:pt idx="64">
                  <c:v>548.1</c:v>
                </c:pt>
                <c:pt idx="65">
                  <c:v>564.1</c:v>
                </c:pt>
                <c:pt idx="66">
                  <c:v>597.70000000000005</c:v>
                </c:pt>
                <c:pt idx="67">
                  <c:v>566.4</c:v>
                </c:pt>
                <c:pt idx="68">
                  <c:v>460.3</c:v>
                </c:pt>
                <c:pt idx="69">
                  <c:v>359.3</c:v>
                </c:pt>
                <c:pt idx="70">
                  <c:v>270.2</c:v>
                </c:pt>
                <c:pt idx="71">
                  <c:v>179.6</c:v>
                </c:pt>
                <c:pt idx="72">
                  <c:v>113.9</c:v>
                </c:pt>
                <c:pt idx="73">
                  <c:v>80.3</c:v>
                </c:pt>
                <c:pt idx="74">
                  <c:v>62.8</c:v>
                </c:pt>
                <c:pt idx="75">
                  <c:v>52.2</c:v>
                </c:pt>
                <c:pt idx="76">
                  <c:v>45.2</c:v>
                </c:pt>
                <c:pt idx="77">
                  <c:v>40.4</c:v>
                </c:pt>
                <c:pt idx="78">
                  <c:v>37.1</c:v>
                </c:pt>
                <c:pt idx="79">
                  <c:v>35.5</c:v>
                </c:pt>
                <c:pt idx="80">
                  <c:v>34.799999999999997</c:v>
                </c:pt>
                <c:pt idx="81">
                  <c:v>34.299999999999997</c:v>
                </c:pt>
                <c:pt idx="82">
                  <c:v>33.799999999999997</c:v>
                </c:pt>
                <c:pt idx="83">
                  <c:v>33.5</c:v>
                </c:pt>
                <c:pt idx="84">
                  <c:v>33.1</c:v>
                </c:pt>
                <c:pt idx="85">
                  <c:v>32.9</c:v>
                </c:pt>
                <c:pt idx="86">
                  <c:v>32.700000000000003</c:v>
                </c:pt>
                <c:pt idx="87">
                  <c:v>32.5</c:v>
                </c:pt>
                <c:pt idx="88">
                  <c:v>32.4</c:v>
                </c:pt>
                <c:pt idx="89">
                  <c:v>32.200000000000003</c:v>
                </c:pt>
                <c:pt idx="90">
                  <c:v>32.200000000000003</c:v>
                </c:pt>
                <c:pt idx="91">
                  <c:v>32.1</c:v>
                </c:pt>
                <c:pt idx="92">
                  <c:v>32.200000000000003</c:v>
                </c:pt>
                <c:pt idx="93">
                  <c:v>32.5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32.799999999999997</c:v>
                </c:pt>
                <c:pt idx="103">
                  <c:v>32.9</c:v>
                </c:pt>
                <c:pt idx="104">
                  <c:v>32.9</c:v>
                </c:pt>
                <c:pt idx="105">
                  <c:v>32.9</c:v>
                </c:pt>
                <c:pt idx="106">
                  <c:v>33</c:v>
                </c:pt>
                <c:pt idx="107">
                  <c:v>33.1</c:v>
                </c:pt>
                <c:pt idx="108">
                  <c:v>33.1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33.5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33.799999999999997</c:v>
                </c:pt>
                <c:pt idx="120">
                  <c:v>33.9</c:v>
                </c:pt>
                <c:pt idx="121">
                  <c:v>33.9</c:v>
                </c:pt>
                <c:pt idx="122">
                  <c:v>34</c:v>
                </c:pt>
                <c:pt idx="123">
                  <c:v>34</c:v>
                </c:pt>
                <c:pt idx="124">
                  <c:v>34.1</c:v>
                </c:pt>
                <c:pt idx="125">
                  <c:v>34.1</c:v>
                </c:pt>
                <c:pt idx="126">
                  <c:v>34.200000000000003</c:v>
                </c:pt>
                <c:pt idx="127">
                  <c:v>34.299999999999997</c:v>
                </c:pt>
                <c:pt idx="128">
                  <c:v>34.4</c:v>
                </c:pt>
                <c:pt idx="129">
                  <c:v>34.4</c:v>
                </c:pt>
                <c:pt idx="130">
                  <c:v>34.5</c:v>
                </c:pt>
                <c:pt idx="131">
                  <c:v>34.5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35</c:v>
                </c:pt>
                <c:pt idx="140">
                  <c:v>35</c:v>
                </c:pt>
                <c:pt idx="141">
                  <c:v>35.1</c:v>
                </c:pt>
                <c:pt idx="142">
                  <c:v>35.1</c:v>
                </c:pt>
                <c:pt idx="143">
                  <c:v>35.1</c:v>
                </c:pt>
                <c:pt idx="144">
                  <c:v>35.200000000000003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35.4</c:v>
                </c:pt>
                <c:pt idx="149">
                  <c:v>35.4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35.9</c:v>
                </c:pt>
                <c:pt idx="161">
                  <c:v>35.9</c:v>
                </c:pt>
                <c:pt idx="162">
                  <c:v>35.9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36.1</c:v>
                </c:pt>
                <c:pt idx="167">
                  <c:v>36.1</c:v>
                </c:pt>
                <c:pt idx="168">
                  <c:v>36.1</c:v>
                </c:pt>
                <c:pt idx="169">
                  <c:v>36.200000000000003</c:v>
                </c:pt>
                <c:pt idx="170">
                  <c:v>36.200000000000003</c:v>
                </c:pt>
                <c:pt idx="171">
                  <c:v>36.299999999999997</c:v>
                </c:pt>
                <c:pt idx="172">
                  <c:v>36.299999999999997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36.4</c:v>
                </c:pt>
                <c:pt idx="176">
                  <c:v>36.4</c:v>
                </c:pt>
                <c:pt idx="177">
                  <c:v>36.4</c:v>
                </c:pt>
                <c:pt idx="178">
                  <c:v>36.5</c:v>
                </c:pt>
                <c:pt idx="179">
                  <c:v>36.5</c:v>
                </c:pt>
                <c:pt idx="180">
                  <c:v>36.5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37</c:v>
                </c:pt>
                <c:pt idx="198">
                  <c:v>37</c:v>
                </c:pt>
                <c:pt idx="199">
                  <c:v>37</c:v>
                </c:pt>
                <c:pt idx="200">
                  <c:v>37</c:v>
                </c:pt>
                <c:pt idx="201">
                  <c:v>37.1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C5-47A6-8AAB-EC5FF4A92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993768"/>
        <c:axId val="653002768"/>
      </c:scatterChart>
      <c:valAx>
        <c:axId val="65299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02768"/>
        <c:crosses val="autoZero"/>
        <c:crossBetween val="midCat"/>
      </c:valAx>
      <c:valAx>
        <c:axId val="6530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93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HX711 Pressure Measurements - Bubbles Left Pressure and vacuum </a:t>
            </a:r>
            <a:r>
              <a:rPr lang="en-GB" sz="1400" b="0" i="0" u="none" strike="noStrike" baseline="0"/>
              <a:t>100ml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'100ml'!$AB$3:$AB$470</c:f>
              <c:numCache>
                <c:formatCode>General</c:formatCode>
                <c:ptCount val="4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</c:numCache>
            </c:numRef>
          </c:xVal>
          <c:yVal>
            <c:numRef>
              <c:f>'100ml'!$AC$3:$AC$470</c:f>
              <c:numCache>
                <c:formatCode>General</c:formatCode>
                <c:ptCount val="468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0.3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0.8</c:v>
                </c:pt>
                <c:pt idx="15">
                  <c:v>0.9</c:v>
                </c:pt>
                <c:pt idx="16">
                  <c:v>0.9</c:v>
                </c:pt>
                <c:pt idx="17">
                  <c:v>0.7</c:v>
                </c:pt>
                <c:pt idx="18">
                  <c:v>0.1</c:v>
                </c:pt>
                <c:pt idx="19">
                  <c:v>-1.4</c:v>
                </c:pt>
                <c:pt idx="20">
                  <c:v>-3.6</c:v>
                </c:pt>
                <c:pt idx="21">
                  <c:v>-6.7</c:v>
                </c:pt>
                <c:pt idx="22">
                  <c:v>-11</c:v>
                </c:pt>
                <c:pt idx="23">
                  <c:v>-16</c:v>
                </c:pt>
                <c:pt idx="24">
                  <c:v>-22</c:v>
                </c:pt>
                <c:pt idx="25">
                  <c:v>-29.7</c:v>
                </c:pt>
                <c:pt idx="26">
                  <c:v>-38.4</c:v>
                </c:pt>
                <c:pt idx="27">
                  <c:v>-46.5</c:v>
                </c:pt>
                <c:pt idx="28">
                  <c:v>-53.7</c:v>
                </c:pt>
                <c:pt idx="29">
                  <c:v>-58.9</c:v>
                </c:pt>
                <c:pt idx="30">
                  <c:v>-62.2</c:v>
                </c:pt>
                <c:pt idx="31">
                  <c:v>-64.599999999999994</c:v>
                </c:pt>
                <c:pt idx="32">
                  <c:v>-67.7</c:v>
                </c:pt>
                <c:pt idx="33">
                  <c:v>-72.599999999999994</c:v>
                </c:pt>
                <c:pt idx="34">
                  <c:v>-79.599999999999994</c:v>
                </c:pt>
                <c:pt idx="35">
                  <c:v>-88.2</c:v>
                </c:pt>
                <c:pt idx="36">
                  <c:v>-98.6</c:v>
                </c:pt>
                <c:pt idx="37">
                  <c:v>-109.7</c:v>
                </c:pt>
                <c:pt idx="38">
                  <c:v>-118.4</c:v>
                </c:pt>
                <c:pt idx="39">
                  <c:v>-123.4</c:v>
                </c:pt>
                <c:pt idx="40">
                  <c:v>-127.9</c:v>
                </c:pt>
                <c:pt idx="41">
                  <c:v>-136.6</c:v>
                </c:pt>
                <c:pt idx="42">
                  <c:v>-141.69999999999999</c:v>
                </c:pt>
                <c:pt idx="43">
                  <c:v>-143.19999999999999</c:v>
                </c:pt>
                <c:pt idx="44">
                  <c:v>-144</c:v>
                </c:pt>
                <c:pt idx="45">
                  <c:v>-144</c:v>
                </c:pt>
                <c:pt idx="46">
                  <c:v>-143</c:v>
                </c:pt>
                <c:pt idx="47">
                  <c:v>-141.5</c:v>
                </c:pt>
                <c:pt idx="48">
                  <c:v>-139.80000000000001</c:v>
                </c:pt>
                <c:pt idx="49">
                  <c:v>-137.80000000000001</c:v>
                </c:pt>
                <c:pt idx="50">
                  <c:v>-135.6</c:v>
                </c:pt>
                <c:pt idx="51">
                  <c:v>-133.5</c:v>
                </c:pt>
                <c:pt idx="52">
                  <c:v>-131.80000000000001</c:v>
                </c:pt>
                <c:pt idx="53">
                  <c:v>-130.5</c:v>
                </c:pt>
                <c:pt idx="54">
                  <c:v>-129.19999999999999</c:v>
                </c:pt>
                <c:pt idx="55">
                  <c:v>-127.6</c:v>
                </c:pt>
                <c:pt idx="56">
                  <c:v>-125.8</c:v>
                </c:pt>
                <c:pt idx="57">
                  <c:v>-124.2</c:v>
                </c:pt>
                <c:pt idx="58">
                  <c:v>-123.1</c:v>
                </c:pt>
                <c:pt idx="59">
                  <c:v>-122.6</c:v>
                </c:pt>
                <c:pt idx="60">
                  <c:v>-122.2</c:v>
                </c:pt>
                <c:pt idx="61">
                  <c:v>-121.5</c:v>
                </c:pt>
                <c:pt idx="62">
                  <c:v>-120.7</c:v>
                </c:pt>
                <c:pt idx="63">
                  <c:v>-119.7</c:v>
                </c:pt>
                <c:pt idx="64">
                  <c:v>-118.3</c:v>
                </c:pt>
                <c:pt idx="65">
                  <c:v>-116.5</c:v>
                </c:pt>
                <c:pt idx="66">
                  <c:v>-114.8</c:v>
                </c:pt>
                <c:pt idx="67">
                  <c:v>-113.1</c:v>
                </c:pt>
                <c:pt idx="68">
                  <c:v>-111.6</c:v>
                </c:pt>
                <c:pt idx="69">
                  <c:v>-110.4</c:v>
                </c:pt>
                <c:pt idx="70">
                  <c:v>-109.5</c:v>
                </c:pt>
                <c:pt idx="71">
                  <c:v>-108.9</c:v>
                </c:pt>
                <c:pt idx="72">
                  <c:v>-108.4</c:v>
                </c:pt>
                <c:pt idx="73">
                  <c:v>-108.2</c:v>
                </c:pt>
                <c:pt idx="74">
                  <c:v>-108.1</c:v>
                </c:pt>
                <c:pt idx="75">
                  <c:v>-107.9</c:v>
                </c:pt>
                <c:pt idx="76">
                  <c:v>-107.4</c:v>
                </c:pt>
                <c:pt idx="77">
                  <c:v>-106.7</c:v>
                </c:pt>
                <c:pt idx="78">
                  <c:v>-105.9</c:v>
                </c:pt>
                <c:pt idx="79">
                  <c:v>-105.2</c:v>
                </c:pt>
                <c:pt idx="80">
                  <c:v>-104.6</c:v>
                </c:pt>
                <c:pt idx="81">
                  <c:v>-104</c:v>
                </c:pt>
                <c:pt idx="82">
                  <c:v>-103.6</c:v>
                </c:pt>
                <c:pt idx="83">
                  <c:v>-103.2</c:v>
                </c:pt>
                <c:pt idx="84">
                  <c:v>-102.8</c:v>
                </c:pt>
                <c:pt idx="85">
                  <c:v>-102.4</c:v>
                </c:pt>
                <c:pt idx="86">
                  <c:v>-101.9</c:v>
                </c:pt>
                <c:pt idx="87">
                  <c:v>-101.3</c:v>
                </c:pt>
                <c:pt idx="88">
                  <c:v>-100.8</c:v>
                </c:pt>
                <c:pt idx="89">
                  <c:v>-100.4</c:v>
                </c:pt>
                <c:pt idx="90">
                  <c:v>-100.2</c:v>
                </c:pt>
                <c:pt idx="91">
                  <c:v>-99.7</c:v>
                </c:pt>
                <c:pt idx="92">
                  <c:v>-99.2</c:v>
                </c:pt>
                <c:pt idx="93">
                  <c:v>-98.5</c:v>
                </c:pt>
                <c:pt idx="94">
                  <c:v>-97.6</c:v>
                </c:pt>
                <c:pt idx="95">
                  <c:v>-96.8</c:v>
                </c:pt>
                <c:pt idx="96">
                  <c:v>-96.1</c:v>
                </c:pt>
                <c:pt idx="97">
                  <c:v>-95.2</c:v>
                </c:pt>
                <c:pt idx="98">
                  <c:v>-94.6</c:v>
                </c:pt>
                <c:pt idx="99">
                  <c:v>-94.3</c:v>
                </c:pt>
                <c:pt idx="100">
                  <c:v>-94.2</c:v>
                </c:pt>
                <c:pt idx="101">
                  <c:v>-94.3</c:v>
                </c:pt>
                <c:pt idx="102">
                  <c:v>-94.3</c:v>
                </c:pt>
                <c:pt idx="103">
                  <c:v>-94.3</c:v>
                </c:pt>
                <c:pt idx="104">
                  <c:v>-94.2</c:v>
                </c:pt>
                <c:pt idx="105">
                  <c:v>-94</c:v>
                </c:pt>
                <c:pt idx="106">
                  <c:v>-93.7</c:v>
                </c:pt>
                <c:pt idx="107">
                  <c:v>-93.5</c:v>
                </c:pt>
                <c:pt idx="108">
                  <c:v>-93.4</c:v>
                </c:pt>
                <c:pt idx="109">
                  <c:v>-93.4</c:v>
                </c:pt>
                <c:pt idx="110">
                  <c:v>-93.4</c:v>
                </c:pt>
                <c:pt idx="111">
                  <c:v>-93.3</c:v>
                </c:pt>
                <c:pt idx="112">
                  <c:v>-93.3</c:v>
                </c:pt>
                <c:pt idx="113">
                  <c:v>-93.2</c:v>
                </c:pt>
                <c:pt idx="114">
                  <c:v>-93</c:v>
                </c:pt>
                <c:pt idx="115">
                  <c:v>-92.8</c:v>
                </c:pt>
                <c:pt idx="116">
                  <c:v>-92.5</c:v>
                </c:pt>
                <c:pt idx="117">
                  <c:v>-92</c:v>
                </c:pt>
                <c:pt idx="118">
                  <c:v>-91.6</c:v>
                </c:pt>
                <c:pt idx="119">
                  <c:v>-91.2</c:v>
                </c:pt>
                <c:pt idx="120">
                  <c:v>-90.6</c:v>
                </c:pt>
                <c:pt idx="121">
                  <c:v>-90.1</c:v>
                </c:pt>
                <c:pt idx="122">
                  <c:v>-89.5</c:v>
                </c:pt>
                <c:pt idx="123">
                  <c:v>-89</c:v>
                </c:pt>
                <c:pt idx="124">
                  <c:v>-88.3</c:v>
                </c:pt>
                <c:pt idx="125">
                  <c:v>-87.6</c:v>
                </c:pt>
                <c:pt idx="126">
                  <c:v>-86.7</c:v>
                </c:pt>
                <c:pt idx="127">
                  <c:v>-85.8</c:v>
                </c:pt>
                <c:pt idx="128">
                  <c:v>-85.1</c:v>
                </c:pt>
                <c:pt idx="129">
                  <c:v>-84.9</c:v>
                </c:pt>
                <c:pt idx="130">
                  <c:v>-85.1</c:v>
                </c:pt>
                <c:pt idx="131">
                  <c:v>-85.6</c:v>
                </c:pt>
                <c:pt idx="132">
                  <c:v>-86.3</c:v>
                </c:pt>
                <c:pt idx="133">
                  <c:v>-87</c:v>
                </c:pt>
                <c:pt idx="134">
                  <c:v>-87.6</c:v>
                </c:pt>
                <c:pt idx="135">
                  <c:v>-88.3</c:v>
                </c:pt>
                <c:pt idx="136">
                  <c:v>-88.9</c:v>
                </c:pt>
                <c:pt idx="137">
                  <c:v>-89.5</c:v>
                </c:pt>
                <c:pt idx="138">
                  <c:v>-89.9</c:v>
                </c:pt>
                <c:pt idx="139">
                  <c:v>-90.4</c:v>
                </c:pt>
                <c:pt idx="140">
                  <c:v>-90.9</c:v>
                </c:pt>
                <c:pt idx="141">
                  <c:v>-91.3</c:v>
                </c:pt>
                <c:pt idx="142">
                  <c:v>-91.6</c:v>
                </c:pt>
                <c:pt idx="143">
                  <c:v>-91.9</c:v>
                </c:pt>
                <c:pt idx="144">
                  <c:v>-92.3</c:v>
                </c:pt>
                <c:pt idx="145">
                  <c:v>-92.7</c:v>
                </c:pt>
                <c:pt idx="146">
                  <c:v>-92.9</c:v>
                </c:pt>
                <c:pt idx="147">
                  <c:v>-92.9</c:v>
                </c:pt>
                <c:pt idx="148">
                  <c:v>-93</c:v>
                </c:pt>
                <c:pt idx="149">
                  <c:v>-93</c:v>
                </c:pt>
                <c:pt idx="150">
                  <c:v>-93.1</c:v>
                </c:pt>
                <c:pt idx="151">
                  <c:v>-93.1</c:v>
                </c:pt>
                <c:pt idx="152">
                  <c:v>-93</c:v>
                </c:pt>
                <c:pt idx="153">
                  <c:v>-92.9</c:v>
                </c:pt>
                <c:pt idx="154">
                  <c:v>-92.7</c:v>
                </c:pt>
                <c:pt idx="155">
                  <c:v>-92.5</c:v>
                </c:pt>
                <c:pt idx="156">
                  <c:v>-92.3</c:v>
                </c:pt>
                <c:pt idx="157">
                  <c:v>-92</c:v>
                </c:pt>
                <c:pt idx="158">
                  <c:v>-91.8</c:v>
                </c:pt>
                <c:pt idx="159">
                  <c:v>-91.6</c:v>
                </c:pt>
                <c:pt idx="160">
                  <c:v>-91.4</c:v>
                </c:pt>
                <c:pt idx="161">
                  <c:v>-91</c:v>
                </c:pt>
                <c:pt idx="162">
                  <c:v>-90.7</c:v>
                </c:pt>
                <c:pt idx="163">
                  <c:v>-90.4</c:v>
                </c:pt>
                <c:pt idx="164">
                  <c:v>-90.2</c:v>
                </c:pt>
                <c:pt idx="165">
                  <c:v>-90</c:v>
                </c:pt>
                <c:pt idx="166">
                  <c:v>-89.6</c:v>
                </c:pt>
                <c:pt idx="167">
                  <c:v>-89.1</c:v>
                </c:pt>
                <c:pt idx="168">
                  <c:v>-88.7</c:v>
                </c:pt>
                <c:pt idx="169">
                  <c:v>-88.5</c:v>
                </c:pt>
                <c:pt idx="170">
                  <c:v>-88.3</c:v>
                </c:pt>
                <c:pt idx="171">
                  <c:v>-88.2</c:v>
                </c:pt>
                <c:pt idx="172">
                  <c:v>-88.2</c:v>
                </c:pt>
                <c:pt idx="173">
                  <c:v>-88.2</c:v>
                </c:pt>
                <c:pt idx="174">
                  <c:v>-88.1</c:v>
                </c:pt>
                <c:pt idx="175">
                  <c:v>-88</c:v>
                </c:pt>
                <c:pt idx="176">
                  <c:v>-87.9</c:v>
                </c:pt>
                <c:pt idx="177">
                  <c:v>-87.7</c:v>
                </c:pt>
                <c:pt idx="178">
                  <c:v>-87.6</c:v>
                </c:pt>
                <c:pt idx="179">
                  <c:v>-87.5</c:v>
                </c:pt>
                <c:pt idx="180">
                  <c:v>-87.3</c:v>
                </c:pt>
                <c:pt idx="181">
                  <c:v>-87.1</c:v>
                </c:pt>
                <c:pt idx="182">
                  <c:v>-86.8</c:v>
                </c:pt>
                <c:pt idx="183">
                  <c:v>-86.4</c:v>
                </c:pt>
                <c:pt idx="184">
                  <c:v>-86.1</c:v>
                </c:pt>
                <c:pt idx="185">
                  <c:v>-85.8</c:v>
                </c:pt>
                <c:pt idx="186">
                  <c:v>-85.5</c:v>
                </c:pt>
                <c:pt idx="187">
                  <c:v>-85.3</c:v>
                </c:pt>
                <c:pt idx="188">
                  <c:v>-85</c:v>
                </c:pt>
                <c:pt idx="189">
                  <c:v>-84.8</c:v>
                </c:pt>
                <c:pt idx="190">
                  <c:v>-84.5</c:v>
                </c:pt>
                <c:pt idx="191">
                  <c:v>-84.3</c:v>
                </c:pt>
                <c:pt idx="192">
                  <c:v>-84.3</c:v>
                </c:pt>
                <c:pt idx="193">
                  <c:v>-84.4</c:v>
                </c:pt>
                <c:pt idx="194">
                  <c:v>-84.6</c:v>
                </c:pt>
                <c:pt idx="195">
                  <c:v>-84.7</c:v>
                </c:pt>
                <c:pt idx="196">
                  <c:v>-84.6</c:v>
                </c:pt>
                <c:pt idx="197">
                  <c:v>-84.6</c:v>
                </c:pt>
                <c:pt idx="198">
                  <c:v>-84.7</c:v>
                </c:pt>
                <c:pt idx="199">
                  <c:v>-84.9</c:v>
                </c:pt>
                <c:pt idx="200">
                  <c:v>-85.1</c:v>
                </c:pt>
                <c:pt idx="201">
                  <c:v>-85.4</c:v>
                </c:pt>
                <c:pt idx="202">
                  <c:v>-85.6</c:v>
                </c:pt>
                <c:pt idx="203">
                  <c:v>-85.8</c:v>
                </c:pt>
                <c:pt idx="204">
                  <c:v>-86</c:v>
                </c:pt>
                <c:pt idx="205">
                  <c:v>-86</c:v>
                </c:pt>
                <c:pt idx="206">
                  <c:v>-85.9</c:v>
                </c:pt>
                <c:pt idx="207">
                  <c:v>-85.9</c:v>
                </c:pt>
                <c:pt idx="208">
                  <c:v>-85.8</c:v>
                </c:pt>
                <c:pt idx="209">
                  <c:v>-85.8</c:v>
                </c:pt>
                <c:pt idx="210">
                  <c:v>-85.7</c:v>
                </c:pt>
                <c:pt idx="211">
                  <c:v>-85.6</c:v>
                </c:pt>
                <c:pt idx="212">
                  <c:v>-85.5</c:v>
                </c:pt>
                <c:pt idx="213">
                  <c:v>-85.3</c:v>
                </c:pt>
                <c:pt idx="214">
                  <c:v>-84.9</c:v>
                </c:pt>
                <c:pt idx="215">
                  <c:v>-84.6</c:v>
                </c:pt>
                <c:pt idx="216">
                  <c:v>-84.4</c:v>
                </c:pt>
                <c:pt idx="217">
                  <c:v>-84.4</c:v>
                </c:pt>
                <c:pt idx="218">
                  <c:v>-84.3</c:v>
                </c:pt>
                <c:pt idx="219">
                  <c:v>-84.3</c:v>
                </c:pt>
                <c:pt idx="220">
                  <c:v>-84.3</c:v>
                </c:pt>
                <c:pt idx="221">
                  <c:v>-84.3</c:v>
                </c:pt>
                <c:pt idx="222">
                  <c:v>-84.5</c:v>
                </c:pt>
                <c:pt idx="223">
                  <c:v>-84.8</c:v>
                </c:pt>
                <c:pt idx="224">
                  <c:v>-85.2</c:v>
                </c:pt>
                <c:pt idx="225">
                  <c:v>-85.6</c:v>
                </c:pt>
                <c:pt idx="226">
                  <c:v>-85.8</c:v>
                </c:pt>
                <c:pt idx="227">
                  <c:v>-86.1</c:v>
                </c:pt>
                <c:pt idx="228">
                  <c:v>-86.2</c:v>
                </c:pt>
                <c:pt idx="229">
                  <c:v>-86.3</c:v>
                </c:pt>
                <c:pt idx="230">
                  <c:v>-86.4</c:v>
                </c:pt>
                <c:pt idx="231">
                  <c:v>-86.5</c:v>
                </c:pt>
                <c:pt idx="232">
                  <c:v>-86.5</c:v>
                </c:pt>
                <c:pt idx="233">
                  <c:v>-86.4</c:v>
                </c:pt>
                <c:pt idx="234">
                  <c:v>-86.3</c:v>
                </c:pt>
                <c:pt idx="235">
                  <c:v>-86.3</c:v>
                </c:pt>
                <c:pt idx="236">
                  <c:v>-86.4</c:v>
                </c:pt>
                <c:pt idx="237">
                  <c:v>-86.6</c:v>
                </c:pt>
                <c:pt idx="238">
                  <c:v>-86.9</c:v>
                </c:pt>
                <c:pt idx="239">
                  <c:v>-87.3</c:v>
                </c:pt>
                <c:pt idx="240">
                  <c:v>-87.7</c:v>
                </c:pt>
                <c:pt idx="241">
                  <c:v>-88</c:v>
                </c:pt>
                <c:pt idx="242">
                  <c:v>-87.9</c:v>
                </c:pt>
                <c:pt idx="243">
                  <c:v>-87.6</c:v>
                </c:pt>
                <c:pt idx="244">
                  <c:v>-87.4</c:v>
                </c:pt>
                <c:pt idx="245">
                  <c:v>-87.4</c:v>
                </c:pt>
                <c:pt idx="246">
                  <c:v>-87.5</c:v>
                </c:pt>
                <c:pt idx="247">
                  <c:v>-87.6</c:v>
                </c:pt>
                <c:pt idx="248">
                  <c:v>-87.6</c:v>
                </c:pt>
                <c:pt idx="249">
                  <c:v>-87.6</c:v>
                </c:pt>
                <c:pt idx="250">
                  <c:v>-87.6</c:v>
                </c:pt>
                <c:pt idx="251">
                  <c:v>-87.6</c:v>
                </c:pt>
                <c:pt idx="252">
                  <c:v>-87.5</c:v>
                </c:pt>
                <c:pt idx="253">
                  <c:v>-87.6</c:v>
                </c:pt>
                <c:pt idx="254">
                  <c:v>-87.7</c:v>
                </c:pt>
                <c:pt idx="255">
                  <c:v>-87.8</c:v>
                </c:pt>
                <c:pt idx="256">
                  <c:v>-87.8</c:v>
                </c:pt>
                <c:pt idx="257">
                  <c:v>-87.8</c:v>
                </c:pt>
                <c:pt idx="258">
                  <c:v>-87.8</c:v>
                </c:pt>
                <c:pt idx="259">
                  <c:v>-87.9</c:v>
                </c:pt>
                <c:pt idx="260">
                  <c:v>-87.9</c:v>
                </c:pt>
                <c:pt idx="261">
                  <c:v>-88</c:v>
                </c:pt>
                <c:pt idx="262">
                  <c:v>-88.1</c:v>
                </c:pt>
                <c:pt idx="263">
                  <c:v>-88.2</c:v>
                </c:pt>
                <c:pt idx="264">
                  <c:v>-88.2</c:v>
                </c:pt>
                <c:pt idx="265">
                  <c:v>-88.3</c:v>
                </c:pt>
                <c:pt idx="266">
                  <c:v>-88.2</c:v>
                </c:pt>
                <c:pt idx="267">
                  <c:v>-88.2</c:v>
                </c:pt>
                <c:pt idx="268">
                  <c:v>-88.2</c:v>
                </c:pt>
                <c:pt idx="269">
                  <c:v>-88.2</c:v>
                </c:pt>
                <c:pt idx="270">
                  <c:v>-88.2</c:v>
                </c:pt>
                <c:pt idx="271">
                  <c:v>-88.1</c:v>
                </c:pt>
                <c:pt idx="272">
                  <c:v>-88</c:v>
                </c:pt>
                <c:pt idx="273">
                  <c:v>-87.7</c:v>
                </c:pt>
                <c:pt idx="274">
                  <c:v>-87.4</c:v>
                </c:pt>
                <c:pt idx="275">
                  <c:v>-87</c:v>
                </c:pt>
                <c:pt idx="276">
                  <c:v>-86.8</c:v>
                </c:pt>
                <c:pt idx="277">
                  <c:v>-86.8</c:v>
                </c:pt>
                <c:pt idx="278">
                  <c:v>-86.7</c:v>
                </c:pt>
                <c:pt idx="279">
                  <c:v>-86.5</c:v>
                </c:pt>
                <c:pt idx="280">
                  <c:v>-86.1</c:v>
                </c:pt>
                <c:pt idx="281">
                  <c:v>-85.7</c:v>
                </c:pt>
                <c:pt idx="282">
                  <c:v>-85</c:v>
                </c:pt>
                <c:pt idx="283">
                  <c:v>-84</c:v>
                </c:pt>
                <c:pt idx="284">
                  <c:v>-82.6</c:v>
                </c:pt>
                <c:pt idx="285">
                  <c:v>-80.599999999999994</c:v>
                </c:pt>
                <c:pt idx="286">
                  <c:v>-78.599999999999994</c:v>
                </c:pt>
                <c:pt idx="287">
                  <c:v>-76.599999999999994</c:v>
                </c:pt>
                <c:pt idx="288">
                  <c:v>-74.599999999999994</c:v>
                </c:pt>
                <c:pt idx="289">
                  <c:v>-72.7</c:v>
                </c:pt>
                <c:pt idx="290">
                  <c:v>-70.900000000000006</c:v>
                </c:pt>
                <c:pt idx="291">
                  <c:v>-69.3</c:v>
                </c:pt>
                <c:pt idx="292">
                  <c:v>-67.8</c:v>
                </c:pt>
                <c:pt idx="293">
                  <c:v>-66.3</c:v>
                </c:pt>
                <c:pt idx="294">
                  <c:v>-65</c:v>
                </c:pt>
                <c:pt idx="295">
                  <c:v>-63.7</c:v>
                </c:pt>
                <c:pt idx="296">
                  <c:v>-62.4</c:v>
                </c:pt>
                <c:pt idx="297">
                  <c:v>-61.2</c:v>
                </c:pt>
                <c:pt idx="298">
                  <c:v>-60</c:v>
                </c:pt>
                <c:pt idx="299">
                  <c:v>-58.8</c:v>
                </c:pt>
                <c:pt idx="300">
                  <c:v>-57.8</c:v>
                </c:pt>
                <c:pt idx="301">
                  <c:v>-56.9</c:v>
                </c:pt>
                <c:pt idx="302">
                  <c:v>-56.1</c:v>
                </c:pt>
                <c:pt idx="303">
                  <c:v>-55.4</c:v>
                </c:pt>
                <c:pt idx="304">
                  <c:v>-54.6</c:v>
                </c:pt>
                <c:pt idx="305">
                  <c:v>-53.9</c:v>
                </c:pt>
                <c:pt idx="306">
                  <c:v>-53.2</c:v>
                </c:pt>
                <c:pt idx="307">
                  <c:v>-52.6</c:v>
                </c:pt>
                <c:pt idx="308">
                  <c:v>-52.1</c:v>
                </c:pt>
                <c:pt idx="309">
                  <c:v>-51.5</c:v>
                </c:pt>
                <c:pt idx="310">
                  <c:v>-50.9</c:v>
                </c:pt>
                <c:pt idx="311">
                  <c:v>-50.2</c:v>
                </c:pt>
                <c:pt idx="312">
                  <c:v>-49.7</c:v>
                </c:pt>
                <c:pt idx="313">
                  <c:v>-49.2</c:v>
                </c:pt>
                <c:pt idx="314">
                  <c:v>-48.6</c:v>
                </c:pt>
                <c:pt idx="315">
                  <c:v>-48.1</c:v>
                </c:pt>
                <c:pt idx="316">
                  <c:v>-47.5</c:v>
                </c:pt>
                <c:pt idx="317">
                  <c:v>-47</c:v>
                </c:pt>
                <c:pt idx="318">
                  <c:v>-46.5</c:v>
                </c:pt>
                <c:pt idx="319">
                  <c:v>-46.1</c:v>
                </c:pt>
                <c:pt idx="320">
                  <c:v>-45.6</c:v>
                </c:pt>
                <c:pt idx="321">
                  <c:v>-45.1</c:v>
                </c:pt>
                <c:pt idx="322">
                  <c:v>-44.6</c:v>
                </c:pt>
                <c:pt idx="323">
                  <c:v>-44.1</c:v>
                </c:pt>
                <c:pt idx="324">
                  <c:v>-43.5</c:v>
                </c:pt>
                <c:pt idx="325">
                  <c:v>-43</c:v>
                </c:pt>
                <c:pt idx="326">
                  <c:v>-42.5</c:v>
                </c:pt>
                <c:pt idx="327">
                  <c:v>-42</c:v>
                </c:pt>
                <c:pt idx="328">
                  <c:v>-41.5</c:v>
                </c:pt>
                <c:pt idx="329">
                  <c:v>-41.1</c:v>
                </c:pt>
                <c:pt idx="330">
                  <c:v>-40.700000000000003</c:v>
                </c:pt>
                <c:pt idx="331">
                  <c:v>-40.299999999999997</c:v>
                </c:pt>
                <c:pt idx="332">
                  <c:v>-39.9</c:v>
                </c:pt>
                <c:pt idx="333">
                  <c:v>-39.5</c:v>
                </c:pt>
                <c:pt idx="334">
                  <c:v>-39</c:v>
                </c:pt>
                <c:pt idx="335">
                  <c:v>-38.4</c:v>
                </c:pt>
                <c:pt idx="336">
                  <c:v>-37.6</c:v>
                </c:pt>
                <c:pt idx="337">
                  <c:v>-36.700000000000003</c:v>
                </c:pt>
                <c:pt idx="338">
                  <c:v>-35.6</c:v>
                </c:pt>
                <c:pt idx="339">
                  <c:v>-34.200000000000003</c:v>
                </c:pt>
                <c:pt idx="340">
                  <c:v>-32.200000000000003</c:v>
                </c:pt>
                <c:pt idx="341">
                  <c:v>-29.6</c:v>
                </c:pt>
                <c:pt idx="342">
                  <c:v>-26.1</c:v>
                </c:pt>
                <c:pt idx="343">
                  <c:v>-22</c:v>
                </c:pt>
                <c:pt idx="344">
                  <c:v>-17.399999999999999</c:v>
                </c:pt>
                <c:pt idx="345">
                  <c:v>-11.8</c:v>
                </c:pt>
                <c:pt idx="346">
                  <c:v>-2.4</c:v>
                </c:pt>
                <c:pt idx="347">
                  <c:v>23.4</c:v>
                </c:pt>
                <c:pt idx="348">
                  <c:v>50.7</c:v>
                </c:pt>
                <c:pt idx="349">
                  <c:v>69.099999999999994</c:v>
                </c:pt>
                <c:pt idx="350">
                  <c:v>83.2</c:v>
                </c:pt>
                <c:pt idx="351">
                  <c:v>95.2</c:v>
                </c:pt>
                <c:pt idx="352">
                  <c:v>106.3</c:v>
                </c:pt>
                <c:pt idx="353">
                  <c:v>116.4</c:v>
                </c:pt>
                <c:pt idx="354">
                  <c:v>124.5</c:v>
                </c:pt>
                <c:pt idx="355">
                  <c:v>132</c:v>
                </c:pt>
                <c:pt idx="356">
                  <c:v>140.69999999999999</c:v>
                </c:pt>
                <c:pt idx="357">
                  <c:v>151.69999999999999</c:v>
                </c:pt>
                <c:pt idx="358">
                  <c:v>165.5</c:v>
                </c:pt>
                <c:pt idx="359">
                  <c:v>181.5</c:v>
                </c:pt>
                <c:pt idx="360">
                  <c:v>197.9</c:v>
                </c:pt>
                <c:pt idx="361">
                  <c:v>213.1</c:v>
                </c:pt>
                <c:pt idx="362">
                  <c:v>227.4</c:v>
                </c:pt>
                <c:pt idx="363">
                  <c:v>241.4</c:v>
                </c:pt>
                <c:pt idx="364">
                  <c:v>254.5</c:v>
                </c:pt>
                <c:pt idx="365">
                  <c:v>265.10000000000002</c:v>
                </c:pt>
                <c:pt idx="366">
                  <c:v>274.8</c:v>
                </c:pt>
                <c:pt idx="367">
                  <c:v>285.3</c:v>
                </c:pt>
                <c:pt idx="368">
                  <c:v>297.5</c:v>
                </c:pt>
                <c:pt idx="369">
                  <c:v>309.2</c:v>
                </c:pt>
                <c:pt idx="370">
                  <c:v>319.2</c:v>
                </c:pt>
                <c:pt idx="371">
                  <c:v>328.3</c:v>
                </c:pt>
                <c:pt idx="372">
                  <c:v>339.3</c:v>
                </c:pt>
                <c:pt idx="373">
                  <c:v>352.8</c:v>
                </c:pt>
                <c:pt idx="374">
                  <c:v>367.1</c:v>
                </c:pt>
                <c:pt idx="375">
                  <c:v>379.8</c:v>
                </c:pt>
                <c:pt idx="376">
                  <c:v>391</c:v>
                </c:pt>
                <c:pt idx="377">
                  <c:v>400.3</c:v>
                </c:pt>
                <c:pt idx="378">
                  <c:v>408.6</c:v>
                </c:pt>
                <c:pt idx="379">
                  <c:v>418.7</c:v>
                </c:pt>
                <c:pt idx="380">
                  <c:v>433</c:v>
                </c:pt>
                <c:pt idx="381">
                  <c:v>448.8</c:v>
                </c:pt>
                <c:pt idx="382">
                  <c:v>463.2</c:v>
                </c:pt>
                <c:pt idx="383">
                  <c:v>475.3</c:v>
                </c:pt>
                <c:pt idx="384">
                  <c:v>485.8</c:v>
                </c:pt>
                <c:pt idx="385">
                  <c:v>495.9</c:v>
                </c:pt>
                <c:pt idx="386">
                  <c:v>505.2</c:v>
                </c:pt>
                <c:pt idx="387">
                  <c:v>514</c:v>
                </c:pt>
                <c:pt idx="388">
                  <c:v>523.1</c:v>
                </c:pt>
                <c:pt idx="389">
                  <c:v>534.5</c:v>
                </c:pt>
                <c:pt idx="390">
                  <c:v>544.29999999999995</c:v>
                </c:pt>
                <c:pt idx="391">
                  <c:v>550.1</c:v>
                </c:pt>
                <c:pt idx="392">
                  <c:v>551.79999999999995</c:v>
                </c:pt>
                <c:pt idx="393">
                  <c:v>553.1</c:v>
                </c:pt>
                <c:pt idx="394">
                  <c:v>555.1</c:v>
                </c:pt>
                <c:pt idx="395">
                  <c:v>557.9</c:v>
                </c:pt>
                <c:pt idx="396">
                  <c:v>560.5</c:v>
                </c:pt>
                <c:pt idx="397">
                  <c:v>562.79999999999995</c:v>
                </c:pt>
                <c:pt idx="398">
                  <c:v>565.1</c:v>
                </c:pt>
                <c:pt idx="399">
                  <c:v>564.9</c:v>
                </c:pt>
                <c:pt idx="400">
                  <c:v>564.20000000000005</c:v>
                </c:pt>
                <c:pt idx="401">
                  <c:v>562.4</c:v>
                </c:pt>
                <c:pt idx="402">
                  <c:v>563.9</c:v>
                </c:pt>
                <c:pt idx="403">
                  <c:v>568.70000000000005</c:v>
                </c:pt>
                <c:pt idx="404">
                  <c:v>572.4</c:v>
                </c:pt>
                <c:pt idx="405">
                  <c:v>578</c:v>
                </c:pt>
                <c:pt idx="406">
                  <c:v>586.20000000000005</c:v>
                </c:pt>
                <c:pt idx="407">
                  <c:v>589</c:v>
                </c:pt>
                <c:pt idx="408">
                  <c:v>581.5</c:v>
                </c:pt>
                <c:pt idx="409">
                  <c:v>575.9</c:v>
                </c:pt>
                <c:pt idx="410">
                  <c:v>577.1</c:v>
                </c:pt>
                <c:pt idx="411">
                  <c:v>579.9</c:v>
                </c:pt>
                <c:pt idx="412">
                  <c:v>583.1</c:v>
                </c:pt>
                <c:pt idx="413">
                  <c:v>577.9</c:v>
                </c:pt>
                <c:pt idx="414">
                  <c:v>575</c:v>
                </c:pt>
                <c:pt idx="415">
                  <c:v>587.79999999999995</c:v>
                </c:pt>
                <c:pt idx="416">
                  <c:v>594.9</c:v>
                </c:pt>
                <c:pt idx="417">
                  <c:v>587.4</c:v>
                </c:pt>
                <c:pt idx="418">
                  <c:v>551.29999999999995</c:v>
                </c:pt>
                <c:pt idx="419">
                  <c:v>501.2</c:v>
                </c:pt>
                <c:pt idx="420">
                  <c:v>452.1</c:v>
                </c:pt>
                <c:pt idx="421">
                  <c:v>398.5</c:v>
                </c:pt>
                <c:pt idx="422">
                  <c:v>311.60000000000002</c:v>
                </c:pt>
                <c:pt idx="423">
                  <c:v>188.9</c:v>
                </c:pt>
                <c:pt idx="424">
                  <c:v>93.3</c:v>
                </c:pt>
                <c:pt idx="425">
                  <c:v>47.8</c:v>
                </c:pt>
                <c:pt idx="426">
                  <c:v>29</c:v>
                </c:pt>
                <c:pt idx="427">
                  <c:v>19.7</c:v>
                </c:pt>
                <c:pt idx="428">
                  <c:v>16</c:v>
                </c:pt>
                <c:pt idx="429">
                  <c:v>14.6</c:v>
                </c:pt>
                <c:pt idx="430">
                  <c:v>13.5</c:v>
                </c:pt>
                <c:pt idx="431">
                  <c:v>12.6</c:v>
                </c:pt>
                <c:pt idx="432">
                  <c:v>11.8</c:v>
                </c:pt>
                <c:pt idx="433">
                  <c:v>11.2</c:v>
                </c:pt>
                <c:pt idx="434">
                  <c:v>10.7</c:v>
                </c:pt>
                <c:pt idx="435">
                  <c:v>10.4</c:v>
                </c:pt>
                <c:pt idx="436">
                  <c:v>10.1</c:v>
                </c:pt>
                <c:pt idx="437">
                  <c:v>9.9</c:v>
                </c:pt>
                <c:pt idx="438">
                  <c:v>9.6999999999999993</c:v>
                </c:pt>
                <c:pt idx="439">
                  <c:v>9.6</c:v>
                </c:pt>
                <c:pt idx="440">
                  <c:v>9.5</c:v>
                </c:pt>
                <c:pt idx="441">
                  <c:v>9.4</c:v>
                </c:pt>
                <c:pt idx="442">
                  <c:v>9.3000000000000007</c:v>
                </c:pt>
                <c:pt idx="443">
                  <c:v>9.3000000000000007</c:v>
                </c:pt>
                <c:pt idx="444">
                  <c:v>9.1999999999999993</c:v>
                </c:pt>
                <c:pt idx="445">
                  <c:v>9.1999999999999993</c:v>
                </c:pt>
                <c:pt idx="446">
                  <c:v>9.1999999999999993</c:v>
                </c:pt>
                <c:pt idx="447">
                  <c:v>9.1999999999999993</c:v>
                </c:pt>
                <c:pt idx="448">
                  <c:v>9.1999999999999993</c:v>
                </c:pt>
                <c:pt idx="449">
                  <c:v>9.1999999999999993</c:v>
                </c:pt>
                <c:pt idx="450">
                  <c:v>9.1999999999999993</c:v>
                </c:pt>
                <c:pt idx="451">
                  <c:v>9.3000000000000007</c:v>
                </c:pt>
                <c:pt idx="452">
                  <c:v>9.3000000000000007</c:v>
                </c:pt>
                <c:pt idx="453">
                  <c:v>9.3000000000000007</c:v>
                </c:pt>
                <c:pt idx="454">
                  <c:v>9.3000000000000007</c:v>
                </c:pt>
                <c:pt idx="455">
                  <c:v>9.3000000000000007</c:v>
                </c:pt>
                <c:pt idx="456">
                  <c:v>9.4</c:v>
                </c:pt>
                <c:pt idx="457">
                  <c:v>9.4</c:v>
                </c:pt>
                <c:pt idx="458">
                  <c:v>9.4</c:v>
                </c:pt>
                <c:pt idx="459">
                  <c:v>9.5</c:v>
                </c:pt>
                <c:pt idx="460">
                  <c:v>9.5</c:v>
                </c:pt>
                <c:pt idx="461">
                  <c:v>9.6</c:v>
                </c:pt>
                <c:pt idx="462">
                  <c:v>9.6</c:v>
                </c:pt>
                <c:pt idx="463">
                  <c:v>9.6999999999999993</c:v>
                </c:pt>
                <c:pt idx="464">
                  <c:v>9.6999999999999993</c:v>
                </c:pt>
                <c:pt idx="465">
                  <c:v>9.8000000000000007</c:v>
                </c:pt>
                <c:pt idx="466">
                  <c:v>9.8000000000000007</c:v>
                </c:pt>
                <c:pt idx="467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8C-49FB-B409-9B84A4A1CDEA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'100ml'!$AB$3:$AB$470</c:f>
              <c:numCache>
                <c:formatCode>General</c:formatCode>
                <c:ptCount val="4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</c:numCache>
            </c:numRef>
          </c:xVal>
          <c:yVal>
            <c:numRef>
              <c:f>'100ml'!$AD$3:$AD$470</c:f>
              <c:numCache>
                <c:formatCode>General</c:formatCode>
                <c:ptCount val="468"/>
                <c:pt idx="0">
                  <c:v>-0.2</c:v>
                </c:pt>
                <c:pt idx="1">
                  <c:v>-0.2</c:v>
                </c:pt>
                <c:pt idx="2">
                  <c:v>-0.4</c:v>
                </c:pt>
                <c:pt idx="3">
                  <c:v>-1.1000000000000001</c:v>
                </c:pt>
                <c:pt idx="4">
                  <c:v>-2.9</c:v>
                </c:pt>
                <c:pt idx="5">
                  <c:v>-4.9000000000000004</c:v>
                </c:pt>
                <c:pt idx="6">
                  <c:v>-6.8</c:v>
                </c:pt>
                <c:pt idx="7">
                  <c:v>-10.199999999999999</c:v>
                </c:pt>
                <c:pt idx="8">
                  <c:v>-18.3</c:v>
                </c:pt>
                <c:pt idx="9">
                  <c:v>-35.5</c:v>
                </c:pt>
                <c:pt idx="10">
                  <c:v>-59.4</c:v>
                </c:pt>
                <c:pt idx="11">
                  <c:v>-78.2</c:v>
                </c:pt>
                <c:pt idx="12">
                  <c:v>-102.7</c:v>
                </c:pt>
                <c:pt idx="13">
                  <c:v>-126.7</c:v>
                </c:pt>
                <c:pt idx="14">
                  <c:v>-138.1</c:v>
                </c:pt>
                <c:pt idx="15">
                  <c:v>-147.30000000000001</c:v>
                </c:pt>
                <c:pt idx="16">
                  <c:v>-156.4</c:v>
                </c:pt>
                <c:pt idx="17">
                  <c:v>-164.4</c:v>
                </c:pt>
                <c:pt idx="18">
                  <c:v>-170.4</c:v>
                </c:pt>
                <c:pt idx="19">
                  <c:v>-176.9</c:v>
                </c:pt>
                <c:pt idx="20">
                  <c:v>-184.6</c:v>
                </c:pt>
                <c:pt idx="21">
                  <c:v>-194.4</c:v>
                </c:pt>
                <c:pt idx="22">
                  <c:v>-206.7</c:v>
                </c:pt>
                <c:pt idx="23">
                  <c:v>-218.4</c:v>
                </c:pt>
                <c:pt idx="24">
                  <c:v>-230.5</c:v>
                </c:pt>
                <c:pt idx="25">
                  <c:v>-239.6</c:v>
                </c:pt>
                <c:pt idx="26">
                  <c:v>-243.3</c:v>
                </c:pt>
                <c:pt idx="27">
                  <c:v>-242</c:v>
                </c:pt>
                <c:pt idx="28">
                  <c:v>-239.5</c:v>
                </c:pt>
                <c:pt idx="29">
                  <c:v>-237</c:v>
                </c:pt>
                <c:pt idx="30">
                  <c:v>-233.4</c:v>
                </c:pt>
                <c:pt idx="31">
                  <c:v>-227.9</c:v>
                </c:pt>
                <c:pt idx="32">
                  <c:v>-222.7</c:v>
                </c:pt>
                <c:pt idx="33">
                  <c:v>-219.3</c:v>
                </c:pt>
                <c:pt idx="34">
                  <c:v>-217.3</c:v>
                </c:pt>
                <c:pt idx="35">
                  <c:v>-216.7</c:v>
                </c:pt>
                <c:pt idx="36">
                  <c:v>-217</c:v>
                </c:pt>
                <c:pt idx="37">
                  <c:v>-217</c:v>
                </c:pt>
                <c:pt idx="38">
                  <c:v>-216.4</c:v>
                </c:pt>
                <c:pt idx="39">
                  <c:v>-214.7</c:v>
                </c:pt>
                <c:pt idx="40">
                  <c:v>-212.4</c:v>
                </c:pt>
                <c:pt idx="41">
                  <c:v>-209.8</c:v>
                </c:pt>
                <c:pt idx="42">
                  <c:v>-206.8</c:v>
                </c:pt>
                <c:pt idx="43">
                  <c:v>-203</c:v>
                </c:pt>
                <c:pt idx="44">
                  <c:v>-199.4</c:v>
                </c:pt>
                <c:pt idx="45">
                  <c:v>-196.6</c:v>
                </c:pt>
                <c:pt idx="46">
                  <c:v>-195.3</c:v>
                </c:pt>
                <c:pt idx="47">
                  <c:v>-194.7</c:v>
                </c:pt>
                <c:pt idx="48">
                  <c:v>-193.6</c:v>
                </c:pt>
                <c:pt idx="49">
                  <c:v>-191.5</c:v>
                </c:pt>
                <c:pt idx="50">
                  <c:v>-189.2</c:v>
                </c:pt>
                <c:pt idx="51">
                  <c:v>-187.2</c:v>
                </c:pt>
                <c:pt idx="52">
                  <c:v>-185.8</c:v>
                </c:pt>
                <c:pt idx="53">
                  <c:v>-184.8</c:v>
                </c:pt>
                <c:pt idx="54">
                  <c:v>-183.9</c:v>
                </c:pt>
                <c:pt idx="55">
                  <c:v>-183.3</c:v>
                </c:pt>
                <c:pt idx="56">
                  <c:v>-182.6</c:v>
                </c:pt>
                <c:pt idx="57">
                  <c:v>-182</c:v>
                </c:pt>
                <c:pt idx="58">
                  <c:v>-181.3</c:v>
                </c:pt>
                <c:pt idx="59">
                  <c:v>-180.4</c:v>
                </c:pt>
                <c:pt idx="60">
                  <c:v>-179.3</c:v>
                </c:pt>
                <c:pt idx="61">
                  <c:v>-178</c:v>
                </c:pt>
                <c:pt idx="62">
                  <c:v>-176.7</c:v>
                </c:pt>
                <c:pt idx="63">
                  <c:v>-175.6</c:v>
                </c:pt>
                <c:pt idx="64">
                  <c:v>-174.8</c:v>
                </c:pt>
                <c:pt idx="65">
                  <c:v>-174.3</c:v>
                </c:pt>
                <c:pt idx="66">
                  <c:v>-174.1</c:v>
                </c:pt>
                <c:pt idx="67">
                  <c:v>-174</c:v>
                </c:pt>
                <c:pt idx="68">
                  <c:v>-174.1</c:v>
                </c:pt>
                <c:pt idx="69">
                  <c:v>-174.2</c:v>
                </c:pt>
                <c:pt idx="70">
                  <c:v>-174.2</c:v>
                </c:pt>
                <c:pt idx="71">
                  <c:v>-174.3</c:v>
                </c:pt>
                <c:pt idx="72">
                  <c:v>-174.2</c:v>
                </c:pt>
                <c:pt idx="73">
                  <c:v>-174.1</c:v>
                </c:pt>
                <c:pt idx="74">
                  <c:v>-174</c:v>
                </c:pt>
                <c:pt idx="75">
                  <c:v>-173.9</c:v>
                </c:pt>
                <c:pt idx="76">
                  <c:v>-173.9</c:v>
                </c:pt>
                <c:pt idx="77">
                  <c:v>-173.9</c:v>
                </c:pt>
                <c:pt idx="78">
                  <c:v>-173.8</c:v>
                </c:pt>
                <c:pt idx="79">
                  <c:v>-173.6</c:v>
                </c:pt>
                <c:pt idx="80">
                  <c:v>-173.1</c:v>
                </c:pt>
                <c:pt idx="81">
                  <c:v>-172.2</c:v>
                </c:pt>
                <c:pt idx="82">
                  <c:v>-171</c:v>
                </c:pt>
                <c:pt idx="83">
                  <c:v>-169.7</c:v>
                </c:pt>
                <c:pt idx="84">
                  <c:v>-168.5</c:v>
                </c:pt>
                <c:pt idx="85">
                  <c:v>-167.7</c:v>
                </c:pt>
                <c:pt idx="86">
                  <c:v>-167.5</c:v>
                </c:pt>
                <c:pt idx="87">
                  <c:v>-167.5</c:v>
                </c:pt>
                <c:pt idx="88">
                  <c:v>-167.4</c:v>
                </c:pt>
                <c:pt idx="89">
                  <c:v>-167.5</c:v>
                </c:pt>
                <c:pt idx="90">
                  <c:v>-167.3</c:v>
                </c:pt>
                <c:pt idx="91">
                  <c:v>-167.1</c:v>
                </c:pt>
                <c:pt idx="92">
                  <c:v>-166.8</c:v>
                </c:pt>
                <c:pt idx="93">
                  <c:v>-166.8</c:v>
                </c:pt>
                <c:pt idx="94">
                  <c:v>-166.7</c:v>
                </c:pt>
                <c:pt idx="95">
                  <c:v>-166.4</c:v>
                </c:pt>
                <c:pt idx="96">
                  <c:v>-165.8</c:v>
                </c:pt>
                <c:pt idx="97">
                  <c:v>-165</c:v>
                </c:pt>
                <c:pt idx="98">
                  <c:v>-164.1</c:v>
                </c:pt>
                <c:pt idx="99">
                  <c:v>-163.4</c:v>
                </c:pt>
                <c:pt idx="100">
                  <c:v>-162.9</c:v>
                </c:pt>
                <c:pt idx="101">
                  <c:v>-162.69999999999999</c:v>
                </c:pt>
                <c:pt idx="102">
                  <c:v>-162.5</c:v>
                </c:pt>
                <c:pt idx="103">
                  <c:v>-162.19999999999999</c:v>
                </c:pt>
                <c:pt idx="104">
                  <c:v>-161.6</c:v>
                </c:pt>
                <c:pt idx="105">
                  <c:v>-161.1</c:v>
                </c:pt>
                <c:pt idx="106">
                  <c:v>-160.6</c:v>
                </c:pt>
                <c:pt idx="107">
                  <c:v>-159.69999999999999</c:v>
                </c:pt>
                <c:pt idx="108">
                  <c:v>-158.6</c:v>
                </c:pt>
                <c:pt idx="109">
                  <c:v>-157.6</c:v>
                </c:pt>
                <c:pt idx="110">
                  <c:v>-156.6</c:v>
                </c:pt>
                <c:pt idx="111">
                  <c:v>-155.80000000000001</c:v>
                </c:pt>
                <c:pt idx="112">
                  <c:v>-154.9</c:v>
                </c:pt>
                <c:pt idx="113">
                  <c:v>-154.19999999999999</c:v>
                </c:pt>
                <c:pt idx="114">
                  <c:v>-153.69999999999999</c:v>
                </c:pt>
                <c:pt idx="115">
                  <c:v>-153.1</c:v>
                </c:pt>
                <c:pt idx="116">
                  <c:v>-152.19999999999999</c:v>
                </c:pt>
                <c:pt idx="117">
                  <c:v>-151.30000000000001</c:v>
                </c:pt>
                <c:pt idx="118">
                  <c:v>-150.5</c:v>
                </c:pt>
                <c:pt idx="119">
                  <c:v>-149.9</c:v>
                </c:pt>
                <c:pt idx="120">
                  <c:v>-149.5</c:v>
                </c:pt>
                <c:pt idx="121">
                  <c:v>-149.4</c:v>
                </c:pt>
                <c:pt idx="122">
                  <c:v>-149.19999999999999</c:v>
                </c:pt>
                <c:pt idx="123">
                  <c:v>-149.19999999999999</c:v>
                </c:pt>
                <c:pt idx="124">
                  <c:v>-149.1</c:v>
                </c:pt>
                <c:pt idx="125">
                  <c:v>-149</c:v>
                </c:pt>
                <c:pt idx="126">
                  <c:v>-148.9</c:v>
                </c:pt>
                <c:pt idx="127">
                  <c:v>-148.6</c:v>
                </c:pt>
                <c:pt idx="128">
                  <c:v>-148.1</c:v>
                </c:pt>
                <c:pt idx="129">
                  <c:v>-147.6</c:v>
                </c:pt>
                <c:pt idx="130">
                  <c:v>-147.1</c:v>
                </c:pt>
                <c:pt idx="131">
                  <c:v>-146.6</c:v>
                </c:pt>
                <c:pt idx="132">
                  <c:v>-145.9</c:v>
                </c:pt>
                <c:pt idx="133">
                  <c:v>-145</c:v>
                </c:pt>
                <c:pt idx="134">
                  <c:v>-144.30000000000001</c:v>
                </c:pt>
                <c:pt idx="135">
                  <c:v>-143.6</c:v>
                </c:pt>
                <c:pt idx="136">
                  <c:v>-143</c:v>
                </c:pt>
                <c:pt idx="137">
                  <c:v>-142.4</c:v>
                </c:pt>
                <c:pt idx="138">
                  <c:v>-141.6</c:v>
                </c:pt>
                <c:pt idx="139">
                  <c:v>-140.9</c:v>
                </c:pt>
                <c:pt idx="140">
                  <c:v>-140.30000000000001</c:v>
                </c:pt>
                <c:pt idx="141">
                  <c:v>-139.6</c:v>
                </c:pt>
                <c:pt idx="142">
                  <c:v>-138.80000000000001</c:v>
                </c:pt>
                <c:pt idx="143">
                  <c:v>-137.69999999999999</c:v>
                </c:pt>
                <c:pt idx="144">
                  <c:v>-136.6</c:v>
                </c:pt>
                <c:pt idx="145">
                  <c:v>-135.4</c:v>
                </c:pt>
                <c:pt idx="146">
                  <c:v>-134.30000000000001</c:v>
                </c:pt>
                <c:pt idx="147">
                  <c:v>-133.30000000000001</c:v>
                </c:pt>
                <c:pt idx="148">
                  <c:v>-132</c:v>
                </c:pt>
                <c:pt idx="149">
                  <c:v>-130.19999999999999</c:v>
                </c:pt>
                <c:pt idx="150">
                  <c:v>-128.30000000000001</c:v>
                </c:pt>
                <c:pt idx="151">
                  <c:v>-126.7</c:v>
                </c:pt>
                <c:pt idx="152">
                  <c:v>-125.3</c:v>
                </c:pt>
                <c:pt idx="153">
                  <c:v>-124.4</c:v>
                </c:pt>
                <c:pt idx="154">
                  <c:v>-123.7</c:v>
                </c:pt>
                <c:pt idx="155">
                  <c:v>-123</c:v>
                </c:pt>
                <c:pt idx="156">
                  <c:v>-122.4</c:v>
                </c:pt>
                <c:pt idx="157">
                  <c:v>-121.6</c:v>
                </c:pt>
                <c:pt idx="158">
                  <c:v>-121</c:v>
                </c:pt>
                <c:pt idx="159">
                  <c:v>-120.6</c:v>
                </c:pt>
                <c:pt idx="160">
                  <c:v>-120.2</c:v>
                </c:pt>
                <c:pt idx="161">
                  <c:v>-119.9</c:v>
                </c:pt>
                <c:pt idx="162">
                  <c:v>-119.6</c:v>
                </c:pt>
                <c:pt idx="163">
                  <c:v>-119.3</c:v>
                </c:pt>
                <c:pt idx="164">
                  <c:v>-119.1</c:v>
                </c:pt>
                <c:pt idx="165">
                  <c:v>-118.8</c:v>
                </c:pt>
                <c:pt idx="166">
                  <c:v>-118.5</c:v>
                </c:pt>
                <c:pt idx="167">
                  <c:v>-118.3</c:v>
                </c:pt>
                <c:pt idx="168">
                  <c:v>-118.1</c:v>
                </c:pt>
                <c:pt idx="169">
                  <c:v>-117.7</c:v>
                </c:pt>
                <c:pt idx="170">
                  <c:v>-117.2</c:v>
                </c:pt>
                <c:pt idx="171">
                  <c:v>-116.5</c:v>
                </c:pt>
                <c:pt idx="172">
                  <c:v>-115.7</c:v>
                </c:pt>
                <c:pt idx="173">
                  <c:v>-114.7</c:v>
                </c:pt>
                <c:pt idx="174">
                  <c:v>-113.9</c:v>
                </c:pt>
                <c:pt idx="175">
                  <c:v>-113.3</c:v>
                </c:pt>
                <c:pt idx="176">
                  <c:v>-112.8</c:v>
                </c:pt>
                <c:pt idx="177">
                  <c:v>-112.1</c:v>
                </c:pt>
                <c:pt idx="178">
                  <c:v>-111.3</c:v>
                </c:pt>
                <c:pt idx="179">
                  <c:v>-110.4</c:v>
                </c:pt>
                <c:pt idx="180">
                  <c:v>-109.3</c:v>
                </c:pt>
                <c:pt idx="181">
                  <c:v>-108</c:v>
                </c:pt>
                <c:pt idx="182">
                  <c:v>-106.6</c:v>
                </c:pt>
                <c:pt idx="183">
                  <c:v>-104.6</c:v>
                </c:pt>
                <c:pt idx="184">
                  <c:v>-101.8</c:v>
                </c:pt>
                <c:pt idx="185">
                  <c:v>-99</c:v>
                </c:pt>
                <c:pt idx="186">
                  <c:v>-96.6</c:v>
                </c:pt>
                <c:pt idx="187">
                  <c:v>-94.5</c:v>
                </c:pt>
                <c:pt idx="188">
                  <c:v>-92.6</c:v>
                </c:pt>
                <c:pt idx="189">
                  <c:v>-90.9</c:v>
                </c:pt>
                <c:pt idx="190">
                  <c:v>-89.3</c:v>
                </c:pt>
                <c:pt idx="191">
                  <c:v>-87.8</c:v>
                </c:pt>
                <c:pt idx="192">
                  <c:v>-86.5</c:v>
                </c:pt>
                <c:pt idx="193">
                  <c:v>-85.2</c:v>
                </c:pt>
                <c:pt idx="194">
                  <c:v>-84</c:v>
                </c:pt>
                <c:pt idx="195">
                  <c:v>-82.9</c:v>
                </c:pt>
                <c:pt idx="196">
                  <c:v>-81.8</c:v>
                </c:pt>
                <c:pt idx="197">
                  <c:v>-80.7</c:v>
                </c:pt>
                <c:pt idx="198">
                  <c:v>-79.3</c:v>
                </c:pt>
                <c:pt idx="199">
                  <c:v>-76.400000000000006</c:v>
                </c:pt>
                <c:pt idx="200">
                  <c:v>-69.3</c:v>
                </c:pt>
                <c:pt idx="201">
                  <c:v>-56.1</c:v>
                </c:pt>
                <c:pt idx="202">
                  <c:v>-36.4</c:v>
                </c:pt>
                <c:pt idx="203">
                  <c:v>-13.3</c:v>
                </c:pt>
                <c:pt idx="204">
                  <c:v>13</c:v>
                </c:pt>
                <c:pt idx="205">
                  <c:v>79.2</c:v>
                </c:pt>
                <c:pt idx="206">
                  <c:v>193</c:v>
                </c:pt>
                <c:pt idx="207">
                  <c:v>279.3</c:v>
                </c:pt>
                <c:pt idx="208">
                  <c:v>350.8</c:v>
                </c:pt>
                <c:pt idx="209">
                  <c:v>411.5</c:v>
                </c:pt>
                <c:pt idx="210">
                  <c:v>455.5</c:v>
                </c:pt>
                <c:pt idx="211">
                  <c:v>488.9</c:v>
                </c:pt>
                <c:pt idx="212">
                  <c:v>521</c:v>
                </c:pt>
                <c:pt idx="213">
                  <c:v>550.79999999999995</c:v>
                </c:pt>
                <c:pt idx="214">
                  <c:v>576.79999999999995</c:v>
                </c:pt>
                <c:pt idx="215">
                  <c:v>597.29999999999995</c:v>
                </c:pt>
                <c:pt idx="216">
                  <c:v>610.9</c:v>
                </c:pt>
                <c:pt idx="217">
                  <c:v>618</c:v>
                </c:pt>
                <c:pt idx="218">
                  <c:v>624.20000000000005</c:v>
                </c:pt>
                <c:pt idx="219">
                  <c:v>632.79999999999995</c:v>
                </c:pt>
                <c:pt idx="220">
                  <c:v>642.29999999999995</c:v>
                </c:pt>
                <c:pt idx="221">
                  <c:v>648.4</c:v>
                </c:pt>
                <c:pt idx="222">
                  <c:v>654</c:v>
                </c:pt>
                <c:pt idx="223">
                  <c:v>660.3</c:v>
                </c:pt>
                <c:pt idx="224">
                  <c:v>667.3</c:v>
                </c:pt>
                <c:pt idx="225">
                  <c:v>673.8</c:v>
                </c:pt>
                <c:pt idx="226">
                  <c:v>679</c:v>
                </c:pt>
                <c:pt idx="227">
                  <c:v>685.1</c:v>
                </c:pt>
                <c:pt idx="228">
                  <c:v>692.4</c:v>
                </c:pt>
                <c:pt idx="229">
                  <c:v>698.4</c:v>
                </c:pt>
                <c:pt idx="230">
                  <c:v>701.6</c:v>
                </c:pt>
                <c:pt idx="231">
                  <c:v>703.4</c:v>
                </c:pt>
                <c:pt idx="232">
                  <c:v>703.5</c:v>
                </c:pt>
                <c:pt idx="233">
                  <c:v>701.2</c:v>
                </c:pt>
                <c:pt idx="234">
                  <c:v>699.3</c:v>
                </c:pt>
                <c:pt idx="235">
                  <c:v>699.2</c:v>
                </c:pt>
                <c:pt idx="236">
                  <c:v>703.5</c:v>
                </c:pt>
                <c:pt idx="237">
                  <c:v>706.4</c:v>
                </c:pt>
                <c:pt idx="238">
                  <c:v>705</c:v>
                </c:pt>
                <c:pt idx="239">
                  <c:v>705.2</c:v>
                </c:pt>
                <c:pt idx="240">
                  <c:v>714</c:v>
                </c:pt>
                <c:pt idx="241">
                  <c:v>719.9</c:v>
                </c:pt>
                <c:pt idx="242">
                  <c:v>713</c:v>
                </c:pt>
                <c:pt idx="243">
                  <c:v>713.5</c:v>
                </c:pt>
                <c:pt idx="244">
                  <c:v>713.2</c:v>
                </c:pt>
                <c:pt idx="245">
                  <c:v>706.7</c:v>
                </c:pt>
                <c:pt idx="246">
                  <c:v>672.3</c:v>
                </c:pt>
                <c:pt idx="247">
                  <c:v>624.5</c:v>
                </c:pt>
                <c:pt idx="248">
                  <c:v>563.9</c:v>
                </c:pt>
                <c:pt idx="249">
                  <c:v>403.4</c:v>
                </c:pt>
                <c:pt idx="250">
                  <c:v>186.8</c:v>
                </c:pt>
                <c:pt idx="251">
                  <c:v>73.099999999999994</c:v>
                </c:pt>
                <c:pt idx="252">
                  <c:v>34.4</c:v>
                </c:pt>
                <c:pt idx="253">
                  <c:v>17.2</c:v>
                </c:pt>
                <c:pt idx="254">
                  <c:v>6.9</c:v>
                </c:pt>
                <c:pt idx="255">
                  <c:v>0</c:v>
                </c:pt>
                <c:pt idx="256">
                  <c:v>-5</c:v>
                </c:pt>
                <c:pt idx="257">
                  <c:v>-8.8000000000000007</c:v>
                </c:pt>
                <c:pt idx="258">
                  <c:v>-11.7</c:v>
                </c:pt>
                <c:pt idx="259">
                  <c:v>-14.1</c:v>
                </c:pt>
                <c:pt idx="260">
                  <c:v>-16</c:v>
                </c:pt>
                <c:pt idx="261">
                  <c:v>-17.5</c:v>
                </c:pt>
                <c:pt idx="262">
                  <c:v>-18.8</c:v>
                </c:pt>
                <c:pt idx="263">
                  <c:v>-19.899999999999999</c:v>
                </c:pt>
                <c:pt idx="264">
                  <c:v>-20.9</c:v>
                </c:pt>
                <c:pt idx="265">
                  <c:v>-21.6</c:v>
                </c:pt>
                <c:pt idx="266">
                  <c:v>-22.3</c:v>
                </c:pt>
                <c:pt idx="267">
                  <c:v>-22.9</c:v>
                </c:pt>
                <c:pt idx="268">
                  <c:v>-23.4</c:v>
                </c:pt>
                <c:pt idx="269">
                  <c:v>-23</c:v>
                </c:pt>
                <c:pt idx="270">
                  <c:v>-15.7</c:v>
                </c:pt>
                <c:pt idx="271">
                  <c:v>24.4</c:v>
                </c:pt>
                <c:pt idx="272">
                  <c:v>117.9</c:v>
                </c:pt>
                <c:pt idx="273">
                  <c:v>224.6</c:v>
                </c:pt>
                <c:pt idx="274">
                  <c:v>319.5</c:v>
                </c:pt>
                <c:pt idx="275">
                  <c:v>376.4</c:v>
                </c:pt>
                <c:pt idx="276">
                  <c:v>359.7</c:v>
                </c:pt>
                <c:pt idx="277">
                  <c:v>313.89999999999998</c:v>
                </c:pt>
                <c:pt idx="278">
                  <c:v>267.5</c:v>
                </c:pt>
                <c:pt idx="279">
                  <c:v>211.2</c:v>
                </c:pt>
                <c:pt idx="280">
                  <c:v>127.6</c:v>
                </c:pt>
                <c:pt idx="281">
                  <c:v>55.3</c:v>
                </c:pt>
                <c:pt idx="282">
                  <c:v>21.9</c:v>
                </c:pt>
                <c:pt idx="283">
                  <c:v>6.4</c:v>
                </c:pt>
                <c:pt idx="284">
                  <c:v>-2.6</c:v>
                </c:pt>
                <c:pt idx="285">
                  <c:v>-8.4</c:v>
                </c:pt>
                <c:pt idx="286">
                  <c:v>-12.3</c:v>
                </c:pt>
                <c:pt idx="287">
                  <c:v>-15.2</c:v>
                </c:pt>
                <c:pt idx="288">
                  <c:v>-17.399999999999999</c:v>
                </c:pt>
                <c:pt idx="289">
                  <c:v>-19</c:v>
                </c:pt>
                <c:pt idx="290">
                  <c:v>-20.100000000000001</c:v>
                </c:pt>
                <c:pt idx="291">
                  <c:v>-20.5</c:v>
                </c:pt>
                <c:pt idx="292">
                  <c:v>-20.6</c:v>
                </c:pt>
                <c:pt idx="293">
                  <c:v>-20.7</c:v>
                </c:pt>
                <c:pt idx="294">
                  <c:v>-20.8</c:v>
                </c:pt>
                <c:pt idx="295">
                  <c:v>-20.9</c:v>
                </c:pt>
                <c:pt idx="296">
                  <c:v>-21</c:v>
                </c:pt>
                <c:pt idx="297">
                  <c:v>-21</c:v>
                </c:pt>
                <c:pt idx="298">
                  <c:v>-21.1</c:v>
                </c:pt>
                <c:pt idx="299">
                  <c:v>-21.1</c:v>
                </c:pt>
                <c:pt idx="300">
                  <c:v>-21.1</c:v>
                </c:pt>
                <c:pt idx="301">
                  <c:v>-21.2</c:v>
                </c:pt>
                <c:pt idx="302">
                  <c:v>-21.2</c:v>
                </c:pt>
                <c:pt idx="303">
                  <c:v>-21.2</c:v>
                </c:pt>
                <c:pt idx="304">
                  <c:v>-21.2</c:v>
                </c:pt>
                <c:pt idx="305">
                  <c:v>-21.1</c:v>
                </c:pt>
                <c:pt idx="306">
                  <c:v>-21.1</c:v>
                </c:pt>
                <c:pt idx="307">
                  <c:v>-21.1</c:v>
                </c:pt>
                <c:pt idx="308">
                  <c:v>-21.1</c:v>
                </c:pt>
                <c:pt idx="309">
                  <c:v>-21</c:v>
                </c:pt>
                <c:pt idx="310">
                  <c:v>-21</c:v>
                </c:pt>
                <c:pt idx="311">
                  <c:v>-21</c:v>
                </c:pt>
                <c:pt idx="312">
                  <c:v>-20.9</c:v>
                </c:pt>
                <c:pt idx="313">
                  <c:v>-20.9</c:v>
                </c:pt>
                <c:pt idx="314">
                  <c:v>-20.8</c:v>
                </c:pt>
                <c:pt idx="315">
                  <c:v>-20.8</c:v>
                </c:pt>
                <c:pt idx="316">
                  <c:v>-20.7</c:v>
                </c:pt>
                <c:pt idx="317">
                  <c:v>-20.7</c:v>
                </c:pt>
                <c:pt idx="318">
                  <c:v>-20.6</c:v>
                </c:pt>
                <c:pt idx="319">
                  <c:v>-20.6</c:v>
                </c:pt>
                <c:pt idx="320">
                  <c:v>-20.5</c:v>
                </c:pt>
                <c:pt idx="321">
                  <c:v>-20.5</c:v>
                </c:pt>
                <c:pt idx="322">
                  <c:v>-20.399999999999999</c:v>
                </c:pt>
                <c:pt idx="323">
                  <c:v>-20.3</c:v>
                </c:pt>
                <c:pt idx="324">
                  <c:v>-20.3</c:v>
                </c:pt>
                <c:pt idx="325">
                  <c:v>-20.2</c:v>
                </c:pt>
                <c:pt idx="326">
                  <c:v>-20.100000000000001</c:v>
                </c:pt>
                <c:pt idx="327">
                  <c:v>-20.100000000000001</c:v>
                </c:pt>
                <c:pt idx="328">
                  <c:v>-20</c:v>
                </c:pt>
                <c:pt idx="329">
                  <c:v>-20</c:v>
                </c:pt>
                <c:pt idx="330">
                  <c:v>-19.899999999999999</c:v>
                </c:pt>
                <c:pt idx="331">
                  <c:v>-19.899999999999999</c:v>
                </c:pt>
                <c:pt idx="332">
                  <c:v>-19.8</c:v>
                </c:pt>
                <c:pt idx="333">
                  <c:v>-19.7</c:v>
                </c:pt>
                <c:pt idx="334">
                  <c:v>-19.7</c:v>
                </c:pt>
                <c:pt idx="335">
                  <c:v>-19.600000000000001</c:v>
                </c:pt>
                <c:pt idx="336">
                  <c:v>-19.5</c:v>
                </c:pt>
                <c:pt idx="337">
                  <c:v>-19.5</c:v>
                </c:pt>
                <c:pt idx="338">
                  <c:v>-19.399999999999999</c:v>
                </c:pt>
                <c:pt idx="339">
                  <c:v>-19.399999999999999</c:v>
                </c:pt>
                <c:pt idx="340">
                  <c:v>-19.100000000000001</c:v>
                </c:pt>
                <c:pt idx="341">
                  <c:v>-19</c:v>
                </c:pt>
                <c:pt idx="342">
                  <c:v>-19</c:v>
                </c:pt>
                <c:pt idx="343">
                  <c:v>-18.899999999999999</c:v>
                </c:pt>
                <c:pt idx="344">
                  <c:v>-18.8</c:v>
                </c:pt>
                <c:pt idx="345">
                  <c:v>-18.8</c:v>
                </c:pt>
                <c:pt idx="346">
                  <c:v>-18.8</c:v>
                </c:pt>
                <c:pt idx="347">
                  <c:v>-18.7</c:v>
                </c:pt>
                <c:pt idx="348">
                  <c:v>-18.600000000000001</c:v>
                </c:pt>
                <c:pt idx="349">
                  <c:v>-18.600000000000001</c:v>
                </c:pt>
                <c:pt idx="350">
                  <c:v>-18.5</c:v>
                </c:pt>
                <c:pt idx="351">
                  <c:v>-18.5</c:v>
                </c:pt>
                <c:pt idx="352">
                  <c:v>-18.399999999999999</c:v>
                </c:pt>
                <c:pt idx="353">
                  <c:v>-18.399999999999999</c:v>
                </c:pt>
                <c:pt idx="354">
                  <c:v>-18.3</c:v>
                </c:pt>
                <c:pt idx="355">
                  <c:v>-18.3</c:v>
                </c:pt>
                <c:pt idx="356">
                  <c:v>-18.3</c:v>
                </c:pt>
                <c:pt idx="357">
                  <c:v>-18.2</c:v>
                </c:pt>
                <c:pt idx="358">
                  <c:v>-18.100000000000001</c:v>
                </c:pt>
                <c:pt idx="359">
                  <c:v>-18.100000000000001</c:v>
                </c:pt>
                <c:pt idx="360">
                  <c:v>-18.100000000000001</c:v>
                </c:pt>
                <c:pt idx="361">
                  <c:v>-18</c:v>
                </c:pt>
                <c:pt idx="362">
                  <c:v>-18</c:v>
                </c:pt>
                <c:pt idx="363">
                  <c:v>-17.899999999999999</c:v>
                </c:pt>
                <c:pt idx="364">
                  <c:v>-17.899999999999999</c:v>
                </c:pt>
                <c:pt idx="365">
                  <c:v>-17.8</c:v>
                </c:pt>
                <c:pt idx="366">
                  <c:v>-17.8</c:v>
                </c:pt>
                <c:pt idx="367">
                  <c:v>-17.7</c:v>
                </c:pt>
                <c:pt idx="368">
                  <c:v>-17.7</c:v>
                </c:pt>
                <c:pt idx="369">
                  <c:v>-17.600000000000001</c:v>
                </c:pt>
                <c:pt idx="370">
                  <c:v>-17.600000000000001</c:v>
                </c:pt>
                <c:pt idx="371">
                  <c:v>-17.600000000000001</c:v>
                </c:pt>
                <c:pt idx="372">
                  <c:v>-17.5</c:v>
                </c:pt>
                <c:pt idx="373">
                  <c:v>-17.5</c:v>
                </c:pt>
                <c:pt idx="374">
                  <c:v>-17.5</c:v>
                </c:pt>
                <c:pt idx="375">
                  <c:v>-17.399999999999999</c:v>
                </c:pt>
                <c:pt idx="376">
                  <c:v>-17.399999999999999</c:v>
                </c:pt>
                <c:pt idx="377">
                  <c:v>-17.3</c:v>
                </c:pt>
                <c:pt idx="378">
                  <c:v>-17.3</c:v>
                </c:pt>
                <c:pt idx="379">
                  <c:v>-17.2</c:v>
                </c:pt>
                <c:pt idx="380">
                  <c:v>-17.2</c:v>
                </c:pt>
                <c:pt idx="381">
                  <c:v>-17.2</c:v>
                </c:pt>
                <c:pt idx="382">
                  <c:v>-17.100000000000001</c:v>
                </c:pt>
                <c:pt idx="383">
                  <c:v>-17.100000000000001</c:v>
                </c:pt>
                <c:pt idx="384">
                  <c:v>-17.100000000000001</c:v>
                </c:pt>
                <c:pt idx="385">
                  <c:v>-17.100000000000001</c:v>
                </c:pt>
                <c:pt idx="386">
                  <c:v>-17</c:v>
                </c:pt>
                <c:pt idx="387">
                  <c:v>-17</c:v>
                </c:pt>
                <c:pt idx="388">
                  <c:v>-16.899999999999999</c:v>
                </c:pt>
                <c:pt idx="389">
                  <c:v>-16.899999999999999</c:v>
                </c:pt>
                <c:pt idx="390">
                  <c:v>-16.899999999999999</c:v>
                </c:pt>
                <c:pt idx="391">
                  <c:v>-16.8</c:v>
                </c:pt>
                <c:pt idx="392">
                  <c:v>-16.8</c:v>
                </c:pt>
                <c:pt idx="393">
                  <c:v>-16.8</c:v>
                </c:pt>
                <c:pt idx="394">
                  <c:v>-16.7</c:v>
                </c:pt>
                <c:pt idx="395">
                  <c:v>-16.7</c:v>
                </c:pt>
                <c:pt idx="396">
                  <c:v>-16.7</c:v>
                </c:pt>
                <c:pt idx="397">
                  <c:v>-16.600000000000001</c:v>
                </c:pt>
                <c:pt idx="398">
                  <c:v>-16.600000000000001</c:v>
                </c:pt>
                <c:pt idx="399">
                  <c:v>-16.600000000000001</c:v>
                </c:pt>
                <c:pt idx="400">
                  <c:v>-16.600000000000001</c:v>
                </c:pt>
                <c:pt idx="401">
                  <c:v>-16.5</c:v>
                </c:pt>
                <c:pt idx="402">
                  <c:v>-16.5</c:v>
                </c:pt>
                <c:pt idx="403">
                  <c:v>-16.399999999999999</c:v>
                </c:pt>
                <c:pt idx="404">
                  <c:v>-16.399999999999999</c:v>
                </c:pt>
                <c:pt idx="405">
                  <c:v>-16.399999999999999</c:v>
                </c:pt>
                <c:pt idx="406">
                  <c:v>-16.399999999999999</c:v>
                </c:pt>
                <c:pt idx="407">
                  <c:v>-16.3</c:v>
                </c:pt>
                <c:pt idx="408">
                  <c:v>-16.3</c:v>
                </c:pt>
                <c:pt idx="409">
                  <c:v>-16.3</c:v>
                </c:pt>
                <c:pt idx="410">
                  <c:v>-16.3</c:v>
                </c:pt>
                <c:pt idx="411">
                  <c:v>-16.2</c:v>
                </c:pt>
                <c:pt idx="412">
                  <c:v>-16.2</c:v>
                </c:pt>
                <c:pt idx="413">
                  <c:v>-16.2</c:v>
                </c:pt>
                <c:pt idx="414">
                  <c:v>-16.100000000000001</c:v>
                </c:pt>
                <c:pt idx="415">
                  <c:v>-16.100000000000001</c:v>
                </c:pt>
                <c:pt idx="416">
                  <c:v>-16.100000000000001</c:v>
                </c:pt>
                <c:pt idx="417">
                  <c:v>-16.100000000000001</c:v>
                </c:pt>
                <c:pt idx="418">
                  <c:v>-16</c:v>
                </c:pt>
                <c:pt idx="419">
                  <c:v>-16</c:v>
                </c:pt>
                <c:pt idx="420">
                  <c:v>-16</c:v>
                </c:pt>
                <c:pt idx="421">
                  <c:v>-16</c:v>
                </c:pt>
                <c:pt idx="422">
                  <c:v>-15.9</c:v>
                </c:pt>
                <c:pt idx="423">
                  <c:v>-15.9</c:v>
                </c:pt>
                <c:pt idx="424">
                  <c:v>-15.9</c:v>
                </c:pt>
                <c:pt idx="425">
                  <c:v>-15.9</c:v>
                </c:pt>
                <c:pt idx="426">
                  <c:v>-15.9</c:v>
                </c:pt>
                <c:pt idx="427">
                  <c:v>-15.8</c:v>
                </c:pt>
                <c:pt idx="428">
                  <c:v>-15.8</c:v>
                </c:pt>
                <c:pt idx="429">
                  <c:v>-15.8</c:v>
                </c:pt>
                <c:pt idx="430">
                  <c:v>-15.8</c:v>
                </c:pt>
                <c:pt idx="431">
                  <c:v>-15.7</c:v>
                </c:pt>
                <c:pt idx="432">
                  <c:v>-15.7</c:v>
                </c:pt>
                <c:pt idx="433">
                  <c:v>-15.7</c:v>
                </c:pt>
                <c:pt idx="434">
                  <c:v>-15.7</c:v>
                </c:pt>
                <c:pt idx="435">
                  <c:v>-15.7</c:v>
                </c:pt>
                <c:pt idx="436">
                  <c:v>-15.6</c:v>
                </c:pt>
                <c:pt idx="437">
                  <c:v>-15.6</c:v>
                </c:pt>
                <c:pt idx="438">
                  <c:v>-15.6</c:v>
                </c:pt>
                <c:pt idx="439">
                  <c:v>-15.6</c:v>
                </c:pt>
                <c:pt idx="440">
                  <c:v>-15.6</c:v>
                </c:pt>
                <c:pt idx="441">
                  <c:v>-15.5</c:v>
                </c:pt>
                <c:pt idx="442">
                  <c:v>-15.5</c:v>
                </c:pt>
                <c:pt idx="443">
                  <c:v>-15.5</c:v>
                </c:pt>
                <c:pt idx="444">
                  <c:v>-15.5</c:v>
                </c:pt>
                <c:pt idx="445">
                  <c:v>-15.4</c:v>
                </c:pt>
                <c:pt idx="446">
                  <c:v>-15.4</c:v>
                </c:pt>
                <c:pt idx="447">
                  <c:v>-15.4</c:v>
                </c:pt>
                <c:pt idx="448">
                  <c:v>-15.4</c:v>
                </c:pt>
                <c:pt idx="449">
                  <c:v>-15.4</c:v>
                </c:pt>
                <c:pt idx="450">
                  <c:v>-15.3</c:v>
                </c:pt>
                <c:pt idx="451">
                  <c:v>-15.3</c:v>
                </c:pt>
                <c:pt idx="452">
                  <c:v>-15.3</c:v>
                </c:pt>
                <c:pt idx="453">
                  <c:v>-15.3</c:v>
                </c:pt>
                <c:pt idx="454">
                  <c:v>-15.3</c:v>
                </c:pt>
                <c:pt idx="455">
                  <c:v>-15.3</c:v>
                </c:pt>
                <c:pt idx="456">
                  <c:v>-15.2</c:v>
                </c:pt>
                <c:pt idx="457">
                  <c:v>-15.2</c:v>
                </c:pt>
                <c:pt idx="458">
                  <c:v>-15.2</c:v>
                </c:pt>
                <c:pt idx="459">
                  <c:v>-15.2</c:v>
                </c:pt>
                <c:pt idx="460">
                  <c:v>-15.2</c:v>
                </c:pt>
                <c:pt idx="461">
                  <c:v>-15.2</c:v>
                </c:pt>
                <c:pt idx="462">
                  <c:v>-15.1</c:v>
                </c:pt>
                <c:pt idx="463">
                  <c:v>-15.1</c:v>
                </c:pt>
                <c:pt idx="464">
                  <c:v>-15.1</c:v>
                </c:pt>
                <c:pt idx="465">
                  <c:v>-15.1</c:v>
                </c:pt>
                <c:pt idx="466">
                  <c:v>-15.1</c:v>
                </c:pt>
                <c:pt idx="467">
                  <c:v>-15.1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8C-49FB-B409-9B84A4A1CDEA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'100ml'!$AB$3:$AB$470</c:f>
              <c:numCache>
                <c:formatCode>General</c:formatCode>
                <c:ptCount val="4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</c:numCache>
            </c:numRef>
          </c:xVal>
          <c:yVal>
            <c:numRef>
              <c:f>'100ml'!$AE$3:$AE$470</c:f>
              <c:numCache>
                <c:formatCode>General</c:formatCode>
                <c:ptCount val="468"/>
                <c:pt idx="0">
                  <c:v>-6</c:v>
                </c:pt>
                <c:pt idx="1">
                  <c:v>-8.3000000000000007</c:v>
                </c:pt>
                <c:pt idx="2">
                  <c:v>-11</c:v>
                </c:pt>
                <c:pt idx="3">
                  <c:v>-14.6</c:v>
                </c:pt>
                <c:pt idx="4">
                  <c:v>-19.3</c:v>
                </c:pt>
                <c:pt idx="5">
                  <c:v>-25.9</c:v>
                </c:pt>
                <c:pt idx="6">
                  <c:v>-36.700000000000003</c:v>
                </c:pt>
                <c:pt idx="7">
                  <c:v>-50.3</c:v>
                </c:pt>
                <c:pt idx="8">
                  <c:v>-63.5</c:v>
                </c:pt>
                <c:pt idx="9">
                  <c:v>-75.599999999999994</c:v>
                </c:pt>
                <c:pt idx="10">
                  <c:v>-84.9</c:v>
                </c:pt>
                <c:pt idx="11">
                  <c:v>-90.8</c:v>
                </c:pt>
                <c:pt idx="12">
                  <c:v>-94.1</c:v>
                </c:pt>
                <c:pt idx="13">
                  <c:v>-95.9</c:v>
                </c:pt>
                <c:pt idx="14">
                  <c:v>-98.4</c:v>
                </c:pt>
                <c:pt idx="15">
                  <c:v>-109</c:v>
                </c:pt>
                <c:pt idx="16">
                  <c:v>-122.5</c:v>
                </c:pt>
                <c:pt idx="17">
                  <c:v>-126.7</c:v>
                </c:pt>
                <c:pt idx="18">
                  <c:v>-129</c:v>
                </c:pt>
                <c:pt idx="19">
                  <c:v>-130.30000000000001</c:v>
                </c:pt>
                <c:pt idx="20">
                  <c:v>-131.19999999999999</c:v>
                </c:pt>
                <c:pt idx="21">
                  <c:v>-132.30000000000001</c:v>
                </c:pt>
                <c:pt idx="22">
                  <c:v>-134.5</c:v>
                </c:pt>
                <c:pt idx="23">
                  <c:v>-136.9</c:v>
                </c:pt>
                <c:pt idx="24">
                  <c:v>-138.30000000000001</c:v>
                </c:pt>
                <c:pt idx="25">
                  <c:v>-138.9</c:v>
                </c:pt>
                <c:pt idx="26">
                  <c:v>-139.1</c:v>
                </c:pt>
                <c:pt idx="27">
                  <c:v>-139.80000000000001</c:v>
                </c:pt>
                <c:pt idx="28">
                  <c:v>-141.30000000000001</c:v>
                </c:pt>
                <c:pt idx="29">
                  <c:v>-142.6</c:v>
                </c:pt>
                <c:pt idx="30">
                  <c:v>-143.30000000000001</c:v>
                </c:pt>
                <c:pt idx="31">
                  <c:v>-143.5</c:v>
                </c:pt>
                <c:pt idx="32">
                  <c:v>-143.80000000000001</c:v>
                </c:pt>
                <c:pt idx="33">
                  <c:v>-144.6</c:v>
                </c:pt>
                <c:pt idx="34">
                  <c:v>-146.69999999999999</c:v>
                </c:pt>
                <c:pt idx="35">
                  <c:v>-148.6</c:v>
                </c:pt>
                <c:pt idx="36">
                  <c:v>-149.30000000000001</c:v>
                </c:pt>
                <c:pt idx="37">
                  <c:v>-149.19999999999999</c:v>
                </c:pt>
                <c:pt idx="38">
                  <c:v>-148.9</c:v>
                </c:pt>
                <c:pt idx="39">
                  <c:v>-148.4</c:v>
                </c:pt>
                <c:pt idx="40">
                  <c:v>-147.69999999999999</c:v>
                </c:pt>
                <c:pt idx="41">
                  <c:v>-146.80000000000001</c:v>
                </c:pt>
                <c:pt idx="42">
                  <c:v>-145.80000000000001</c:v>
                </c:pt>
                <c:pt idx="43">
                  <c:v>-144.9</c:v>
                </c:pt>
                <c:pt idx="44">
                  <c:v>-144.30000000000001</c:v>
                </c:pt>
                <c:pt idx="45">
                  <c:v>-143.80000000000001</c:v>
                </c:pt>
                <c:pt idx="46">
                  <c:v>-143.4</c:v>
                </c:pt>
                <c:pt idx="47">
                  <c:v>-143.30000000000001</c:v>
                </c:pt>
                <c:pt idx="48">
                  <c:v>-143.6</c:v>
                </c:pt>
                <c:pt idx="49">
                  <c:v>-144</c:v>
                </c:pt>
                <c:pt idx="50">
                  <c:v>-144.5</c:v>
                </c:pt>
                <c:pt idx="51">
                  <c:v>-144.30000000000001</c:v>
                </c:pt>
                <c:pt idx="52">
                  <c:v>-143.1</c:v>
                </c:pt>
                <c:pt idx="53">
                  <c:v>-142.19999999999999</c:v>
                </c:pt>
                <c:pt idx="54">
                  <c:v>-142.4</c:v>
                </c:pt>
                <c:pt idx="55">
                  <c:v>-143.6</c:v>
                </c:pt>
                <c:pt idx="56">
                  <c:v>-145.5</c:v>
                </c:pt>
                <c:pt idx="57">
                  <c:v>-147.69999999999999</c:v>
                </c:pt>
                <c:pt idx="58">
                  <c:v>-149.9</c:v>
                </c:pt>
                <c:pt idx="59">
                  <c:v>-151.9</c:v>
                </c:pt>
                <c:pt idx="60">
                  <c:v>-152.9</c:v>
                </c:pt>
                <c:pt idx="61">
                  <c:v>-152.9</c:v>
                </c:pt>
                <c:pt idx="62">
                  <c:v>-152.5</c:v>
                </c:pt>
                <c:pt idx="63">
                  <c:v>-151.69999999999999</c:v>
                </c:pt>
                <c:pt idx="64">
                  <c:v>-150.9</c:v>
                </c:pt>
                <c:pt idx="65">
                  <c:v>-150.4</c:v>
                </c:pt>
                <c:pt idx="66">
                  <c:v>-150.30000000000001</c:v>
                </c:pt>
                <c:pt idx="67">
                  <c:v>-150.9</c:v>
                </c:pt>
                <c:pt idx="68">
                  <c:v>-151.4</c:v>
                </c:pt>
                <c:pt idx="69">
                  <c:v>-151.80000000000001</c:v>
                </c:pt>
                <c:pt idx="70">
                  <c:v>-152.1</c:v>
                </c:pt>
                <c:pt idx="71">
                  <c:v>-151.80000000000001</c:v>
                </c:pt>
                <c:pt idx="72">
                  <c:v>-151</c:v>
                </c:pt>
                <c:pt idx="73">
                  <c:v>-150</c:v>
                </c:pt>
                <c:pt idx="74">
                  <c:v>-148.9</c:v>
                </c:pt>
                <c:pt idx="75">
                  <c:v>-148</c:v>
                </c:pt>
                <c:pt idx="76">
                  <c:v>-147.4</c:v>
                </c:pt>
                <c:pt idx="77">
                  <c:v>-147.19999999999999</c:v>
                </c:pt>
                <c:pt idx="78">
                  <c:v>-146.69999999999999</c:v>
                </c:pt>
                <c:pt idx="79">
                  <c:v>-145.80000000000001</c:v>
                </c:pt>
                <c:pt idx="80">
                  <c:v>-145</c:v>
                </c:pt>
                <c:pt idx="81">
                  <c:v>-144.4</c:v>
                </c:pt>
                <c:pt idx="82">
                  <c:v>-143.69999999999999</c:v>
                </c:pt>
                <c:pt idx="83">
                  <c:v>-143</c:v>
                </c:pt>
                <c:pt idx="84">
                  <c:v>-142.4</c:v>
                </c:pt>
                <c:pt idx="85">
                  <c:v>-142</c:v>
                </c:pt>
                <c:pt idx="86">
                  <c:v>-141.4</c:v>
                </c:pt>
                <c:pt idx="87">
                  <c:v>-140.80000000000001</c:v>
                </c:pt>
                <c:pt idx="88">
                  <c:v>-140.1</c:v>
                </c:pt>
                <c:pt idx="89">
                  <c:v>-139.30000000000001</c:v>
                </c:pt>
                <c:pt idx="90">
                  <c:v>-138.6</c:v>
                </c:pt>
                <c:pt idx="91">
                  <c:v>-137.80000000000001</c:v>
                </c:pt>
                <c:pt idx="92">
                  <c:v>-137.1</c:v>
                </c:pt>
                <c:pt idx="93">
                  <c:v>-136.30000000000001</c:v>
                </c:pt>
                <c:pt idx="94">
                  <c:v>-135.5</c:v>
                </c:pt>
                <c:pt idx="95">
                  <c:v>-135.1</c:v>
                </c:pt>
                <c:pt idx="96">
                  <c:v>-135</c:v>
                </c:pt>
                <c:pt idx="97">
                  <c:v>-135.19999999999999</c:v>
                </c:pt>
                <c:pt idx="98">
                  <c:v>-135.4</c:v>
                </c:pt>
                <c:pt idx="99">
                  <c:v>-135.19999999999999</c:v>
                </c:pt>
                <c:pt idx="100">
                  <c:v>-134.69999999999999</c:v>
                </c:pt>
                <c:pt idx="101">
                  <c:v>-134</c:v>
                </c:pt>
                <c:pt idx="102">
                  <c:v>-133.30000000000001</c:v>
                </c:pt>
                <c:pt idx="103">
                  <c:v>-132.6</c:v>
                </c:pt>
                <c:pt idx="104">
                  <c:v>-131.80000000000001</c:v>
                </c:pt>
                <c:pt idx="105">
                  <c:v>-130.9</c:v>
                </c:pt>
                <c:pt idx="106">
                  <c:v>-130.1</c:v>
                </c:pt>
                <c:pt idx="107">
                  <c:v>-129.4</c:v>
                </c:pt>
                <c:pt idx="108">
                  <c:v>-128.9</c:v>
                </c:pt>
                <c:pt idx="109">
                  <c:v>-128.5</c:v>
                </c:pt>
                <c:pt idx="110">
                  <c:v>-128.19999999999999</c:v>
                </c:pt>
                <c:pt idx="111">
                  <c:v>-127.7</c:v>
                </c:pt>
                <c:pt idx="112">
                  <c:v>-126.9</c:v>
                </c:pt>
                <c:pt idx="113">
                  <c:v>-126.2</c:v>
                </c:pt>
                <c:pt idx="114">
                  <c:v>-125.9</c:v>
                </c:pt>
                <c:pt idx="115">
                  <c:v>-125.8</c:v>
                </c:pt>
                <c:pt idx="116">
                  <c:v>-125.7</c:v>
                </c:pt>
                <c:pt idx="117">
                  <c:v>-125.3</c:v>
                </c:pt>
                <c:pt idx="118">
                  <c:v>-124.8</c:v>
                </c:pt>
                <c:pt idx="119">
                  <c:v>-124.3</c:v>
                </c:pt>
                <c:pt idx="120">
                  <c:v>-123.7</c:v>
                </c:pt>
                <c:pt idx="121">
                  <c:v>-123.4</c:v>
                </c:pt>
                <c:pt idx="122">
                  <c:v>-123.3</c:v>
                </c:pt>
                <c:pt idx="123">
                  <c:v>-123.2</c:v>
                </c:pt>
                <c:pt idx="124">
                  <c:v>-123.4</c:v>
                </c:pt>
                <c:pt idx="125">
                  <c:v>-123.8</c:v>
                </c:pt>
                <c:pt idx="126">
                  <c:v>-124.1</c:v>
                </c:pt>
                <c:pt idx="127">
                  <c:v>-124.3</c:v>
                </c:pt>
                <c:pt idx="128">
                  <c:v>-124.6</c:v>
                </c:pt>
                <c:pt idx="129">
                  <c:v>-124.8</c:v>
                </c:pt>
                <c:pt idx="130">
                  <c:v>-125.2</c:v>
                </c:pt>
                <c:pt idx="131">
                  <c:v>-125.8</c:v>
                </c:pt>
                <c:pt idx="132">
                  <c:v>-126.4</c:v>
                </c:pt>
                <c:pt idx="133">
                  <c:v>-126.8</c:v>
                </c:pt>
                <c:pt idx="134">
                  <c:v>-127.2</c:v>
                </c:pt>
                <c:pt idx="135">
                  <c:v>-127.6</c:v>
                </c:pt>
                <c:pt idx="136">
                  <c:v>-128.30000000000001</c:v>
                </c:pt>
                <c:pt idx="137">
                  <c:v>-129</c:v>
                </c:pt>
                <c:pt idx="138">
                  <c:v>-129.69999999999999</c:v>
                </c:pt>
                <c:pt idx="139">
                  <c:v>-130.1</c:v>
                </c:pt>
                <c:pt idx="140">
                  <c:v>-130.30000000000001</c:v>
                </c:pt>
                <c:pt idx="141">
                  <c:v>-130.4</c:v>
                </c:pt>
                <c:pt idx="142">
                  <c:v>-130.5</c:v>
                </c:pt>
                <c:pt idx="143">
                  <c:v>-130.6</c:v>
                </c:pt>
                <c:pt idx="144">
                  <c:v>-130.80000000000001</c:v>
                </c:pt>
                <c:pt idx="145">
                  <c:v>-130.9</c:v>
                </c:pt>
                <c:pt idx="146">
                  <c:v>-131</c:v>
                </c:pt>
                <c:pt idx="147">
                  <c:v>-131.19999999999999</c:v>
                </c:pt>
                <c:pt idx="148">
                  <c:v>-131.5</c:v>
                </c:pt>
                <c:pt idx="149">
                  <c:v>-131.80000000000001</c:v>
                </c:pt>
                <c:pt idx="150">
                  <c:v>-132</c:v>
                </c:pt>
                <c:pt idx="151">
                  <c:v>-132.30000000000001</c:v>
                </c:pt>
                <c:pt idx="152">
                  <c:v>-132.6</c:v>
                </c:pt>
                <c:pt idx="153">
                  <c:v>-132.80000000000001</c:v>
                </c:pt>
                <c:pt idx="154">
                  <c:v>-132.9</c:v>
                </c:pt>
                <c:pt idx="155">
                  <c:v>-132.4</c:v>
                </c:pt>
                <c:pt idx="156">
                  <c:v>-131.6</c:v>
                </c:pt>
                <c:pt idx="157">
                  <c:v>-131</c:v>
                </c:pt>
                <c:pt idx="158">
                  <c:v>-130.9</c:v>
                </c:pt>
                <c:pt idx="159">
                  <c:v>-131.1</c:v>
                </c:pt>
                <c:pt idx="160">
                  <c:v>-131.30000000000001</c:v>
                </c:pt>
                <c:pt idx="161">
                  <c:v>-131.4</c:v>
                </c:pt>
                <c:pt idx="162">
                  <c:v>-131.5</c:v>
                </c:pt>
                <c:pt idx="163">
                  <c:v>-131.6</c:v>
                </c:pt>
                <c:pt idx="164">
                  <c:v>-131.9</c:v>
                </c:pt>
                <c:pt idx="165">
                  <c:v>-132.30000000000001</c:v>
                </c:pt>
                <c:pt idx="166">
                  <c:v>-132.80000000000001</c:v>
                </c:pt>
                <c:pt idx="167">
                  <c:v>-134.1</c:v>
                </c:pt>
                <c:pt idx="168">
                  <c:v>-134.4</c:v>
                </c:pt>
                <c:pt idx="169">
                  <c:v>-134.1</c:v>
                </c:pt>
                <c:pt idx="170">
                  <c:v>-133.80000000000001</c:v>
                </c:pt>
                <c:pt idx="171">
                  <c:v>-133.30000000000001</c:v>
                </c:pt>
                <c:pt idx="172">
                  <c:v>-132.5</c:v>
                </c:pt>
                <c:pt idx="173">
                  <c:v>-131.9</c:v>
                </c:pt>
                <c:pt idx="174">
                  <c:v>-131.80000000000001</c:v>
                </c:pt>
                <c:pt idx="175">
                  <c:v>-131.80000000000001</c:v>
                </c:pt>
                <c:pt idx="176">
                  <c:v>-131.69999999999999</c:v>
                </c:pt>
                <c:pt idx="177">
                  <c:v>-131</c:v>
                </c:pt>
                <c:pt idx="178">
                  <c:v>-129.80000000000001</c:v>
                </c:pt>
                <c:pt idx="179">
                  <c:v>-128.6</c:v>
                </c:pt>
                <c:pt idx="180">
                  <c:v>-127.8</c:v>
                </c:pt>
                <c:pt idx="181">
                  <c:v>-126.8</c:v>
                </c:pt>
                <c:pt idx="182">
                  <c:v>-125.8</c:v>
                </c:pt>
                <c:pt idx="183">
                  <c:v>-124.8</c:v>
                </c:pt>
                <c:pt idx="184">
                  <c:v>-123</c:v>
                </c:pt>
                <c:pt idx="185">
                  <c:v>-120.1</c:v>
                </c:pt>
                <c:pt idx="186">
                  <c:v>-116.6</c:v>
                </c:pt>
                <c:pt idx="187">
                  <c:v>-112.7</c:v>
                </c:pt>
                <c:pt idx="188">
                  <c:v>-108.8</c:v>
                </c:pt>
                <c:pt idx="189">
                  <c:v>-104.9</c:v>
                </c:pt>
                <c:pt idx="190">
                  <c:v>-100.8</c:v>
                </c:pt>
                <c:pt idx="191">
                  <c:v>-96.4</c:v>
                </c:pt>
                <c:pt idx="192">
                  <c:v>-92.3</c:v>
                </c:pt>
                <c:pt idx="193">
                  <c:v>-88.6</c:v>
                </c:pt>
                <c:pt idx="194">
                  <c:v>-85.6</c:v>
                </c:pt>
                <c:pt idx="195">
                  <c:v>-83.2</c:v>
                </c:pt>
                <c:pt idx="196">
                  <c:v>-81.3</c:v>
                </c:pt>
                <c:pt idx="197">
                  <c:v>-79.7</c:v>
                </c:pt>
                <c:pt idx="198">
                  <c:v>-78.2</c:v>
                </c:pt>
                <c:pt idx="199">
                  <c:v>-76.900000000000006</c:v>
                </c:pt>
                <c:pt idx="200">
                  <c:v>-75.599999999999994</c:v>
                </c:pt>
                <c:pt idx="201">
                  <c:v>-74.400000000000006</c:v>
                </c:pt>
                <c:pt idx="202">
                  <c:v>-73.099999999999994</c:v>
                </c:pt>
                <c:pt idx="203">
                  <c:v>-71.900000000000006</c:v>
                </c:pt>
                <c:pt idx="204">
                  <c:v>-70.7</c:v>
                </c:pt>
                <c:pt idx="205">
                  <c:v>-69.400000000000006</c:v>
                </c:pt>
                <c:pt idx="206">
                  <c:v>-68.099999999999994</c:v>
                </c:pt>
                <c:pt idx="207">
                  <c:v>-67.099999999999994</c:v>
                </c:pt>
                <c:pt idx="208">
                  <c:v>-66.3</c:v>
                </c:pt>
                <c:pt idx="209">
                  <c:v>-65.599999999999994</c:v>
                </c:pt>
                <c:pt idx="210">
                  <c:v>-64.900000000000006</c:v>
                </c:pt>
                <c:pt idx="211">
                  <c:v>-64.099999999999994</c:v>
                </c:pt>
                <c:pt idx="212">
                  <c:v>-63.4</c:v>
                </c:pt>
                <c:pt idx="213">
                  <c:v>-62.8</c:v>
                </c:pt>
                <c:pt idx="214">
                  <c:v>-62.2</c:v>
                </c:pt>
                <c:pt idx="215">
                  <c:v>-61.7</c:v>
                </c:pt>
                <c:pt idx="216">
                  <c:v>-61.4</c:v>
                </c:pt>
                <c:pt idx="217">
                  <c:v>-61.3</c:v>
                </c:pt>
                <c:pt idx="218">
                  <c:v>-61.3</c:v>
                </c:pt>
                <c:pt idx="219">
                  <c:v>-61.3</c:v>
                </c:pt>
                <c:pt idx="220">
                  <c:v>-61.3</c:v>
                </c:pt>
                <c:pt idx="221">
                  <c:v>-61.3</c:v>
                </c:pt>
                <c:pt idx="222">
                  <c:v>-61.4</c:v>
                </c:pt>
                <c:pt idx="223">
                  <c:v>-61.3</c:v>
                </c:pt>
                <c:pt idx="224">
                  <c:v>-60.8</c:v>
                </c:pt>
                <c:pt idx="225">
                  <c:v>-59.9</c:v>
                </c:pt>
                <c:pt idx="226">
                  <c:v>-58.7</c:v>
                </c:pt>
                <c:pt idx="227">
                  <c:v>-56.8</c:v>
                </c:pt>
                <c:pt idx="228">
                  <c:v>-53.8</c:v>
                </c:pt>
                <c:pt idx="229">
                  <c:v>-48.8</c:v>
                </c:pt>
                <c:pt idx="230">
                  <c:v>-40.6</c:v>
                </c:pt>
                <c:pt idx="231">
                  <c:v>-29.2</c:v>
                </c:pt>
                <c:pt idx="232">
                  <c:v>-17</c:v>
                </c:pt>
                <c:pt idx="233">
                  <c:v>-3.8</c:v>
                </c:pt>
                <c:pt idx="234">
                  <c:v>11.6</c:v>
                </c:pt>
                <c:pt idx="235">
                  <c:v>32</c:v>
                </c:pt>
                <c:pt idx="236">
                  <c:v>77.2</c:v>
                </c:pt>
                <c:pt idx="237">
                  <c:v>164.9</c:v>
                </c:pt>
                <c:pt idx="238">
                  <c:v>252.6</c:v>
                </c:pt>
                <c:pt idx="239">
                  <c:v>315.60000000000002</c:v>
                </c:pt>
                <c:pt idx="240">
                  <c:v>360.7</c:v>
                </c:pt>
                <c:pt idx="241">
                  <c:v>397.5</c:v>
                </c:pt>
                <c:pt idx="242">
                  <c:v>425</c:v>
                </c:pt>
                <c:pt idx="243">
                  <c:v>446.7</c:v>
                </c:pt>
                <c:pt idx="244">
                  <c:v>467.4</c:v>
                </c:pt>
                <c:pt idx="245">
                  <c:v>484.7</c:v>
                </c:pt>
                <c:pt idx="246">
                  <c:v>496.7</c:v>
                </c:pt>
                <c:pt idx="247">
                  <c:v>505.5</c:v>
                </c:pt>
                <c:pt idx="248">
                  <c:v>515</c:v>
                </c:pt>
                <c:pt idx="249">
                  <c:v>527.6</c:v>
                </c:pt>
                <c:pt idx="250">
                  <c:v>540</c:v>
                </c:pt>
                <c:pt idx="251">
                  <c:v>552.4</c:v>
                </c:pt>
                <c:pt idx="252">
                  <c:v>559.79999999999995</c:v>
                </c:pt>
                <c:pt idx="253">
                  <c:v>561</c:v>
                </c:pt>
                <c:pt idx="254">
                  <c:v>560.1</c:v>
                </c:pt>
                <c:pt idx="255">
                  <c:v>560.20000000000005</c:v>
                </c:pt>
                <c:pt idx="256">
                  <c:v>560</c:v>
                </c:pt>
                <c:pt idx="257">
                  <c:v>556.29999999999995</c:v>
                </c:pt>
                <c:pt idx="258">
                  <c:v>551.4</c:v>
                </c:pt>
                <c:pt idx="259">
                  <c:v>549.9</c:v>
                </c:pt>
                <c:pt idx="260">
                  <c:v>553.4</c:v>
                </c:pt>
                <c:pt idx="261">
                  <c:v>559.9</c:v>
                </c:pt>
                <c:pt idx="262">
                  <c:v>563.1</c:v>
                </c:pt>
                <c:pt idx="263">
                  <c:v>559.4</c:v>
                </c:pt>
                <c:pt idx="264">
                  <c:v>550.70000000000005</c:v>
                </c:pt>
                <c:pt idx="265">
                  <c:v>542.1</c:v>
                </c:pt>
                <c:pt idx="266">
                  <c:v>541.5</c:v>
                </c:pt>
                <c:pt idx="267">
                  <c:v>551.6</c:v>
                </c:pt>
                <c:pt idx="268">
                  <c:v>566.70000000000005</c:v>
                </c:pt>
                <c:pt idx="269">
                  <c:v>588.4</c:v>
                </c:pt>
                <c:pt idx="270">
                  <c:v>617.5</c:v>
                </c:pt>
                <c:pt idx="271">
                  <c:v>632.29999999999995</c:v>
                </c:pt>
                <c:pt idx="272">
                  <c:v>629.1</c:v>
                </c:pt>
                <c:pt idx="273">
                  <c:v>622.4</c:v>
                </c:pt>
                <c:pt idx="274">
                  <c:v>617.79999999999995</c:v>
                </c:pt>
                <c:pt idx="275">
                  <c:v>610.4</c:v>
                </c:pt>
                <c:pt idx="276">
                  <c:v>601.4</c:v>
                </c:pt>
                <c:pt idx="277">
                  <c:v>592.70000000000005</c:v>
                </c:pt>
                <c:pt idx="278">
                  <c:v>589.9</c:v>
                </c:pt>
                <c:pt idx="279">
                  <c:v>592.9</c:v>
                </c:pt>
                <c:pt idx="280">
                  <c:v>595</c:v>
                </c:pt>
                <c:pt idx="281">
                  <c:v>597.79999999999995</c:v>
                </c:pt>
                <c:pt idx="282">
                  <c:v>612.20000000000005</c:v>
                </c:pt>
                <c:pt idx="283">
                  <c:v>633.9</c:v>
                </c:pt>
                <c:pt idx="284">
                  <c:v>651.29999999999995</c:v>
                </c:pt>
                <c:pt idx="285">
                  <c:v>662.8</c:v>
                </c:pt>
                <c:pt idx="286">
                  <c:v>671.4</c:v>
                </c:pt>
                <c:pt idx="287">
                  <c:v>641.29999999999995</c:v>
                </c:pt>
                <c:pt idx="288">
                  <c:v>592.20000000000005</c:v>
                </c:pt>
                <c:pt idx="289">
                  <c:v>544</c:v>
                </c:pt>
                <c:pt idx="290">
                  <c:v>476.7</c:v>
                </c:pt>
                <c:pt idx="291">
                  <c:v>333.9</c:v>
                </c:pt>
                <c:pt idx="292">
                  <c:v>168.8</c:v>
                </c:pt>
                <c:pt idx="293">
                  <c:v>74.7</c:v>
                </c:pt>
                <c:pt idx="294">
                  <c:v>40.1</c:v>
                </c:pt>
                <c:pt idx="295">
                  <c:v>25.6</c:v>
                </c:pt>
                <c:pt idx="296">
                  <c:v>23.7</c:v>
                </c:pt>
                <c:pt idx="297">
                  <c:v>52.5</c:v>
                </c:pt>
                <c:pt idx="298">
                  <c:v>112.3</c:v>
                </c:pt>
                <c:pt idx="299">
                  <c:v>133.9</c:v>
                </c:pt>
                <c:pt idx="300">
                  <c:v>99.9</c:v>
                </c:pt>
                <c:pt idx="301">
                  <c:v>52.2</c:v>
                </c:pt>
                <c:pt idx="302">
                  <c:v>26.2</c:v>
                </c:pt>
                <c:pt idx="303">
                  <c:v>13.8</c:v>
                </c:pt>
                <c:pt idx="304">
                  <c:v>6.5</c:v>
                </c:pt>
                <c:pt idx="305">
                  <c:v>1.9</c:v>
                </c:pt>
                <c:pt idx="306">
                  <c:v>-1.4</c:v>
                </c:pt>
                <c:pt idx="307">
                  <c:v>-3.8</c:v>
                </c:pt>
                <c:pt idx="308">
                  <c:v>-5.5</c:v>
                </c:pt>
                <c:pt idx="309">
                  <c:v>-6.9</c:v>
                </c:pt>
                <c:pt idx="310">
                  <c:v>-8</c:v>
                </c:pt>
                <c:pt idx="311">
                  <c:v>-9</c:v>
                </c:pt>
                <c:pt idx="312">
                  <c:v>-9.6999999999999993</c:v>
                </c:pt>
                <c:pt idx="313">
                  <c:v>-10.4</c:v>
                </c:pt>
                <c:pt idx="314">
                  <c:v>-10.9</c:v>
                </c:pt>
                <c:pt idx="315">
                  <c:v>-11.7</c:v>
                </c:pt>
                <c:pt idx="316">
                  <c:v>-12.4</c:v>
                </c:pt>
                <c:pt idx="317">
                  <c:v>-12.8</c:v>
                </c:pt>
                <c:pt idx="318">
                  <c:v>-13.2</c:v>
                </c:pt>
                <c:pt idx="319">
                  <c:v>-13.5</c:v>
                </c:pt>
                <c:pt idx="320">
                  <c:v>-13.7</c:v>
                </c:pt>
                <c:pt idx="321">
                  <c:v>-13.9</c:v>
                </c:pt>
                <c:pt idx="322">
                  <c:v>-14.1</c:v>
                </c:pt>
                <c:pt idx="323">
                  <c:v>-14.3</c:v>
                </c:pt>
                <c:pt idx="324">
                  <c:v>-14.5</c:v>
                </c:pt>
                <c:pt idx="325">
                  <c:v>-14.6</c:v>
                </c:pt>
                <c:pt idx="326">
                  <c:v>-14.7</c:v>
                </c:pt>
                <c:pt idx="327">
                  <c:v>-14.9</c:v>
                </c:pt>
                <c:pt idx="328">
                  <c:v>-15</c:v>
                </c:pt>
                <c:pt idx="329">
                  <c:v>-15.1</c:v>
                </c:pt>
                <c:pt idx="330">
                  <c:v>-15.2</c:v>
                </c:pt>
                <c:pt idx="331">
                  <c:v>-15.2</c:v>
                </c:pt>
                <c:pt idx="332">
                  <c:v>-15.3</c:v>
                </c:pt>
                <c:pt idx="333">
                  <c:v>-15.4</c:v>
                </c:pt>
                <c:pt idx="334">
                  <c:v>-15.4</c:v>
                </c:pt>
                <c:pt idx="335">
                  <c:v>-15.5</c:v>
                </c:pt>
                <c:pt idx="336">
                  <c:v>-15.5</c:v>
                </c:pt>
                <c:pt idx="337">
                  <c:v>-15.5</c:v>
                </c:pt>
                <c:pt idx="338">
                  <c:v>-15.6</c:v>
                </c:pt>
                <c:pt idx="339">
                  <c:v>-15.6</c:v>
                </c:pt>
                <c:pt idx="340">
                  <c:v>-15.6</c:v>
                </c:pt>
                <c:pt idx="341">
                  <c:v>-15.6</c:v>
                </c:pt>
                <c:pt idx="342">
                  <c:v>-15.6</c:v>
                </c:pt>
                <c:pt idx="343">
                  <c:v>-15.6</c:v>
                </c:pt>
                <c:pt idx="344">
                  <c:v>-15.6</c:v>
                </c:pt>
                <c:pt idx="345">
                  <c:v>-15.6</c:v>
                </c:pt>
                <c:pt idx="346">
                  <c:v>-15.6</c:v>
                </c:pt>
                <c:pt idx="347">
                  <c:v>-15.6</c:v>
                </c:pt>
                <c:pt idx="348">
                  <c:v>-15.6</c:v>
                </c:pt>
                <c:pt idx="349">
                  <c:v>-15.6</c:v>
                </c:pt>
                <c:pt idx="350">
                  <c:v>-15.6</c:v>
                </c:pt>
                <c:pt idx="351">
                  <c:v>-15.6</c:v>
                </c:pt>
                <c:pt idx="352">
                  <c:v>-15.5</c:v>
                </c:pt>
                <c:pt idx="353">
                  <c:v>-15.4</c:v>
                </c:pt>
                <c:pt idx="354">
                  <c:v>-15.3</c:v>
                </c:pt>
                <c:pt idx="355">
                  <c:v>-15.2</c:v>
                </c:pt>
                <c:pt idx="356">
                  <c:v>-15.2</c:v>
                </c:pt>
                <c:pt idx="357">
                  <c:v>-15.1</c:v>
                </c:pt>
                <c:pt idx="358">
                  <c:v>-15</c:v>
                </c:pt>
                <c:pt idx="359">
                  <c:v>-14.9</c:v>
                </c:pt>
                <c:pt idx="360">
                  <c:v>-14.9</c:v>
                </c:pt>
                <c:pt idx="361">
                  <c:v>-14.8</c:v>
                </c:pt>
                <c:pt idx="362">
                  <c:v>-14.7</c:v>
                </c:pt>
                <c:pt idx="363">
                  <c:v>-14.6</c:v>
                </c:pt>
                <c:pt idx="364">
                  <c:v>-14.5</c:v>
                </c:pt>
                <c:pt idx="365">
                  <c:v>-14.5</c:v>
                </c:pt>
                <c:pt idx="366">
                  <c:v>-14.4</c:v>
                </c:pt>
                <c:pt idx="367">
                  <c:v>-14.3</c:v>
                </c:pt>
                <c:pt idx="368">
                  <c:v>-14.2</c:v>
                </c:pt>
                <c:pt idx="369">
                  <c:v>-14.2</c:v>
                </c:pt>
                <c:pt idx="370">
                  <c:v>-14.1</c:v>
                </c:pt>
                <c:pt idx="371">
                  <c:v>-14</c:v>
                </c:pt>
                <c:pt idx="372">
                  <c:v>-14</c:v>
                </c:pt>
                <c:pt idx="373">
                  <c:v>-13.9</c:v>
                </c:pt>
                <c:pt idx="374">
                  <c:v>-13.8</c:v>
                </c:pt>
                <c:pt idx="375">
                  <c:v>-13.7</c:v>
                </c:pt>
                <c:pt idx="376">
                  <c:v>-13.7</c:v>
                </c:pt>
                <c:pt idx="377">
                  <c:v>-13.6</c:v>
                </c:pt>
                <c:pt idx="378">
                  <c:v>-13.6</c:v>
                </c:pt>
                <c:pt idx="379">
                  <c:v>-13.5</c:v>
                </c:pt>
                <c:pt idx="380">
                  <c:v>-13.4</c:v>
                </c:pt>
                <c:pt idx="381">
                  <c:v>-13.3</c:v>
                </c:pt>
                <c:pt idx="382">
                  <c:v>-13.3</c:v>
                </c:pt>
                <c:pt idx="383">
                  <c:v>-13.2</c:v>
                </c:pt>
                <c:pt idx="384">
                  <c:v>-13.2</c:v>
                </c:pt>
                <c:pt idx="385">
                  <c:v>-13.1</c:v>
                </c:pt>
                <c:pt idx="386">
                  <c:v>-13</c:v>
                </c:pt>
                <c:pt idx="387">
                  <c:v>-13</c:v>
                </c:pt>
                <c:pt idx="388">
                  <c:v>-13</c:v>
                </c:pt>
                <c:pt idx="389">
                  <c:v>-12.9</c:v>
                </c:pt>
                <c:pt idx="390">
                  <c:v>-12.8</c:v>
                </c:pt>
                <c:pt idx="391">
                  <c:v>-12.8</c:v>
                </c:pt>
                <c:pt idx="392">
                  <c:v>-12.7</c:v>
                </c:pt>
                <c:pt idx="393">
                  <c:v>-12.7</c:v>
                </c:pt>
                <c:pt idx="394">
                  <c:v>-12.6</c:v>
                </c:pt>
                <c:pt idx="395">
                  <c:v>-12.6</c:v>
                </c:pt>
                <c:pt idx="396">
                  <c:v>-12.5</c:v>
                </c:pt>
                <c:pt idx="397">
                  <c:v>-12.5</c:v>
                </c:pt>
                <c:pt idx="398">
                  <c:v>-12.4</c:v>
                </c:pt>
                <c:pt idx="399">
                  <c:v>-12.3</c:v>
                </c:pt>
                <c:pt idx="400">
                  <c:v>-12.3</c:v>
                </c:pt>
                <c:pt idx="401">
                  <c:v>-12.2</c:v>
                </c:pt>
                <c:pt idx="402">
                  <c:v>-12.2</c:v>
                </c:pt>
                <c:pt idx="403">
                  <c:v>-12.1</c:v>
                </c:pt>
                <c:pt idx="404">
                  <c:v>-12.1</c:v>
                </c:pt>
                <c:pt idx="405">
                  <c:v>-12</c:v>
                </c:pt>
                <c:pt idx="406">
                  <c:v>-12</c:v>
                </c:pt>
                <c:pt idx="407">
                  <c:v>-11.9</c:v>
                </c:pt>
                <c:pt idx="408">
                  <c:v>-11.9</c:v>
                </c:pt>
                <c:pt idx="409">
                  <c:v>-11.8</c:v>
                </c:pt>
                <c:pt idx="410">
                  <c:v>-11.8</c:v>
                </c:pt>
                <c:pt idx="411">
                  <c:v>-11.8</c:v>
                </c:pt>
                <c:pt idx="412">
                  <c:v>-11.7</c:v>
                </c:pt>
                <c:pt idx="413">
                  <c:v>-11.7</c:v>
                </c:pt>
                <c:pt idx="414">
                  <c:v>-11.6</c:v>
                </c:pt>
                <c:pt idx="415">
                  <c:v>-11.6</c:v>
                </c:pt>
                <c:pt idx="416">
                  <c:v>-11.5</c:v>
                </c:pt>
                <c:pt idx="417">
                  <c:v>-11.5</c:v>
                </c:pt>
                <c:pt idx="418">
                  <c:v>-11.4</c:v>
                </c:pt>
                <c:pt idx="419">
                  <c:v>-11.4</c:v>
                </c:pt>
                <c:pt idx="420">
                  <c:v>-11.4</c:v>
                </c:pt>
                <c:pt idx="421">
                  <c:v>-11.3</c:v>
                </c:pt>
                <c:pt idx="422">
                  <c:v>-11.3</c:v>
                </c:pt>
                <c:pt idx="423">
                  <c:v>-11.2</c:v>
                </c:pt>
                <c:pt idx="424">
                  <c:v>-11.2</c:v>
                </c:pt>
                <c:pt idx="425">
                  <c:v>-11.2</c:v>
                </c:pt>
                <c:pt idx="426">
                  <c:v>-11.1</c:v>
                </c:pt>
                <c:pt idx="427">
                  <c:v>-11.1</c:v>
                </c:pt>
                <c:pt idx="428">
                  <c:v>-11.1</c:v>
                </c:pt>
                <c:pt idx="429">
                  <c:v>-11</c:v>
                </c:pt>
                <c:pt idx="430">
                  <c:v>-11</c:v>
                </c:pt>
                <c:pt idx="431">
                  <c:v>-11</c:v>
                </c:pt>
                <c:pt idx="432">
                  <c:v>-10.9</c:v>
                </c:pt>
                <c:pt idx="433">
                  <c:v>-10.9</c:v>
                </c:pt>
                <c:pt idx="434">
                  <c:v>-10.8</c:v>
                </c:pt>
                <c:pt idx="435">
                  <c:v>-10.8</c:v>
                </c:pt>
                <c:pt idx="436">
                  <c:v>-10.8</c:v>
                </c:pt>
                <c:pt idx="437">
                  <c:v>-10.7</c:v>
                </c:pt>
                <c:pt idx="438">
                  <c:v>-10.7</c:v>
                </c:pt>
                <c:pt idx="439">
                  <c:v>-10.7</c:v>
                </c:pt>
                <c:pt idx="440">
                  <c:v>-10.6</c:v>
                </c:pt>
                <c:pt idx="441">
                  <c:v>-10.6</c:v>
                </c:pt>
                <c:pt idx="442">
                  <c:v>-10.5</c:v>
                </c:pt>
                <c:pt idx="443">
                  <c:v>-10.5</c:v>
                </c:pt>
                <c:pt idx="444">
                  <c:v>-10.5</c:v>
                </c:pt>
                <c:pt idx="445">
                  <c:v>-10.5</c:v>
                </c:pt>
                <c:pt idx="446">
                  <c:v>-10.4</c:v>
                </c:pt>
                <c:pt idx="447">
                  <c:v>-10.4</c:v>
                </c:pt>
                <c:pt idx="448">
                  <c:v>-10.3</c:v>
                </c:pt>
                <c:pt idx="449">
                  <c:v>-10.3</c:v>
                </c:pt>
                <c:pt idx="450">
                  <c:v>-10.3</c:v>
                </c:pt>
                <c:pt idx="451">
                  <c:v>-10.199999999999999</c:v>
                </c:pt>
                <c:pt idx="452">
                  <c:v>-10.199999999999999</c:v>
                </c:pt>
                <c:pt idx="453">
                  <c:v>-10.199999999999999</c:v>
                </c:pt>
                <c:pt idx="454">
                  <c:v>-10.199999999999999</c:v>
                </c:pt>
                <c:pt idx="455">
                  <c:v>-10.1</c:v>
                </c:pt>
                <c:pt idx="456">
                  <c:v>-10.1</c:v>
                </c:pt>
                <c:pt idx="457">
                  <c:v>-10.1</c:v>
                </c:pt>
                <c:pt idx="458">
                  <c:v>-10</c:v>
                </c:pt>
                <c:pt idx="459">
                  <c:v>-10</c:v>
                </c:pt>
                <c:pt idx="460">
                  <c:v>-10</c:v>
                </c:pt>
                <c:pt idx="461">
                  <c:v>-9.9</c:v>
                </c:pt>
                <c:pt idx="462">
                  <c:v>-9.9</c:v>
                </c:pt>
                <c:pt idx="463">
                  <c:v>-9.9</c:v>
                </c:pt>
                <c:pt idx="464">
                  <c:v>-9.9</c:v>
                </c:pt>
                <c:pt idx="465">
                  <c:v>-9.8000000000000007</c:v>
                </c:pt>
                <c:pt idx="466">
                  <c:v>-9.8000000000000007</c:v>
                </c:pt>
                <c:pt idx="467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8C-49FB-B409-9B84A4A1CDEA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'100ml'!$AB$3:$AB$470</c:f>
              <c:numCache>
                <c:formatCode>General</c:formatCode>
                <c:ptCount val="4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</c:numCache>
            </c:numRef>
          </c:xVal>
          <c:yVal>
            <c:numRef>
              <c:f>'100ml'!$AF$3:$AF$470</c:f>
              <c:numCache>
                <c:formatCode>General</c:formatCode>
                <c:ptCount val="468"/>
                <c:pt idx="0">
                  <c:v>0.4</c:v>
                </c:pt>
                <c:pt idx="1">
                  <c:v>0.3</c:v>
                </c:pt>
                <c:pt idx="2">
                  <c:v>0.3</c:v>
                </c:pt>
                <c:pt idx="3">
                  <c:v>0.2</c:v>
                </c:pt>
                <c:pt idx="4">
                  <c:v>0.2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</c:v>
                </c:pt>
                <c:pt idx="10">
                  <c:v>-0.1</c:v>
                </c:pt>
                <c:pt idx="11">
                  <c:v>-0.2</c:v>
                </c:pt>
                <c:pt idx="12">
                  <c:v>-0.7</c:v>
                </c:pt>
                <c:pt idx="13">
                  <c:v>-3.5</c:v>
                </c:pt>
                <c:pt idx="14">
                  <c:v>-14.6</c:v>
                </c:pt>
                <c:pt idx="15">
                  <c:v>-37.700000000000003</c:v>
                </c:pt>
                <c:pt idx="16">
                  <c:v>-58.3</c:v>
                </c:pt>
                <c:pt idx="17">
                  <c:v>-69.900000000000006</c:v>
                </c:pt>
                <c:pt idx="18">
                  <c:v>-78.599999999999994</c:v>
                </c:pt>
                <c:pt idx="19">
                  <c:v>-88.7</c:v>
                </c:pt>
                <c:pt idx="20">
                  <c:v>-99.9</c:v>
                </c:pt>
                <c:pt idx="21">
                  <c:v>-108.7</c:v>
                </c:pt>
                <c:pt idx="22">
                  <c:v>-115.4</c:v>
                </c:pt>
                <c:pt idx="23">
                  <c:v>-125.3</c:v>
                </c:pt>
                <c:pt idx="24">
                  <c:v>-135.9</c:v>
                </c:pt>
                <c:pt idx="25">
                  <c:v>-139.30000000000001</c:v>
                </c:pt>
                <c:pt idx="26">
                  <c:v>-142.5</c:v>
                </c:pt>
                <c:pt idx="27">
                  <c:v>-146.4</c:v>
                </c:pt>
                <c:pt idx="28">
                  <c:v>-150.6</c:v>
                </c:pt>
                <c:pt idx="29">
                  <c:v>-154.9</c:v>
                </c:pt>
                <c:pt idx="30">
                  <c:v>-158.4</c:v>
                </c:pt>
                <c:pt idx="31">
                  <c:v>-160.80000000000001</c:v>
                </c:pt>
                <c:pt idx="32">
                  <c:v>-162.9</c:v>
                </c:pt>
                <c:pt idx="33">
                  <c:v>-164.7</c:v>
                </c:pt>
                <c:pt idx="34">
                  <c:v>-165.7</c:v>
                </c:pt>
                <c:pt idx="35">
                  <c:v>-164.9</c:v>
                </c:pt>
                <c:pt idx="36">
                  <c:v>-163</c:v>
                </c:pt>
                <c:pt idx="37">
                  <c:v>-161</c:v>
                </c:pt>
                <c:pt idx="38">
                  <c:v>-159.9</c:v>
                </c:pt>
                <c:pt idx="39">
                  <c:v>-160.6</c:v>
                </c:pt>
                <c:pt idx="40">
                  <c:v>-162.19999999999999</c:v>
                </c:pt>
                <c:pt idx="41">
                  <c:v>-162.9</c:v>
                </c:pt>
                <c:pt idx="42">
                  <c:v>-162.9</c:v>
                </c:pt>
                <c:pt idx="43">
                  <c:v>-162.4</c:v>
                </c:pt>
                <c:pt idx="44">
                  <c:v>-161.4</c:v>
                </c:pt>
                <c:pt idx="45">
                  <c:v>-160.19999999999999</c:v>
                </c:pt>
                <c:pt idx="46">
                  <c:v>-159.19999999999999</c:v>
                </c:pt>
                <c:pt idx="47">
                  <c:v>-158.4</c:v>
                </c:pt>
                <c:pt idx="48">
                  <c:v>-158.4</c:v>
                </c:pt>
                <c:pt idx="49">
                  <c:v>-158.9</c:v>
                </c:pt>
                <c:pt idx="50">
                  <c:v>-159.69999999999999</c:v>
                </c:pt>
                <c:pt idx="51">
                  <c:v>-160.80000000000001</c:v>
                </c:pt>
                <c:pt idx="52">
                  <c:v>-161.6</c:v>
                </c:pt>
                <c:pt idx="53">
                  <c:v>-162.1</c:v>
                </c:pt>
                <c:pt idx="54">
                  <c:v>-162.19999999999999</c:v>
                </c:pt>
                <c:pt idx="55">
                  <c:v>-162.4</c:v>
                </c:pt>
                <c:pt idx="56">
                  <c:v>-162.9</c:v>
                </c:pt>
                <c:pt idx="57">
                  <c:v>-163.19999999999999</c:v>
                </c:pt>
                <c:pt idx="58">
                  <c:v>-162.80000000000001</c:v>
                </c:pt>
                <c:pt idx="59">
                  <c:v>-161.6</c:v>
                </c:pt>
                <c:pt idx="60">
                  <c:v>-160.1</c:v>
                </c:pt>
                <c:pt idx="61">
                  <c:v>-158.80000000000001</c:v>
                </c:pt>
                <c:pt idx="62">
                  <c:v>-157.6</c:v>
                </c:pt>
                <c:pt idx="63">
                  <c:v>-156.80000000000001</c:v>
                </c:pt>
                <c:pt idx="64">
                  <c:v>-155.69999999999999</c:v>
                </c:pt>
                <c:pt idx="65">
                  <c:v>-154.30000000000001</c:v>
                </c:pt>
                <c:pt idx="66">
                  <c:v>-152.1</c:v>
                </c:pt>
                <c:pt idx="67">
                  <c:v>-149.6</c:v>
                </c:pt>
                <c:pt idx="68">
                  <c:v>-148.19999999999999</c:v>
                </c:pt>
                <c:pt idx="69">
                  <c:v>-147.69999999999999</c:v>
                </c:pt>
                <c:pt idx="70">
                  <c:v>-147.69999999999999</c:v>
                </c:pt>
                <c:pt idx="71">
                  <c:v>-147.6</c:v>
                </c:pt>
                <c:pt idx="72">
                  <c:v>-146.9</c:v>
                </c:pt>
                <c:pt idx="73">
                  <c:v>-146.1</c:v>
                </c:pt>
                <c:pt idx="74">
                  <c:v>-145.4</c:v>
                </c:pt>
                <c:pt idx="75">
                  <c:v>-144.9</c:v>
                </c:pt>
                <c:pt idx="76">
                  <c:v>-144.19999999999999</c:v>
                </c:pt>
                <c:pt idx="77">
                  <c:v>-143.19999999999999</c:v>
                </c:pt>
                <c:pt idx="78">
                  <c:v>-142.1</c:v>
                </c:pt>
                <c:pt idx="79">
                  <c:v>-141.4</c:v>
                </c:pt>
                <c:pt idx="80">
                  <c:v>-141</c:v>
                </c:pt>
                <c:pt idx="81">
                  <c:v>-141.1</c:v>
                </c:pt>
                <c:pt idx="82">
                  <c:v>-141.4</c:v>
                </c:pt>
                <c:pt idx="83">
                  <c:v>-141.4</c:v>
                </c:pt>
                <c:pt idx="84">
                  <c:v>-141</c:v>
                </c:pt>
                <c:pt idx="85">
                  <c:v>-140.4</c:v>
                </c:pt>
                <c:pt idx="86">
                  <c:v>-139.4</c:v>
                </c:pt>
                <c:pt idx="87">
                  <c:v>-138.5</c:v>
                </c:pt>
                <c:pt idx="88">
                  <c:v>-138</c:v>
                </c:pt>
                <c:pt idx="89">
                  <c:v>-137.5</c:v>
                </c:pt>
                <c:pt idx="90">
                  <c:v>-137</c:v>
                </c:pt>
                <c:pt idx="91">
                  <c:v>-136.5</c:v>
                </c:pt>
                <c:pt idx="92">
                  <c:v>-136.19999999999999</c:v>
                </c:pt>
                <c:pt idx="93">
                  <c:v>-136</c:v>
                </c:pt>
                <c:pt idx="94">
                  <c:v>-135.9</c:v>
                </c:pt>
                <c:pt idx="95">
                  <c:v>-136</c:v>
                </c:pt>
                <c:pt idx="96">
                  <c:v>-136.1</c:v>
                </c:pt>
                <c:pt idx="97">
                  <c:v>-135.9</c:v>
                </c:pt>
                <c:pt idx="98">
                  <c:v>-135.6</c:v>
                </c:pt>
                <c:pt idx="99">
                  <c:v>-135.30000000000001</c:v>
                </c:pt>
                <c:pt idx="100">
                  <c:v>-135.30000000000001</c:v>
                </c:pt>
                <c:pt idx="101">
                  <c:v>-135.4</c:v>
                </c:pt>
                <c:pt idx="102">
                  <c:v>-135.69999999999999</c:v>
                </c:pt>
                <c:pt idx="103">
                  <c:v>-136.1</c:v>
                </c:pt>
                <c:pt idx="104">
                  <c:v>-136.69999999999999</c:v>
                </c:pt>
                <c:pt idx="105">
                  <c:v>-137.4</c:v>
                </c:pt>
                <c:pt idx="106">
                  <c:v>-138</c:v>
                </c:pt>
                <c:pt idx="107">
                  <c:v>-138.30000000000001</c:v>
                </c:pt>
                <c:pt idx="108">
                  <c:v>-138.4</c:v>
                </c:pt>
                <c:pt idx="109">
                  <c:v>-138.4</c:v>
                </c:pt>
                <c:pt idx="110">
                  <c:v>-138.5</c:v>
                </c:pt>
                <c:pt idx="111">
                  <c:v>-138.6</c:v>
                </c:pt>
                <c:pt idx="112">
                  <c:v>-138.5</c:v>
                </c:pt>
                <c:pt idx="113">
                  <c:v>-138.1</c:v>
                </c:pt>
                <c:pt idx="114">
                  <c:v>-137.69999999999999</c:v>
                </c:pt>
                <c:pt idx="115">
                  <c:v>-137.4</c:v>
                </c:pt>
                <c:pt idx="116">
                  <c:v>-137</c:v>
                </c:pt>
                <c:pt idx="117">
                  <c:v>-136.5</c:v>
                </c:pt>
                <c:pt idx="118">
                  <c:v>-136</c:v>
                </c:pt>
                <c:pt idx="119">
                  <c:v>-135.6</c:v>
                </c:pt>
                <c:pt idx="120">
                  <c:v>-135.19999999999999</c:v>
                </c:pt>
                <c:pt idx="121">
                  <c:v>-134.6</c:v>
                </c:pt>
                <c:pt idx="122">
                  <c:v>-134</c:v>
                </c:pt>
                <c:pt idx="123">
                  <c:v>-133</c:v>
                </c:pt>
                <c:pt idx="124">
                  <c:v>-131.9</c:v>
                </c:pt>
                <c:pt idx="125">
                  <c:v>-131.1</c:v>
                </c:pt>
                <c:pt idx="126">
                  <c:v>-130.6</c:v>
                </c:pt>
                <c:pt idx="127">
                  <c:v>-130.4</c:v>
                </c:pt>
                <c:pt idx="128">
                  <c:v>-130.30000000000001</c:v>
                </c:pt>
                <c:pt idx="129">
                  <c:v>-130.30000000000001</c:v>
                </c:pt>
                <c:pt idx="130">
                  <c:v>-130.19999999999999</c:v>
                </c:pt>
                <c:pt idx="131">
                  <c:v>-129.69999999999999</c:v>
                </c:pt>
                <c:pt idx="132">
                  <c:v>-129.1</c:v>
                </c:pt>
                <c:pt idx="133">
                  <c:v>-128.5</c:v>
                </c:pt>
                <c:pt idx="134">
                  <c:v>-128.30000000000001</c:v>
                </c:pt>
                <c:pt idx="135">
                  <c:v>-128.30000000000001</c:v>
                </c:pt>
                <c:pt idx="136">
                  <c:v>-128.19999999999999</c:v>
                </c:pt>
                <c:pt idx="137">
                  <c:v>-128.19999999999999</c:v>
                </c:pt>
                <c:pt idx="138">
                  <c:v>-128.30000000000001</c:v>
                </c:pt>
                <c:pt idx="139">
                  <c:v>-128.6</c:v>
                </c:pt>
                <c:pt idx="140">
                  <c:v>-128.9</c:v>
                </c:pt>
                <c:pt idx="141">
                  <c:v>-129</c:v>
                </c:pt>
                <c:pt idx="142">
                  <c:v>-128.9</c:v>
                </c:pt>
                <c:pt idx="143">
                  <c:v>-128.9</c:v>
                </c:pt>
                <c:pt idx="144">
                  <c:v>-128.9</c:v>
                </c:pt>
                <c:pt idx="145">
                  <c:v>-128.80000000000001</c:v>
                </c:pt>
                <c:pt idx="146">
                  <c:v>-128.6</c:v>
                </c:pt>
                <c:pt idx="147">
                  <c:v>-128.4</c:v>
                </c:pt>
                <c:pt idx="148">
                  <c:v>-128.19999999999999</c:v>
                </c:pt>
                <c:pt idx="149">
                  <c:v>-128.1</c:v>
                </c:pt>
                <c:pt idx="150">
                  <c:v>-127.9</c:v>
                </c:pt>
                <c:pt idx="151">
                  <c:v>-127.7</c:v>
                </c:pt>
                <c:pt idx="152">
                  <c:v>-127.3</c:v>
                </c:pt>
                <c:pt idx="153">
                  <c:v>-127</c:v>
                </c:pt>
                <c:pt idx="154">
                  <c:v>-126.5</c:v>
                </c:pt>
                <c:pt idx="155">
                  <c:v>-126.1</c:v>
                </c:pt>
                <c:pt idx="156">
                  <c:v>-125.8</c:v>
                </c:pt>
                <c:pt idx="157">
                  <c:v>-125.4</c:v>
                </c:pt>
                <c:pt idx="158">
                  <c:v>-124.7</c:v>
                </c:pt>
                <c:pt idx="159">
                  <c:v>-124.1</c:v>
                </c:pt>
                <c:pt idx="160">
                  <c:v>-123.8</c:v>
                </c:pt>
                <c:pt idx="161">
                  <c:v>-123.6</c:v>
                </c:pt>
                <c:pt idx="162">
                  <c:v>-123.6</c:v>
                </c:pt>
                <c:pt idx="163">
                  <c:v>-123.7</c:v>
                </c:pt>
                <c:pt idx="164">
                  <c:v>-123.8</c:v>
                </c:pt>
                <c:pt idx="165">
                  <c:v>-123.8</c:v>
                </c:pt>
                <c:pt idx="166">
                  <c:v>-123.7</c:v>
                </c:pt>
                <c:pt idx="167">
                  <c:v>-123.4</c:v>
                </c:pt>
                <c:pt idx="168">
                  <c:v>-122.8</c:v>
                </c:pt>
                <c:pt idx="169">
                  <c:v>-122.1</c:v>
                </c:pt>
                <c:pt idx="170">
                  <c:v>-121.4</c:v>
                </c:pt>
                <c:pt idx="171">
                  <c:v>-120.9</c:v>
                </c:pt>
                <c:pt idx="172">
                  <c:v>-120.4</c:v>
                </c:pt>
                <c:pt idx="173">
                  <c:v>-119.7</c:v>
                </c:pt>
                <c:pt idx="174">
                  <c:v>-119.1</c:v>
                </c:pt>
                <c:pt idx="175">
                  <c:v>-118.4</c:v>
                </c:pt>
                <c:pt idx="176">
                  <c:v>-117.7</c:v>
                </c:pt>
                <c:pt idx="177">
                  <c:v>-117</c:v>
                </c:pt>
                <c:pt idx="178">
                  <c:v>-116.1</c:v>
                </c:pt>
                <c:pt idx="179">
                  <c:v>-115.1</c:v>
                </c:pt>
                <c:pt idx="180">
                  <c:v>-114.1</c:v>
                </c:pt>
                <c:pt idx="181">
                  <c:v>-113</c:v>
                </c:pt>
                <c:pt idx="182">
                  <c:v>-111.5</c:v>
                </c:pt>
                <c:pt idx="183">
                  <c:v>-109.3</c:v>
                </c:pt>
                <c:pt idx="184">
                  <c:v>-106.7</c:v>
                </c:pt>
                <c:pt idx="185">
                  <c:v>-103.8</c:v>
                </c:pt>
                <c:pt idx="186">
                  <c:v>-100.8</c:v>
                </c:pt>
                <c:pt idx="187">
                  <c:v>-97.8</c:v>
                </c:pt>
                <c:pt idx="188">
                  <c:v>-94.8</c:v>
                </c:pt>
                <c:pt idx="189">
                  <c:v>-92</c:v>
                </c:pt>
                <c:pt idx="190">
                  <c:v>-88.9</c:v>
                </c:pt>
                <c:pt idx="191">
                  <c:v>-85.5</c:v>
                </c:pt>
                <c:pt idx="192">
                  <c:v>-81.900000000000006</c:v>
                </c:pt>
                <c:pt idx="193">
                  <c:v>-78.400000000000006</c:v>
                </c:pt>
                <c:pt idx="194">
                  <c:v>-75</c:v>
                </c:pt>
                <c:pt idx="195">
                  <c:v>-71.900000000000006</c:v>
                </c:pt>
                <c:pt idx="196">
                  <c:v>-69.2</c:v>
                </c:pt>
                <c:pt idx="197">
                  <c:v>-66.900000000000006</c:v>
                </c:pt>
                <c:pt idx="198">
                  <c:v>-65</c:v>
                </c:pt>
                <c:pt idx="199">
                  <c:v>-63.3</c:v>
                </c:pt>
                <c:pt idx="200">
                  <c:v>-61.8</c:v>
                </c:pt>
                <c:pt idx="201">
                  <c:v>-60.7</c:v>
                </c:pt>
                <c:pt idx="202">
                  <c:v>-59.7</c:v>
                </c:pt>
                <c:pt idx="203">
                  <c:v>-58.8</c:v>
                </c:pt>
                <c:pt idx="204">
                  <c:v>-58</c:v>
                </c:pt>
                <c:pt idx="205">
                  <c:v>-57.2</c:v>
                </c:pt>
                <c:pt idx="206">
                  <c:v>-56.7</c:v>
                </c:pt>
                <c:pt idx="207">
                  <c:v>-56.3</c:v>
                </c:pt>
                <c:pt idx="208">
                  <c:v>-56.1</c:v>
                </c:pt>
                <c:pt idx="209">
                  <c:v>-56.1</c:v>
                </c:pt>
                <c:pt idx="210">
                  <c:v>-56</c:v>
                </c:pt>
                <c:pt idx="211">
                  <c:v>-55.6</c:v>
                </c:pt>
                <c:pt idx="212">
                  <c:v>-55</c:v>
                </c:pt>
                <c:pt idx="213">
                  <c:v>-54.4</c:v>
                </c:pt>
                <c:pt idx="214">
                  <c:v>-53.7</c:v>
                </c:pt>
                <c:pt idx="215">
                  <c:v>-53.2</c:v>
                </c:pt>
                <c:pt idx="216">
                  <c:v>-52.7</c:v>
                </c:pt>
                <c:pt idx="217">
                  <c:v>-52.2</c:v>
                </c:pt>
                <c:pt idx="218">
                  <c:v>-51.7</c:v>
                </c:pt>
                <c:pt idx="219">
                  <c:v>-51.2</c:v>
                </c:pt>
                <c:pt idx="220">
                  <c:v>-50.7</c:v>
                </c:pt>
                <c:pt idx="221">
                  <c:v>-50.1</c:v>
                </c:pt>
                <c:pt idx="222">
                  <c:v>-49.6</c:v>
                </c:pt>
                <c:pt idx="223">
                  <c:v>-49.1</c:v>
                </c:pt>
                <c:pt idx="224">
                  <c:v>-48.5</c:v>
                </c:pt>
                <c:pt idx="225">
                  <c:v>-47.9</c:v>
                </c:pt>
                <c:pt idx="226">
                  <c:v>-47.2</c:v>
                </c:pt>
                <c:pt idx="227">
                  <c:v>-46.3</c:v>
                </c:pt>
                <c:pt idx="228">
                  <c:v>-44.7</c:v>
                </c:pt>
                <c:pt idx="229">
                  <c:v>-41.7</c:v>
                </c:pt>
                <c:pt idx="230">
                  <c:v>-35.9</c:v>
                </c:pt>
                <c:pt idx="231">
                  <c:v>-26.5</c:v>
                </c:pt>
                <c:pt idx="232">
                  <c:v>-6.7</c:v>
                </c:pt>
                <c:pt idx="233">
                  <c:v>51.1</c:v>
                </c:pt>
                <c:pt idx="234">
                  <c:v>127.6</c:v>
                </c:pt>
                <c:pt idx="235">
                  <c:v>197.8</c:v>
                </c:pt>
                <c:pt idx="236">
                  <c:v>263.2</c:v>
                </c:pt>
                <c:pt idx="237">
                  <c:v>323.2</c:v>
                </c:pt>
                <c:pt idx="238">
                  <c:v>379.5</c:v>
                </c:pt>
                <c:pt idx="239">
                  <c:v>435.2</c:v>
                </c:pt>
                <c:pt idx="240">
                  <c:v>484.5</c:v>
                </c:pt>
                <c:pt idx="241">
                  <c:v>526.4</c:v>
                </c:pt>
                <c:pt idx="242">
                  <c:v>561.6</c:v>
                </c:pt>
                <c:pt idx="243">
                  <c:v>587.9</c:v>
                </c:pt>
                <c:pt idx="244">
                  <c:v>607.6</c:v>
                </c:pt>
                <c:pt idx="245">
                  <c:v>621.20000000000005</c:v>
                </c:pt>
                <c:pt idx="246">
                  <c:v>630.29999999999995</c:v>
                </c:pt>
                <c:pt idx="247">
                  <c:v>636.9</c:v>
                </c:pt>
                <c:pt idx="248">
                  <c:v>644.9</c:v>
                </c:pt>
                <c:pt idx="249">
                  <c:v>653.9</c:v>
                </c:pt>
                <c:pt idx="250">
                  <c:v>660</c:v>
                </c:pt>
                <c:pt idx="251">
                  <c:v>661.7</c:v>
                </c:pt>
                <c:pt idx="252">
                  <c:v>662.4</c:v>
                </c:pt>
                <c:pt idx="253">
                  <c:v>663.6</c:v>
                </c:pt>
                <c:pt idx="254">
                  <c:v>664.1</c:v>
                </c:pt>
                <c:pt idx="255">
                  <c:v>664.2</c:v>
                </c:pt>
                <c:pt idx="256">
                  <c:v>665.4</c:v>
                </c:pt>
                <c:pt idx="257">
                  <c:v>665.3</c:v>
                </c:pt>
                <c:pt idx="258">
                  <c:v>659.7</c:v>
                </c:pt>
                <c:pt idx="259">
                  <c:v>647.9</c:v>
                </c:pt>
                <c:pt idx="260">
                  <c:v>635.5</c:v>
                </c:pt>
                <c:pt idx="261">
                  <c:v>625.79999999999995</c:v>
                </c:pt>
                <c:pt idx="262">
                  <c:v>621.6</c:v>
                </c:pt>
                <c:pt idx="263">
                  <c:v>621.70000000000005</c:v>
                </c:pt>
                <c:pt idx="264">
                  <c:v>625.70000000000005</c:v>
                </c:pt>
                <c:pt idx="265">
                  <c:v>634.20000000000005</c:v>
                </c:pt>
                <c:pt idx="266">
                  <c:v>640.20000000000005</c:v>
                </c:pt>
                <c:pt idx="267">
                  <c:v>641.20000000000005</c:v>
                </c:pt>
                <c:pt idx="268">
                  <c:v>642.20000000000005</c:v>
                </c:pt>
                <c:pt idx="269">
                  <c:v>644.20000000000005</c:v>
                </c:pt>
                <c:pt idx="270">
                  <c:v>639.5</c:v>
                </c:pt>
                <c:pt idx="271">
                  <c:v>626.70000000000005</c:v>
                </c:pt>
                <c:pt idx="272">
                  <c:v>613</c:v>
                </c:pt>
                <c:pt idx="273">
                  <c:v>600.4</c:v>
                </c:pt>
                <c:pt idx="274">
                  <c:v>588.6</c:v>
                </c:pt>
                <c:pt idx="275">
                  <c:v>577.4</c:v>
                </c:pt>
                <c:pt idx="276">
                  <c:v>569.70000000000005</c:v>
                </c:pt>
                <c:pt idx="277">
                  <c:v>566.29999999999995</c:v>
                </c:pt>
                <c:pt idx="278">
                  <c:v>566.4</c:v>
                </c:pt>
                <c:pt idx="279">
                  <c:v>577.70000000000005</c:v>
                </c:pt>
                <c:pt idx="280">
                  <c:v>595.6</c:v>
                </c:pt>
                <c:pt idx="281">
                  <c:v>622</c:v>
                </c:pt>
                <c:pt idx="282">
                  <c:v>668.7</c:v>
                </c:pt>
                <c:pt idx="283">
                  <c:v>682.1</c:v>
                </c:pt>
                <c:pt idx="284">
                  <c:v>635.29999999999995</c:v>
                </c:pt>
                <c:pt idx="285">
                  <c:v>583.9</c:v>
                </c:pt>
                <c:pt idx="286">
                  <c:v>532.29999999999995</c:v>
                </c:pt>
                <c:pt idx="287">
                  <c:v>443.3</c:v>
                </c:pt>
                <c:pt idx="288">
                  <c:v>296.39999999999998</c:v>
                </c:pt>
                <c:pt idx="289">
                  <c:v>163.1</c:v>
                </c:pt>
                <c:pt idx="290">
                  <c:v>82.8</c:v>
                </c:pt>
                <c:pt idx="291">
                  <c:v>45.4</c:v>
                </c:pt>
                <c:pt idx="292">
                  <c:v>28.8</c:v>
                </c:pt>
                <c:pt idx="293">
                  <c:v>20.100000000000001</c:v>
                </c:pt>
                <c:pt idx="294">
                  <c:v>14.5</c:v>
                </c:pt>
                <c:pt idx="295">
                  <c:v>11.3</c:v>
                </c:pt>
                <c:pt idx="296">
                  <c:v>10.4</c:v>
                </c:pt>
                <c:pt idx="297">
                  <c:v>15.8</c:v>
                </c:pt>
                <c:pt idx="298">
                  <c:v>33.9</c:v>
                </c:pt>
                <c:pt idx="299">
                  <c:v>42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42.3</c:v>
                </c:pt>
                <c:pt idx="304">
                  <c:v>42.4</c:v>
                </c:pt>
                <c:pt idx="305">
                  <c:v>42.3</c:v>
                </c:pt>
                <c:pt idx="306">
                  <c:v>42.3</c:v>
                </c:pt>
                <c:pt idx="307">
                  <c:v>42.2</c:v>
                </c:pt>
                <c:pt idx="308">
                  <c:v>42.1</c:v>
                </c:pt>
                <c:pt idx="309">
                  <c:v>42.3</c:v>
                </c:pt>
                <c:pt idx="310">
                  <c:v>42.2</c:v>
                </c:pt>
                <c:pt idx="311">
                  <c:v>40.9</c:v>
                </c:pt>
                <c:pt idx="312">
                  <c:v>29.1</c:v>
                </c:pt>
                <c:pt idx="313">
                  <c:v>21.5</c:v>
                </c:pt>
                <c:pt idx="314">
                  <c:v>18.600000000000001</c:v>
                </c:pt>
                <c:pt idx="315">
                  <c:v>8.9</c:v>
                </c:pt>
                <c:pt idx="316">
                  <c:v>8.4</c:v>
                </c:pt>
                <c:pt idx="317">
                  <c:v>8.5</c:v>
                </c:pt>
                <c:pt idx="318">
                  <c:v>8.6</c:v>
                </c:pt>
                <c:pt idx="319">
                  <c:v>8.6</c:v>
                </c:pt>
                <c:pt idx="320">
                  <c:v>8.8000000000000007</c:v>
                </c:pt>
                <c:pt idx="321">
                  <c:v>8.9</c:v>
                </c:pt>
                <c:pt idx="322">
                  <c:v>8.9</c:v>
                </c:pt>
                <c:pt idx="323">
                  <c:v>9</c:v>
                </c:pt>
                <c:pt idx="324">
                  <c:v>9.1999999999999993</c:v>
                </c:pt>
                <c:pt idx="325">
                  <c:v>9.1999999999999993</c:v>
                </c:pt>
                <c:pt idx="326">
                  <c:v>9.3000000000000007</c:v>
                </c:pt>
                <c:pt idx="327">
                  <c:v>9.4</c:v>
                </c:pt>
                <c:pt idx="328">
                  <c:v>9.5</c:v>
                </c:pt>
                <c:pt idx="329">
                  <c:v>9.6</c:v>
                </c:pt>
                <c:pt idx="330">
                  <c:v>9.6999999999999993</c:v>
                </c:pt>
                <c:pt idx="331">
                  <c:v>9.8000000000000007</c:v>
                </c:pt>
                <c:pt idx="332">
                  <c:v>9.9</c:v>
                </c:pt>
                <c:pt idx="333">
                  <c:v>9.9</c:v>
                </c:pt>
                <c:pt idx="334">
                  <c:v>10</c:v>
                </c:pt>
                <c:pt idx="335">
                  <c:v>10.1</c:v>
                </c:pt>
                <c:pt idx="336">
                  <c:v>10.199999999999999</c:v>
                </c:pt>
                <c:pt idx="337">
                  <c:v>10.3</c:v>
                </c:pt>
                <c:pt idx="338">
                  <c:v>10.3</c:v>
                </c:pt>
                <c:pt idx="339">
                  <c:v>10.4</c:v>
                </c:pt>
                <c:pt idx="340">
                  <c:v>10.5</c:v>
                </c:pt>
                <c:pt idx="341">
                  <c:v>10.6</c:v>
                </c:pt>
                <c:pt idx="342">
                  <c:v>10.7</c:v>
                </c:pt>
                <c:pt idx="343">
                  <c:v>10.7</c:v>
                </c:pt>
                <c:pt idx="344">
                  <c:v>10.8</c:v>
                </c:pt>
                <c:pt idx="345">
                  <c:v>10.9</c:v>
                </c:pt>
                <c:pt idx="346">
                  <c:v>11</c:v>
                </c:pt>
                <c:pt idx="347">
                  <c:v>11.1</c:v>
                </c:pt>
                <c:pt idx="348">
                  <c:v>11.1</c:v>
                </c:pt>
                <c:pt idx="349">
                  <c:v>11.2</c:v>
                </c:pt>
                <c:pt idx="350">
                  <c:v>11.3</c:v>
                </c:pt>
                <c:pt idx="351">
                  <c:v>11.3</c:v>
                </c:pt>
                <c:pt idx="352">
                  <c:v>11.4</c:v>
                </c:pt>
                <c:pt idx="353">
                  <c:v>11.5</c:v>
                </c:pt>
                <c:pt idx="354">
                  <c:v>11.5</c:v>
                </c:pt>
                <c:pt idx="355">
                  <c:v>11.6</c:v>
                </c:pt>
                <c:pt idx="356">
                  <c:v>11.7</c:v>
                </c:pt>
                <c:pt idx="357">
                  <c:v>11.8</c:v>
                </c:pt>
                <c:pt idx="358">
                  <c:v>11.8</c:v>
                </c:pt>
                <c:pt idx="359">
                  <c:v>11.9</c:v>
                </c:pt>
                <c:pt idx="360">
                  <c:v>11.9</c:v>
                </c:pt>
                <c:pt idx="361">
                  <c:v>12</c:v>
                </c:pt>
                <c:pt idx="362">
                  <c:v>12</c:v>
                </c:pt>
                <c:pt idx="363">
                  <c:v>12.1</c:v>
                </c:pt>
                <c:pt idx="364">
                  <c:v>12.2</c:v>
                </c:pt>
                <c:pt idx="365">
                  <c:v>12.2</c:v>
                </c:pt>
                <c:pt idx="366">
                  <c:v>12.3</c:v>
                </c:pt>
                <c:pt idx="367">
                  <c:v>12.4</c:v>
                </c:pt>
                <c:pt idx="368">
                  <c:v>12.4</c:v>
                </c:pt>
                <c:pt idx="369">
                  <c:v>12.5</c:v>
                </c:pt>
                <c:pt idx="370">
                  <c:v>12.5</c:v>
                </c:pt>
                <c:pt idx="371">
                  <c:v>12.6</c:v>
                </c:pt>
                <c:pt idx="372">
                  <c:v>12.6</c:v>
                </c:pt>
                <c:pt idx="373">
                  <c:v>12.7</c:v>
                </c:pt>
                <c:pt idx="374">
                  <c:v>12.7</c:v>
                </c:pt>
                <c:pt idx="375">
                  <c:v>12.8</c:v>
                </c:pt>
                <c:pt idx="376">
                  <c:v>12.9</c:v>
                </c:pt>
                <c:pt idx="377">
                  <c:v>12.9</c:v>
                </c:pt>
                <c:pt idx="378">
                  <c:v>13</c:v>
                </c:pt>
                <c:pt idx="379">
                  <c:v>13</c:v>
                </c:pt>
                <c:pt idx="380">
                  <c:v>13.1</c:v>
                </c:pt>
                <c:pt idx="381">
                  <c:v>13.1</c:v>
                </c:pt>
                <c:pt idx="382">
                  <c:v>13.2</c:v>
                </c:pt>
                <c:pt idx="383">
                  <c:v>13.2</c:v>
                </c:pt>
                <c:pt idx="384">
                  <c:v>13.3</c:v>
                </c:pt>
                <c:pt idx="385">
                  <c:v>13.3</c:v>
                </c:pt>
                <c:pt idx="386">
                  <c:v>13.3</c:v>
                </c:pt>
                <c:pt idx="387">
                  <c:v>13.4</c:v>
                </c:pt>
                <c:pt idx="388">
                  <c:v>13.4</c:v>
                </c:pt>
                <c:pt idx="389">
                  <c:v>13.5</c:v>
                </c:pt>
                <c:pt idx="390">
                  <c:v>13.5</c:v>
                </c:pt>
                <c:pt idx="391">
                  <c:v>13.6</c:v>
                </c:pt>
                <c:pt idx="392">
                  <c:v>13.6</c:v>
                </c:pt>
                <c:pt idx="393">
                  <c:v>13.6</c:v>
                </c:pt>
                <c:pt idx="394">
                  <c:v>13.7</c:v>
                </c:pt>
                <c:pt idx="395">
                  <c:v>13.7</c:v>
                </c:pt>
                <c:pt idx="396">
                  <c:v>13.8</c:v>
                </c:pt>
                <c:pt idx="397">
                  <c:v>13.8</c:v>
                </c:pt>
                <c:pt idx="398">
                  <c:v>13.8</c:v>
                </c:pt>
                <c:pt idx="399">
                  <c:v>13.9</c:v>
                </c:pt>
                <c:pt idx="400">
                  <c:v>14</c:v>
                </c:pt>
                <c:pt idx="401">
                  <c:v>14</c:v>
                </c:pt>
                <c:pt idx="402">
                  <c:v>14</c:v>
                </c:pt>
                <c:pt idx="403">
                  <c:v>14.1</c:v>
                </c:pt>
                <c:pt idx="404">
                  <c:v>14.1</c:v>
                </c:pt>
                <c:pt idx="405">
                  <c:v>14.1</c:v>
                </c:pt>
                <c:pt idx="406">
                  <c:v>14.2</c:v>
                </c:pt>
                <c:pt idx="407">
                  <c:v>14.2</c:v>
                </c:pt>
                <c:pt idx="408">
                  <c:v>14.2</c:v>
                </c:pt>
                <c:pt idx="409">
                  <c:v>14.3</c:v>
                </c:pt>
                <c:pt idx="410">
                  <c:v>14.3</c:v>
                </c:pt>
                <c:pt idx="411">
                  <c:v>14.3</c:v>
                </c:pt>
                <c:pt idx="412">
                  <c:v>14.4</c:v>
                </c:pt>
                <c:pt idx="413">
                  <c:v>14.4</c:v>
                </c:pt>
                <c:pt idx="414">
                  <c:v>14.4</c:v>
                </c:pt>
                <c:pt idx="415">
                  <c:v>14.5</c:v>
                </c:pt>
                <c:pt idx="416">
                  <c:v>14.5</c:v>
                </c:pt>
                <c:pt idx="417">
                  <c:v>14.5</c:v>
                </c:pt>
                <c:pt idx="418">
                  <c:v>14.6</c:v>
                </c:pt>
                <c:pt idx="419">
                  <c:v>14.6</c:v>
                </c:pt>
                <c:pt idx="420">
                  <c:v>14.6</c:v>
                </c:pt>
                <c:pt idx="421">
                  <c:v>14.7</c:v>
                </c:pt>
                <c:pt idx="422">
                  <c:v>14.7</c:v>
                </c:pt>
                <c:pt idx="423">
                  <c:v>14.7</c:v>
                </c:pt>
                <c:pt idx="424">
                  <c:v>14.8</c:v>
                </c:pt>
                <c:pt idx="425">
                  <c:v>14.8</c:v>
                </c:pt>
                <c:pt idx="426">
                  <c:v>14.8</c:v>
                </c:pt>
                <c:pt idx="427">
                  <c:v>14.9</c:v>
                </c:pt>
                <c:pt idx="428">
                  <c:v>14.9</c:v>
                </c:pt>
                <c:pt idx="429">
                  <c:v>14.9</c:v>
                </c:pt>
                <c:pt idx="430">
                  <c:v>14.9</c:v>
                </c:pt>
                <c:pt idx="431">
                  <c:v>15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15.1</c:v>
                </c:pt>
                <c:pt idx="436">
                  <c:v>15.1</c:v>
                </c:pt>
                <c:pt idx="437">
                  <c:v>15.1</c:v>
                </c:pt>
                <c:pt idx="438">
                  <c:v>15.2</c:v>
                </c:pt>
                <c:pt idx="439">
                  <c:v>15.2</c:v>
                </c:pt>
                <c:pt idx="440">
                  <c:v>15.2</c:v>
                </c:pt>
                <c:pt idx="441">
                  <c:v>15.2</c:v>
                </c:pt>
                <c:pt idx="442">
                  <c:v>15.3</c:v>
                </c:pt>
                <c:pt idx="443">
                  <c:v>15.3</c:v>
                </c:pt>
                <c:pt idx="444">
                  <c:v>15.3</c:v>
                </c:pt>
                <c:pt idx="445">
                  <c:v>15.3</c:v>
                </c:pt>
                <c:pt idx="446">
                  <c:v>15.4</c:v>
                </c:pt>
                <c:pt idx="447">
                  <c:v>15.4</c:v>
                </c:pt>
                <c:pt idx="448">
                  <c:v>15.4</c:v>
                </c:pt>
                <c:pt idx="449">
                  <c:v>15.4</c:v>
                </c:pt>
                <c:pt idx="450">
                  <c:v>15.5</c:v>
                </c:pt>
                <c:pt idx="451">
                  <c:v>15.5</c:v>
                </c:pt>
                <c:pt idx="452">
                  <c:v>15.5</c:v>
                </c:pt>
                <c:pt idx="453">
                  <c:v>15.5</c:v>
                </c:pt>
                <c:pt idx="454">
                  <c:v>15.6</c:v>
                </c:pt>
                <c:pt idx="455">
                  <c:v>15.6</c:v>
                </c:pt>
                <c:pt idx="456">
                  <c:v>15.6</c:v>
                </c:pt>
                <c:pt idx="457">
                  <c:v>15.6</c:v>
                </c:pt>
                <c:pt idx="458">
                  <c:v>15.7</c:v>
                </c:pt>
                <c:pt idx="459">
                  <c:v>15.7</c:v>
                </c:pt>
                <c:pt idx="460">
                  <c:v>15.7</c:v>
                </c:pt>
                <c:pt idx="461">
                  <c:v>15.7</c:v>
                </c:pt>
                <c:pt idx="462">
                  <c:v>15.7</c:v>
                </c:pt>
                <c:pt idx="463">
                  <c:v>15.7</c:v>
                </c:pt>
                <c:pt idx="464">
                  <c:v>15.8</c:v>
                </c:pt>
                <c:pt idx="465">
                  <c:v>15.8</c:v>
                </c:pt>
                <c:pt idx="466">
                  <c:v>15.8</c:v>
                </c:pt>
                <c:pt idx="467">
                  <c:v>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8C-49FB-B409-9B84A4A1CDEA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'100ml'!$AB$3:$AB$470</c:f>
              <c:numCache>
                <c:formatCode>General</c:formatCode>
                <c:ptCount val="4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</c:numCache>
            </c:numRef>
          </c:xVal>
          <c:yVal>
            <c:numRef>
              <c:f>'100ml'!$AG$3:$AG$470</c:f>
              <c:numCache>
                <c:formatCode>General</c:formatCode>
                <c:ptCount val="468"/>
                <c:pt idx="0">
                  <c:v>3.4</c:v>
                </c:pt>
                <c:pt idx="1">
                  <c:v>3.3</c:v>
                </c:pt>
                <c:pt idx="2">
                  <c:v>3</c:v>
                </c:pt>
                <c:pt idx="3">
                  <c:v>2.7</c:v>
                </c:pt>
                <c:pt idx="4">
                  <c:v>2.2999999999999998</c:v>
                </c:pt>
                <c:pt idx="5">
                  <c:v>1.9</c:v>
                </c:pt>
                <c:pt idx="6">
                  <c:v>1.6</c:v>
                </c:pt>
                <c:pt idx="7">
                  <c:v>1.1000000000000001</c:v>
                </c:pt>
                <c:pt idx="8">
                  <c:v>0.7</c:v>
                </c:pt>
                <c:pt idx="9">
                  <c:v>0.2</c:v>
                </c:pt>
                <c:pt idx="10">
                  <c:v>-0.6</c:v>
                </c:pt>
                <c:pt idx="11">
                  <c:v>-2.4</c:v>
                </c:pt>
                <c:pt idx="12">
                  <c:v>-6.8</c:v>
                </c:pt>
                <c:pt idx="13">
                  <c:v>-16.5</c:v>
                </c:pt>
                <c:pt idx="14">
                  <c:v>-32.799999999999997</c:v>
                </c:pt>
                <c:pt idx="15">
                  <c:v>-51.1</c:v>
                </c:pt>
                <c:pt idx="16">
                  <c:v>-67.5</c:v>
                </c:pt>
                <c:pt idx="17">
                  <c:v>-82.3</c:v>
                </c:pt>
                <c:pt idx="18">
                  <c:v>-96.8</c:v>
                </c:pt>
                <c:pt idx="19">
                  <c:v>-110.6</c:v>
                </c:pt>
                <c:pt idx="20">
                  <c:v>-121.8</c:v>
                </c:pt>
                <c:pt idx="21">
                  <c:v>-130.1</c:v>
                </c:pt>
                <c:pt idx="22">
                  <c:v>-135.9</c:v>
                </c:pt>
                <c:pt idx="23">
                  <c:v>-140.19999999999999</c:v>
                </c:pt>
                <c:pt idx="24">
                  <c:v>-145.4</c:v>
                </c:pt>
                <c:pt idx="25">
                  <c:v>-152</c:v>
                </c:pt>
                <c:pt idx="26">
                  <c:v>-158.69999999999999</c:v>
                </c:pt>
                <c:pt idx="27">
                  <c:v>-164</c:v>
                </c:pt>
                <c:pt idx="28">
                  <c:v>-168.2</c:v>
                </c:pt>
                <c:pt idx="29">
                  <c:v>-171.4</c:v>
                </c:pt>
                <c:pt idx="30">
                  <c:v>-173.6</c:v>
                </c:pt>
                <c:pt idx="31">
                  <c:v>-174.6</c:v>
                </c:pt>
                <c:pt idx="32">
                  <c:v>-175</c:v>
                </c:pt>
                <c:pt idx="33">
                  <c:v>-175.5</c:v>
                </c:pt>
                <c:pt idx="34">
                  <c:v>-176.3</c:v>
                </c:pt>
                <c:pt idx="35">
                  <c:v>-177.3</c:v>
                </c:pt>
                <c:pt idx="36">
                  <c:v>-178.1</c:v>
                </c:pt>
                <c:pt idx="37">
                  <c:v>-178</c:v>
                </c:pt>
                <c:pt idx="38">
                  <c:v>-177</c:v>
                </c:pt>
                <c:pt idx="39">
                  <c:v>-175.8</c:v>
                </c:pt>
                <c:pt idx="40">
                  <c:v>-174.4</c:v>
                </c:pt>
                <c:pt idx="41">
                  <c:v>-173.1</c:v>
                </c:pt>
                <c:pt idx="42">
                  <c:v>-171.7</c:v>
                </c:pt>
                <c:pt idx="43">
                  <c:v>-169.7</c:v>
                </c:pt>
                <c:pt idx="44">
                  <c:v>-166.9</c:v>
                </c:pt>
                <c:pt idx="45">
                  <c:v>-163.6</c:v>
                </c:pt>
                <c:pt idx="46">
                  <c:v>-161</c:v>
                </c:pt>
                <c:pt idx="47">
                  <c:v>-159.30000000000001</c:v>
                </c:pt>
                <c:pt idx="48">
                  <c:v>-158</c:v>
                </c:pt>
                <c:pt idx="49">
                  <c:v>-157.19999999999999</c:v>
                </c:pt>
                <c:pt idx="50">
                  <c:v>-156.6</c:v>
                </c:pt>
                <c:pt idx="51">
                  <c:v>-156.30000000000001</c:v>
                </c:pt>
                <c:pt idx="52">
                  <c:v>-156</c:v>
                </c:pt>
                <c:pt idx="53">
                  <c:v>-155.4</c:v>
                </c:pt>
                <c:pt idx="54">
                  <c:v>-154.69999999999999</c:v>
                </c:pt>
                <c:pt idx="55">
                  <c:v>-154.4</c:v>
                </c:pt>
                <c:pt idx="56">
                  <c:v>-154.1</c:v>
                </c:pt>
                <c:pt idx="57">
                  <c:v>-153.4</c:v>
                </c:pt>
                <c:pt idx="58">
                  <c:v>-152.6</c:v>
                </c:pt>
                <c:pt idx="59">
                  <c:v>-151.6</c:v>
                </c:pt>
                <c:pt idx="60">
                  <c:v>-150.9</c:v>
                </c:pt>
                <c:pt idx="61">
                  <c:v>-149.69999999999999</c:v>
                </c:pt>
                <c:pt idx="62">
                  <c:v>-147.80000000000001</c:v>
                </c:pt>
                <c:pt idx="63">
                  <c:v>-145.5</c:v>
                </c:pt>
                <c:pt idx="64">
                  <c:v>-143.6</c:v>
                </c:pt>
                <c:pt idx="65">
                  <c:v>-142.4</c:v>
                </c:pt>
                <c:pt idx="66">
                  <c:v>-141.19999999999999</c:v>
                </c:pt>
                <c:pt idx="67">
                  <c:v>-139.6</c:v>
                </c:pt>
                <c:pt idx="68">
                  <c:v>-138.1</c:v>
                </c:pt>
                <c:pt idx="69">
                  <c:v>-136.69999999999999</c:v>
                </c:pt>
                <c:pt idx="70">
                  <c:v>-135.6</c:v>
                </c:pt>
                <c:pt idx="71">
                  <c:v>-134.80000000000001</c:v>
                </c:pt>
                <c:pt idx="72">
                  <c:v>-134.19999999999999</c:v>
                </c:pt>
                <c:pt idx="73">
                  <c:v>-133.6</c:v>
                </c:pt>
                <c:pt idx="74">
                  <c:v>-133.1</c:v>
                </c:pt>
                <c:pt idx="75">
                  <c:v>-132.6</c:v>
                </c:pt>
                <c:pt idx="76">
                  <c:v>-132.4</c:v>
                </c:pt>
                <c:pt idx="77">
                  <c:v>-132.4</c:v>
                </c:pt>
                <c:pt idx="78">
                  <c:v>-132.5</c:v>
                </c:pt>
                <c:pt idx="79">
                  <c:v>-132.80000000000001</c:v>
                </c:pt>
                <c:pt idx="80">
                  <c:v>-132.80000000000001</c:v>
                </c:pt>
                <c:pt idx="81">
                  <c:v>-132.6</c:v>
                </c:pt>
                <c:pt idx="82">
                  <c:v>-132.30000000000001</c:v>
                </c:pt>
                <c:pt idx="83">
                  <c:v>-132</c:v>
                </c:pt>
                <c:pt idx="84">
                  <c:v>-131.9</c:v>
                </c:pt>
                <c:pt idx="85">
                  <c:v>-131.69999999999999</c:v>
                </c:pt>
                <c:pt idx="86">
                  <c:v>-131.6</c:v>
                </c:pt>
                <c:pt idx="87">
                  <c:v>-131.5</c:v>
                </c:pt>
                <c:pt idx="88">
                  <c:v>-131</c:v>
                </c:pt>
                <c:pt idx="89">
                  <c:v>-130.30000000000001</c:v>
                </c:pt>
                <c:pt idx="90">
                  <c:v>-129.19999999999999</c:v>
                </c:pt>
                <c:pt idx="91">
                  <c:v>-128</c:v>
                </c:pt>
                <c:pt idx="92">
                  <c:v>-126.8</c:v>
                </c:pt>
                <c:pt idx="93">
                  <c:v>-125.4</c:v>
                </c:pt>
                <c:pt idx="94">
                  <c:v>-123.6</c:v>
                </c:pt>
                <c:pt idx="95">
                  <c:v>-121.3</c:v>
                </c:pt>
                <c:pt idx="96">
                  <c:v>-118.8</c:v>
                </c:pt>
                <c:pt idx="97">
                  <c:v>-116.5</c:v>
                </c:pt>
                <c:pt idx="98">
                  <c:v>-114.3</c:v>
                </c:pt>
                <c:pt idx="99">
                  <c:v>-111.8</c:v>
                </c:pt>
                <c:pt idx="100">
                  <c:v>-109.2</c:v>
                </c:pt>
                <c:pt idx="101">
                  <c:v>-106.5</c:v>
                </c:pt>
                <c:pt idx="102">
                  <c:v>-104.1</c:v>
                </c:pt>
                <c:pt idx="103">
                  <c:v>-101.9</c:v>
                </c:pt>
                <c:pt idx="104">
                  <c:v>-99.6</c:v>
                </c:pt>
                <c:pt idx="105">
                  <c:v>-97.6</c:v>
                </c:pt>
                <c:pt idx="106">
                  <c:v>-95.8</c:v>
                </c:pt>
                <c:pt idx="107">
                  <c:v>-94.2</c:v>
                </c:pt>
                <c:pt idx="108">
                  <c:v>-92.8</c:v>
                </c:pt>
                <c:pt idx="109">
                  <c:v>-91.4</c:v>
                </c:pt>
                <c:pt idx="110">
                  <c:v>-89.9</c:v>
                </c:pt>
                <c:pt idx="111">
                  <c:v>-88.4</c:v>
                </c:pt>
                <c:pt idx="112">
                  <c:v>-87.1</c:v>
                </c:pt>
                <c:pt idx="113">
                  <c:v>-85.9</c:v>
                </c:pt>
                <c:pt idx="114">
                  <c:v>-84.7</c:v>
                </c:pt>
                <c:pt idx="115">
                  <c:v>-83.4</c:v>
                </c:pt>
                <c:pt idx="116">
                  <c:v>-81.900000000000006</c:v>
                </c:pt>
                <c:pt idx="117">
                  <c:v>-80.3</c:v>
                </c:pt>
                <c:pt idx="118">
                  <c:v>-78.599999999999994</c:v>
                </c:pt>
                <c:pt idx="119">
                  <c:v>-76.3</c:v>
                </c:pt>
                <c:pt idx="120">
                  <c:v>-73</c:v>
                </c:pt>
                <c:pt idx="121">
                  <c:v>-67.900000000000006</c:v>
                </c:pt>
                <c:pt idx="122">
                  <c:v>-59.5</c:v>
                </c:pt>
                <c:pt idx="123">
                  <c:v>-48.7</c:v>
                </c:pt>
                <c:pt idx="124">
                  <c:v>-37</c:v>
                </c:pt>
                <c:pt idx="125">
                  <c:v>-24.9</c:v>
                </c:pt>
                <c:pt idx="126">
                  <c:v>-11.9</c:v>
                </c:pt>
                <c:pt idx="127">
                  <c:v>1.2</c:v>
                </c:pt>
                <c:pt idx="128">
                  <c:v>14.4</c:v>
                </c:pt>
                <c:pt idx="129">
                  <c:v>28.9</c:v>
                </c:pt>
                <c:pt idx="130">
                  <c:v>46</c:v>
                </c:pt>
                <c:pt idx="131">
                  <c:v>76.599999999999994</c:v>
                </c:pt>
                <c:pt idx="132">
                  <c:v>146.80000000000001</c:v>
                </c:pt>
                <c:pt idx="133">
                  <c:v>234.7</c:v>
                </c:pt>
                <c:pt idx="134">
                  <c:v>301.5</c:v>
                </c:pt>
                <c:pt idx="135">
                  <c:v>351.3</c:v>
                </c:pt>
                <c:pt idx="136">
                  <c:v>394.7</c:v>
                </c:pt>
                <c:pt idx="137">
                  <c:v>436.1</c:v>
                </c:pt>
                <c:pt idx="138">
                  <c:v>475.4</c:v>
                </c:pt>
                <c:pt idx="139">
                  <c:v>510.1</c:v>
                </c:pt>
                <c:pt idx="140">
                  <c:v>540.5</c:v>
                </c:pt>
                <c:pt idx="141">
                  <c:v>567.20000000000005</c:v>
                </c:pt>
                <c:pt idx="142">
                  <c:v>589.1</c:v>
                </c:pt>
                <c:pt idx="143">
                  <c:v>608.20000000000005</c:v>
                </c:pt>
                <c:pt idx="144">
                  <c:v>626.4</c:v>
                </c:pt>
                <c:pt idx="145">
                  <c:v>643.4</c:v>
                </c:pt>
                <c:pt idx="146">
                  <c:v>658.5</c:v>
                </c:pt>
                <c:pt idx="147">
                  <c:v>673.7</c:v>
                </c:pt>
                <c:pt idx="148">
                  <c:v>686.5</c:v>
                </c:pt>
                <c:pt idx="149">
                  <c:v>697.5</c:v>
                </c:pt>
                <c:pt idx="150">
                  <c:v>711.4</c:v>
                </c:pt>
                <c:pt idx="151">
                  <c:v>723.9</c:v>
                </c:pt>
                <c:pt idx="152">
                  <c:v>729.5</c:v>
                </c:pt>
                <c:pt idx="153">
                  <c:v>737</c:v>
                </c:pt>
                <c:pt idx="154">
                  <c:v>744.1</c:v>
                </c:pt>
                <c:pt idx="155">
                  <c:v>750.5</c:v>
                </c:pt>
                <c:pt idx="156">
                  <c:v>757.5</c:v>
                </c:pt>
                <c:pt idx="157">
                  <c:v>765.1</c:v>
                </c:pt>
                <c:pt idx="158">
                  <c:v>770.1</c:v>
                </c:pt>
                <c:pt idx="159">
                  <c:v>774.8</c:v>
                </c:pt>
                <c:pt idx="160">
                  <c:v>779</c:v>
                </c:pt>
                <c:pt idx="161">
                  <c:v>778.5</c:v>
                </c:pt>
                <c:pt idx="162">
                  <c:v>775.7</c:v>
                </c:pt>
                <c:pt idx="163">
                  <c:v>775.1</c:v>
                </c:pt>
                <c:pt idx="164">
                  <c:v>774.5</c:v>
                </c:pt>
                <c:pt idx="165">
                  <c:v>773.6</c:v>
                </c:pt>
                <c:pt idx="166">
                  <c:v>772.6</c:v>
                </c:pt>
                <c:pt idx="167">
                  <c:v>767.1</c:v>
                </c:pt>
                <c:pt idx="168">
                  <c:v>759</c:v>
                </c:pt>
                <c:pt idx="169">
                  <c:v>743.4</c:v>
                </c:pt>
                <c:pt idx="170">
                  <c:v>729.8</c:v>
                </c:pt>
                <c:pt idx="171">
                  <c:v>722.4</c:v>
                </c:pt>
                <c:pt idx="172">
                  <c:v>717</c:v>
                </c:pt>
                <c:pt idx="173">
                  <c:v>707.5</c:v>
                </c:pt>
                <c:pt idx="174">
                  <c:v>675.2</c:v>
                </c:pt>
                <c:pt idx="175">
                  <c:v>630.1</c:v>
                </c:pt>
                <c:pt idx="176">
                  <c:v>585.5</c:v>
                </c:pt>
                <c:pt idx="177">
                  <c:v>539.70000000000005</c:v>
                </c:pt>
                <c:pt idx="178">
                  <c:v>492.2</c:v>
                </c:pt>
                <c:pt idx="179">
                  <c:v>444.9</c:v>
                </c:pt>
                <c:pt idx="180">
                  <c:v>398.6</c:v>
                </c:pt>
                <c:pt idx="181">
                  <c:v>342.3</c:v>
                </c:pt>
                <c:pt idx="182">
                  <c:v>262</c:v>
                </c:pt>
                <c:pt idx="183">
                  <c:v>176.6</c:v>
                </c:pt>
                <c:pt idx="184">
                  <c:v>116</c:v>
                </c:pt>
                <c:pt idx="185">
                  <c:v>81.099999999999994</c:v>
                </c:pt>
                <c:pt idx="186">
                  <c:v>61.3</c:v>
                </c:pt>
                <c:pt idx="187">
                  <c:v>49.5</c:v>
                </c:pt>
                <c:pt idx="188">
                  <c:v>44.7</c:v>
                </c:pt>
                <c:pt idx="189">
                  <c:v>56.8</c:v>
                </c:pt>
                <c:pt idx="190">
                  <c:v>66.5</c:v>
                </c:pt>
                <c:pt idx="191">
                  <c:v>64.2</c:v>
                </c:pt>
                <c:pt idx="192">
                  <c:v>44.1</c:v>
                </c:pt>
                <c:pt idx="193">
                  <c:v>29.2</c:v>
                </c:pt>
                <c:pt idx="194">
                  <c:v>27.5</c:v>
                </c:pt>
                <c:pt idx="195">
                  <c:v>27.3</c:v>
                </c:pt>
                <c:pt idx="196">
                  <c:v>27.2</c:v>
                </c:pt>
                <c:pt idx="197">
                  <c:v>27.1</c:v>
                </c:pt>
                <c:pt idx="198">
                  <c:v>27.1</c:v>
                </c:pt>
                <c:pt idx="199">
                  <c:v>27.1</c:v>
                </c:pt>
                <c:pt idx="200">
                  <c:v>27.2</c:v>
                </c:pt>
                <c:pt idx="201">
                  <c:v>27.4</c:v>
                </c:pt>
                <c:pt idx="202">
                  <c:v>27.5</c:v>
                </c:pt>
                <c:pt idx="203">
                  <c:v>27.6</c:v>
                </c:pt>
                <c:pt idx="204">
                  <c:v>27.7</c:v>
                </c:pt>
                <c:pt idx="205">
                  <c:v>31.2</c:v>
                </c:pt>
                <c:pt idx="206">
                  <c:v>52.5</c:v>
                </c:pt>
                <c:pt idx="207">
                  <c:v>65.7</c:v>
                </c:pt>
                <c:pt idx="208">
                  <c:v>65.599999999999994</c:v>
                </c:pt>
                <c:pt idx="209">
                  <c:v>61.6</c:v>
                </c:pt>
                <c:pt idx="210">
                  <c:v>58.8</c:v>
                </c:pt>
                <c:pt idx="211">
                  <c:v>57.9</c:v>
                </c:pt>
                <c:pt idx="212">
                  <c:v>57.4</c:v>
                </c:pt>
                <c:pt idx="213">
                  <c:v>57.7</c:v>
                </c:pt>
                <c:pt idx="214">
                  <c:v>58</c:v>
                </c:pt>
                <c:pt idx="215">
                  <c:v>57.6</c:v>
                </c:pt>
                <c:pt idx="216">
                  <c:v>57.6</c:v>
                </c:pt>
                <c:pt idx="217">
                  <c:v>57.6</c:v>
                </c:pt>
                <c:pt idx="218">
                  <c:v>57.2</c:v>
                </c:pt>
                <c:pt idx="219">
                  <c:v>56.8</c:v>
                </c:pt>
                <c:pt idx="220">
                  <c:v>56.4</c:v>
                </c:pt>
                <c:pt idx="221">
                  <c:v>56</c:v>
                </c:pt>
                <c:pt idx="222">
                  <c:v>55.4</c:v>
                </c:pt>
                <c:pt idx="223">
                  <c:v>54.8</c:v>
                </c:pt>
                <c:pt idx="224">
                  <c:v>54.9</c:v>
                </c:pt>
                <c:pt idx="225">
                  <c:v>55.2</c:v>
                </c:pt>
                <c:pt idx="226">
                  <c:v>56</c:v>
                </c:pt>
                <c:pt idx="227">
                  <c:v>56.3</c:v>
                </c:pt>
                <c:pt idx="228">
                  <c:v>56.8</c:v>
                </c:pt>
                <c:pt idx="229">
                  <c:v>56.9</c:v>
                </c:pt>
                <c:pt idx="230">
                  <c:v>56.9</c:v>
                </c:pt>
                <c:pt idx="231">
                  <c:v>57.5</c:v>
                </c:pt>
                <c:pt idx="232">
                  <c:v>58.2</c:v>
                </c:pt>
                <c:pt idx="233">
                  <c:v>59.1</c:v>
                </c:pt>
                <c:pt idx="234">
                  <c:v>59.1</c:v>
                </c:pt>
                <c:pt idx="235">
                  <c:v>59.4</c:v>
                </c:pt>
                <c:pt idx="236">
                  <c:v>59.7</c:v>
                </c:pt>
                <c:pt idx="237">
                  <c:v>59.8</c:v>
                </c:pt>
                <c:pt idx="238">
                  <c:v>59.8</c:v>
                </c:pt>
                <c:pt idx="239">
                  <c:v>59.5</c:v>
                </c:pt>
                <c:pt idx="240">
                  <c:v>58.1</c:v>
                </c:pt>
                <c:pt idx="241">
                  <c:v>57.2</c:v>
                </c:pt>
                <c:pt idx="242">
                  <c:v>57.6</c:v>
                </c:pt>
                <c:pt idx="243">
                  <c:v>58.7</c:v>
                </c:pt>
                <c:pt idx="244">
                  <c:v>58.5</c:v>
                </c:pt>
                <c:pt idx="245">
                  <c:v>58.5</c:v>
                </c:pt>
                <c:pt idx="246">
                  <c:v>58.7</c:v>
                </c:pt>
                <c:pt idx="247">
                  <c:v>59.7</c:v>
                </c:pt>
                <c:pt idx="248">
                  <c:v>60.5</c:v>
                </c:pt>
                <c:pt idx="249">
                  <c:v>60.4</c:v>
                </c:pt>
                <c:pt idx="250">
                  <c:v>60.1</c:v>
                </c:pt>
                <c:pt idx="251">
                  <c:v>60.5</c:v>
                </c:pt>
                <c:pt idx="252">
                  <c:v>61.1</c:v>
                </c:pt>
                <c:pt idx="253">
                  <c:v>61.5</c:v>
                </c:pt>
                <c:pt idx="254">
                  <c:v>61.9</c:v>
                </c:pt>
                <c:pt idx="255">
                  <c:v>61.5</c:v>
                </c:pt>
                <c:pt idx="256">
                  <c:v>61.5</c:v>
                </c:pt>
                <c:pt idx="257">
                  <c:v>61.5</c:v>
                </c:pt>
                <c:pt idx="258">
                  <c:v>61.4</c:v>
                </c:pt>
                <c:pt idx="259">
                  <c:v>61.6</c:v>
                </c:pt>
                <c:pt idx="260">
                  <c:v>61.5</c:v>
                </c:pt>
                <c:pt idx="261">
                  <c:v>61.4</c:v>
                </c:pt>
                <c:pt idx="262">
                  <c:v>60.5</c:v>
                </c:pt>
                <c:pt idx="263">
                  <c:v>60.5</c:v>
                </c:pt>
                <c:pt idx="264">
                  <c:v>60.4</c:v>
                </c:pt>
                <c:pt idx="265">
                  <c:v>60</c:v>
                </c:pt>
                <c:pt idx="266">
                  <c:v>58</c:v>
                </c:pt>
                <c:pt idx="267">
                  <c:v>57.5</c:v>
                </c:pt>
                <c:pt idx="268">
                  <c:v>59.5</c:v>
                </c:pt>
                <c:pt idx="269">
                  <c:v>61.6</c:v>
                </c:pt>
                <c:pt idx="270">
                  <c:v>61.6</c:v>
                </c:pt>
                <c:pt idx="271">
                  <c:v>61.5</c:v>
                </c:pt>
                <c:pt idx="272">
                  <c:v>61.4</c:v>
                </c:pt>
                <c:pt idx="273">
                  <c:v>60.5</c:v>
                </c:pt>
                <c:pt idx="274">
                  <c:v>58.5</c:v>
                </c:pt>
                <c:pt idx="275">
                  <c:v>58.2</c:v>
                </c:pt>
                <c:pt idx="276">
                  <c:v>57.7</c:v>
                </c:pt>
                <c:pt idx="277">
                  <c:v>57.5</c:v>
                </c:pt>
                <c:pt idx="278">
                  <c:v>57.8</c:v>
                </c:pt>
                <c:pt idx="279">
                  <c:v>57.1</c:v>
                </c:pt>
                <c:pt idx="280">
                  <c:v>56.5</c:v>
                </c:pt>
                <c:pt idx="281">
                  <c:v>57</c:v>
                </c:pt>
                <c:pt idx="282">
                  <c:v>57.4</c:v>
                </c:pt>
                <c:pt idx="283">
                  <c:v>57.7</c:v>
                </c:pt>
                <c:pt idx="284">
                  <c:v>57.5</c:v>
                </c:pt>
                <c:pt idx="285">
                  <c:v>57.5</c:v>
                </c:pt>
                <c:pt idx="286">
                  <c:v>57.8</c:v>
                </c:pt>
                <c:pt idx="287">
                  <c:v>57.8</c:v>
                </c:pt>
                <c:pt idx="288">
                  <c:v>57.7</c:v>
                </c:pt>
                <c:pt idx="289">
                  <c:v>56.6</c:v>
                </c:pt>
                <c:pt idx="290">
                  <c:v>55.6</c:v>
                </c:pt>
                <c:pt idx="291">
                  <c:v>54.4</c:v>
                </c:pt>
                <c:pt idx="292">
                  <c:v>53.8</c:v>
                </c:pt>
                <c:pt idx="293">
                  <c:v>53.5</c:v>
                </c:pt>
                <c:pt idx="294">
                  <c:v>53.4</c:v>
                </c:pt>
                <c:pt idx="295">
                  <c:v>53</c:v>
                </c:pt>
                <c:pt idx="296">
                  <c:v>52.6</c:v>
                </c:pt>
                <c:pt idx="297">
                  <c:v>52.6</c:v>
                </c:pt>
                <c:pt idx="298">
                  <c:v>52.8</c:v>
                </c:pt>
                <c:pt idx="299">
                  <c:v>53.8</c:v>
                </c:pt>
                <c:pt idx="300">
                  <c:v>54.9</c:v>
                </c:pt>
                <c:pt idx="301">
                  <c:v>54.7</c:v>
                </c:pt>
                <c:pt idx="302">
                  <c:v>54.4</c:v>
                </c:pt>
                <c:pt idx="303">
                  <c:v>54.7</c:v>
                </c:pt>
                <c:pt idx="304">
                  <c:v>55</c:v>
                </c:pt>
                <c:pt idx="305">
                  <c:v>55.1</c:v>
                </c:pt>
                <c:pt idx="306">
                  <c:v>55.1</c:v>
                </c:pt>
                <c:pt idx="307">
                  <c:v>54.6</c:v>
                </c:pt>
                <c:pt idx="308">
                  <c:v>55.1</c:v>
                </c:pt>
                <c:pt idx="309">
                  <c:v>55.1</c:v>
                </c:pt>
                <c:pt idx="310">
                  <c:v>54.6</c:v>
                </c:pt>
                <c:pt idx="311">
                  <c:v>54.3</c:v>
                </c:pt>
                <c:pt idx="312">
                  <c:v>53.8</c:v>
                </c:pt>
                <c:pt idx="313">
                  <c:v>53</c:v>
                </c:pt>
                <c:pt idx="314">
                  <c:v>53.4</c:v>
                </c:pt>
                <c:pt idx="315">
                  <c:v>53.8</c:v>
                </c:pt>
                <c:pt idx="316">
                  <c:v>53.9</c:v>
                </c:pt>
                <c:pt idx="317">
                  <c:v>54.7</c:v>
                </c:pt>
                <c:pt idx="318">
                  <c:v>55.5</c:v>
                </c:pt>
                <c:pt idx="319">
                  <c:v>55.6</c:v>
                </c:pt>
                <c:pt idx="320">
                  <c:v>55.7</c:v>
                </c:pt>
                <c:pt idx="321">
                  <c:v>55.8</c:v>
                </c:pt>
                <c:pt idx="322">
                  <c:v>55.3</c:v>
                </c:pt>
                <c:pt idx="323">
                  <c:v>54.3</c:v>
                </c:pt>
                <c:pt idx="324">
                  <c:v>54</c:v>
                </c:pt>
                <c:pt idx="325">
                  <c:v>53.9</c:v>
                </c:pt>
                <c:pt idx="326">
                  <c:v>54.1</c:v>
                </c:pt>
                <c:pt idx="327">
                  <c:v>54.2</c:v>
                </c:pt>
                <c:pt idx="328">
                  <c:v>54</c:v>
                </c:pt>
                <c:pt idx="329">
                  <c:v>54</c:v>
                </c:pt>
                <c:pt idx="330">
                  <c:v>54.4</c:v>
                </c:pt>
                <c:pt idx="331">
                  <c:v>54.6</c:v>
                </c:pt>
                <c:pt idx="332">
                  <c:v>53.9</c:v>
                </c:pt>
                <c:pt idx="333">
                  <c:v>52.3</c:v>
                </c:pt>
                <c:pt idx="334">
                  <c:v>51.6</c:v>
                </c:pt>
                <c:pt idx="335">
                  <c:v>51.5</c:v>
                </c:pt>
                <c:pt idx="336">
                  <c:v>51.9</c:v>
                </c:pt>
                <c:pt idx="337">
                  <c:v>53</c:v>
                </c:pt>
                <c:pt idx="338">
                  <c:v>53.6</c:v>
                </c:pt>
                <c:pt idx="339">
                  <c:v>53.9</c:v>
                </c:pt>
                <c:pt idx="340">
                  <c:v>54.2</c:v>
                </c:pt>
                <c:pt idx="341">
                  <c:v>53.9</c:v>
                </c:pt>
                <c:pt idx="342">
                  <c:v>53.6</c:v>
                </c:pt>
                <c:pt idx="343">
                  <c:v>54.1</c:v>
                </c:pt>
                <c:pt idx="344">
                  <c:v>53.9</c:v>
                </c:pt>
                <c:pt idx="345">
                  <c:v>53.6</c:v>
                </c:pt>
                <c:pt idx="346">
                  <c:v>53.5</c:v>
                </c:pt>
                <c:pt idx="347">
                  <c:v>53.6</c:v>
                </c:pt>
                <c:pt idx="348">
                  <c:v>53.9</c:v>
                </c:pt>
                <c:pt idx="349">
                  <c:v>53.8</c:v>
                </c:pt>
                <c:pt idx="350">
                  <c:v>53.5</c:v>
                </c:pt>
                <c:pt idx="351">
                  <c:v>53.5</c:v>
                </c:pt>
                <c:pt idx="352">
                  <c:v>53.8</c:v>
                </c:pt>
                <c:pt idx="353">
                  <c:v>53.9</c:v>
                </c:pt>
                <c:pt idx="354">
                  <c:v>53.9</c:v>
                </c:pt>
                <c:pt idx="355">
                  <c:v>54</c:v>
                </c:pt>
                <c:pt idx="356">
                  <c:v>54.2</c:v>
                </c:pt>
                <c:pt idx="357">
                  <c:v>54.6</c:v>
                </c:pt>
                <c:pt idx="358">
                  <c:v>54.4</c:v>
                </c:pt>
                <c:pt idx="359">
                  <c:v>54.3</c:v>
                </c:pt>
                <c:pt idx="360">
                  <c:v>54.2</c:v>
                </c:pt>
                <c:pt idx="361">
                  <c:v>54.2</c:v>
                </c:pt>
                <c:pt idx="362">
                  <c:v>54.3</c:v>
                </c:pt>
                <c:pt idx="363">
                  <c:v>54.6</c:v>
                </c:pt>
                <c:pt idx="364">
                  <c:v>54.5</c:v>
                </c:pt>
                <c:pt idx="365">
                  <c:v>54.7</c:v>
                </c:pt>
                <c:pt idx="366">
                  <c:v>54.1</c:v>
                </c:pt>
                <c:pt idx="367">
                  <c:v>53.3</c:v>
                </c:pt>
                <c:pt idx="368">
                  <c:v>53.8</c:v>
                </c:pt>
                <c:pt idx="369">
                  <c:v>53.9</c:v>
                </c:pt>
                <c:pt idx="370">
                  <c:v>53.8</c:v>
                </c:pt>
                <c:pt idx="371">
                  <c:v>54.5</c:v>
                </c:pt>
                <c:pt idx="372">
                  <c:v>55.4</c:v>
                </c:pt>
                <c:pt idx="373">
                  <c:v>54.6</c:v>
                </c:pt>
                <c:pt idx="374">
                  <c:v>53.9</c:v>
                </c:pt>
                <c:pt idx="375">
                  <c:v>53.7</c:v>
                </c:pt>
                <c:pt idx="376">
                  <c:v>54.2</c:v>
                </c:pt>
                <c:pt idx="377">
                  <c:v>54.7</c:v>
                </c:pt>
                <c:pt idx="378">
                  <c:v>54.7</c:v>
                </c:pt>
                <c:pt idx="379">
                  <c:v>54.7</c:v>
                </c:pt>
                <c:pt idx="380">
                  <c:v>54.8</c:v>
                </c:pt>
                <c:pt idx="381">
                  <c:v>54.8</c:v>
                </c:pt>
                <c:pt idx="382">
                  <c:v>54.8</c:v>
                </c:pt>
                <c:pt idx="383">
                  <c:v>55</c:v>
                </c:pt>
                <c:pt idx="384">
                  <c:v>55.2</c:v>
                </c:pt>
                <c:pt idx="385">
                  <c:v>55.7</c:v>
                </c:pt>
                <c:pt idx="386">
                  <c:v>55.7</c:v>
                </c:pt>
                <c:pt idx="387">
                  <c:v>54</c:v>
                </c:pt>
                <c:pt idx="388">
                  <c:v>53.1</c:v>
                </c:pt>
                <c:pt idx="389">
                  <c:v>52.6</c:v>
                </c:pt>
                <c:pt idx="390">
                  <c:v>52.2</c:v>
                </c:pt>
                <c:pt idx="391">
                  <c:v>51.1</c:v>
                </c:pt>
                <c:pt idx="392">
                  <c:v>50.7</c:v>
                </c:pt>
                <c:pt idx="393">
                  <c:v>50.8</c:v>
                </c:pt>
                <c:pt idx="394">
                  <c:v>50.9</c:v>
                </c:pt>
                <c:pt idx="395">
                  <c:v>50.9</c:v>
                </c:pt>
                <c:pt idx="396">
                  <c:v>50.9</c:v>
                </c:pt>
                <c:pt idx="397">
                  <c:v>51</c:v>
                </c:pt>
                <c:pt idx="398">
                  <c:v>51</c:v>
                </c:pt>
                <c:pt idx="399">
                  <c:v>50.4</c:v>
                </c:pt>
                <c:pt idx="400">
                  <c:v>50.2</c:v>
                </c:pt>
                <c:pt idx="401">
                  <c:v>50.2</c:v>
                </c:pt>
                <c:pt idx="402">
                  <c:v>50</c:v>
                </c:pt>
                <c:pt idx="403">
                  <c:v>49.5</c:v>
                </c:pt>
                <c:pt idx="404">
                  <c:v>48.6</c:v>
                </c:pt>
                <c:pt idx="405">
                  <c:v>48.1</c:v>
                </c:pt>
                <c:pt idx="406">
                  <c:v>48.4</c:v>
                </c:pt>
                <c:pt idx="407">
                  <c:v>48.8</c:v>
                </c:pt>
                <c:pt idx="408">
                  <c:v>49.2</c:v>
                </c:pt>
                <c:pt idx="409">
                  <c:v>49.3</c:v>
                </c:pt>
                <c:pt idx="410">
                  <c:v>49.4</c:v>
                </c:pt>
                <c:pt idx="411">
                  <c:v>49.4</c:v>
                </c:pt>
                <c:pt idx="412">
                  <c:v>49.2</c:v>
                </c:pt>
                <c:pt idx="413">
                  <c:v>49.1</c:v>
                </c:pt>
                <c:pt idx="414">
                  <c:v>48.8</c:v>
                </c:pt>
                <c:pt idx="415">
                  <c:v>48.6</c:v>
                </c:pt>
                <c:pt idx="416">
                  <c:v>48.7</c:v>
                </c:pt>
                <c:pt idx="417">
                  <c:v>48.9</c:v>
                </c:pt>
                <c:pt idx="418">
                  <c:v>49</c:v>
                </c:pt>
                <c:pt idx="419">
                  <c:v>49.2</c:v>
                </c:pt>
                <c:pt idx="420">
                  <c:v>49.6</c:v>
                </c:pt>
                <c:pt idx="421">
                  <c:v>49.8</c:v>
                </c:pt>
                <c:pt idx="422">
                  <c:v>49.9</c:v>
                </c:pt>
                <c:pt idx="423">
                  <c:v>50.1</c:v>
                </c:pt>
                <c:pt idx="424">
                  <c:v>49.8</c:v>
                </c:pt>
                <c:pt idx="425">
                  <c:v>49.6</c:v>
                </c:pt>
                <c:pt idx="426">
                  <c:v>49.5</c:v>
                </c:pt>
                <c:pt idx="427">
                  <c:v>49.2</c:v>
                </c:pt>
                <c:pt idx="428">
                  <c:v>49</c:v>
                </c:pt>
                <c:pt idx="429">
                  <c:v>48.5</c:v>
                </c:pt>
                <c:pt idx="430">
                  <c:v>47.9</c:v>
                </c:pt>
                <c:pt idx="431">
                  <c:v>48</c:v>
                </c:pt>
                <c:pt idx="432">
                  <c:v>48</c:v>
                </c:pt>
                <c:pt idx="433">
                  <c:v>47.9</c:v>
                </c:pt>
                <c:pt idx="434">
                  <c:v>48.3</c:v>
                </c:pt>
                <c:pt idx="435">
                  <c:v>48.7</c:v>
                </c:pt>
                <c:pt idx="436">
                  <c:v>48.9</c:v>
                </c:pt>
                <c:pt idx="437">
                  <c:v>49</c:v>
                </c:pt>
                <c:pt idx="438">
                  <c:v>49.2</c:v>
                </c:pt>
                <c:pt idx="439">
                  <c:v>49.7</c:v>
                </c:pt>
                <c:pt idx="440">
                  <c:v>50.1</c:v>
                </c:pt>
                <c:pt idx="441">
                  <c:v>49.4</c:v>
                </c:pt>
                <c:pt idx="442">
                  <c:v>48.9</c:v>
                </c:pt>
                <c:pt idx="443">
                  <c:v>48.5</c:v>
                </c:pt>
                <c:pt idx="444">
                  <c:v>47.8</c:v>
                </c:pt>
                <c:pt idx="445">
                  <c:v>47.5</c:v>
                </c:pt>
                <c:pt idx="446">
                  <c:v>47.3</c:v>
                </c:pt>
                <c:pt idx="447">
                  <c:v>47.3</c:v>
                </c:pt>
                <c:pt idx="448">
                  <c:v>47.4</c:v>
                </c:pt>
                <c:pt idx="449">
                  <c:v>47.4</c:v>
                </c:pt>
                <c:pt idx="450">
                  <c:v>47.5</c:v>
                </c:pt>
                <c:pt idx="451">
                  <c:v>47.5</c:v>
                </c:pt>
                <c:pt idx="452">
                  <c:v>47.7</c:v>
                </c:pt>
                <c:pt idx="453">
                  <c:v>47.6</c:v>
                </c:pt>
                <c:pt idx="454">
                  <c:v>47.6</c:v>
                </c:pt>
                <c:pt idx="455">
                  <c:v>47.6</c:v>
                </c:pt>
                <c:pt idx="456">
                  <c:v>47.4</c:v>
                </c:pt>
                <c:pt idx="457">
                  <c:v>47.5</c:v>
                </c:pt>
                <c:pt idx="458">
                  <c:v>47.6</c:v>
                </c:pt>
                <c:pt idx="459">
                  <c:v>47.6</c:v>
                </c:pt>
                <c:pt idx="460">
                  <c:v>47.2</c:v>
                </c:pt>
                <c:pt idx="461">
                  <c:v>47.1</c:v>
                </c:pt>
                <c:pt idx="462">
                  <c:v>47.4</c:v>
                </c:pt>
                <c:pt idx="463">
                  <c:v>47.7</c:v>
                </c:pt>
                <c:pt idx="464">
                  <c:v>47.9</c:v>
                </c:pt>
                <c:pt idx="465">
                  <c:v>47.8</c:v>
                </c:pt>
                <c:pt idx="466">
                  <c:v>47.7</c:v>
                </c:pt>
                <c:pt idx="467">
                  <c:v>47.7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8C-49FB-B409-9B84A4A1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018968"/>
        <c:axId val="653020408"/>
      </c:scatterChart>
      <c:valAx>
        <c:axId val="653018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20408"/>
        <c:crosses val="autoZero"/>
        <c:crossBetween val="midCat"/>
      </c:valAx>
      <c:valAx>
        <c:axId val="65302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18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HX711 Pressure Measurements - Bubbles Left Pressure 100ml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'100ml'!$AI$3:$AI$205</c:f>
              <c:numCache>
                <c:formatCode>General</c:formatCode>
                <c:ptCount val="2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</c:numCache>
            </c:numRef>
          </c:xVal>
          <c:yVal>
            <c:numRef>
              <c:f>'100ml'!$AJ$3:$AJ$205</c:f>
              <c:numCache>
                <c:formatCode>General</c:formatCode>
                <c:ptCount val="203"/>
                <c:pt idx="0">
                  <c:v>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1.7</c:v>
                </c:pt>
                <c:pt idx="5">
                  <c:v>1.8</c:v>
                </c:pt>
                <c:pt idx="6">
                  <c:v>2</c:v>
                </c:pt>
                <c:pt idx="7">
                  <c:v>2.1</c:v>
                </c:pt>
                <c:pt idx="8">
                  <c:v>2.2999999999999998</c:v>
                </c:pt>
                <c:pt idx="9">
                  <c:v>2.5</c:v>
                </c:pt>
                <c:pt idx="10">
                  <c:v>2.8</c:v>
                </c:pt>
                <c:pt idx="11">
                  <c:v>3.1</c:v>
                </c:pt>
                <c:pt idx="12">
                  <c:v>3.7</c:v>
                </c:pt>
                <c:pt idx="13">
                  <c:v>4.4000000000000004</c:v>
                </c:pt>
                <c:pt idx="14">
                  <c:v>5.2</c:v>
                </c:pt>
                <c:pt idx="15">
                  <c:v>6</c:v>
                </c:pt>
                <c:pt idx="16">
                  <c:v>6.8</c:v>
                </c:pt>
                <c:pt idx="17">
                  <c:v>7.9</c:v>
                </c:pt>
                <c:pt idx="18">
                  <c:v>9.6</c:v>
                </c:pt>
                <c:pt idx="19">
                  <c:v>12.7</c:v>
                </c:pt>
                <c:pt idx="20">
                  <c:v>18.3</c:v>
                </c:pt>
                <c:pt idx="21">
                  <c:v>26.4</c:v>
                </c:pt>
                <c:pt idx="22">
                  <c:v>39</c:v>
                </c:pt>
                <c:pt idx="23">
                  <c:v>84.6</c:v>
                </c:pt>
                <c:pt idx="24">
                  <c:v>156</c:v>
                </c:pt>
                <c:pt idx="25">
                  <c:v>203.3</c:v>
                </c:pt>
                <c:pt idx="26">
                  <c:v>241.9</c:v>
                </c:pt>
                <c:pt idx="27">
                  <c:v>280.7</c:v>
                </c:pt>
                <c:pt idx="28">
                  <c:v>322.60000000000002</c:v>
                </c:pt>
                <c:pt idx="29">
                  <c:v>364.4</c:v>
                </c:pt>
                <c:pt idx="30">
                  <c:v>402.6</c:v>
                </c:pt>
                <c:pt idx="31">
                  <c:v>437.1</c:v>
                </c:pt>
                <c:pt idx="32">
                  <c:v>464</c:v>
                </c:pt>
                <c:pt idx="33">
                  <c:v>485.8</c:v>
                </c:pt>
                <c:pt idx="34">
                  <c:v>504.8</c:v>
                </c:pt>
                <c:pt idx="35">
                  <c:v>520.29999999999995</c:v>
                </c:pt>
                <c:pt idx="36">
                  <c:v>530.29999999999995</c:v>
                </c:pt>
                <c:pt idx="37">
                  <c:v>538.5</c:v>
                </c:pt>
                <c:pt idx="38">
                  <c:v>548.20000000000005</c:v>
                </c:pt>
                <c:pt idx="39">
                  <c:v>563.79999999999995</c:v>
                </c:pt>
                <c:pt idx="40">
                  <c:v>578.29999999999995</c:v>
                </c:pt>
                <c:pt idx="41">
                  <c:v>589.5</c:v>
                </c:pt>
                <c:pt idx="42">
                  <c:v>599.20000000000005</c:v>
                </c:pt>
                <c:pt idx="43">
                  <c:v>608.5</c:v>
                </c:pt>
                <c:pt idx="44">
                  <c:v>617.20000000000005</c:v>
                </c:pt>
                <c:pt idx="45">
                  <c:v>624.20000000000005</c:v>
                </c:pt>
                <c:pt idx="46">
                  <c:v>631.5</c:v>
                </c:pt>
                <c:pt idx="47">
                  <c:v>636.70000000000005</c:v>
                </c:pt>
                <c:pt idx="48">
                  <c:v>638.6</c:v>
                </c:pt>
                <c:pt idx="49">
                  <c:v>639.6</c:v>
                </c:pt>
                <c:pt idx="50">
                  <c:v>642.20000000000005</c:v>
                </c:pt>
                <c:pt idx="51">
                  <c:v>642.9</c:v>
                </c:pt>
                <c:pt idx="52">
                  <c:v>644.70000000000005</c:v>
                </c:pt>
                <c:pt idx="53">
                  <c:v>646.20000000000005</c:v>
                </c:pt>
                <c:pt idx="54">
                  <c:v>641.29999999999995</c:v>
                </c:pt>
                <c:pt idx="55">
                  <c:v>634</c:v>
                </c:pt>
                <c:pt idx="56">
                  <c:v>637.79999999999995</c:v>
                </c:pt>
                <c:pt idx="57">
                  <c:v>653.20000000000005</c:v>
                </c:pt>
                <c:pt idx="58">
                  <c:v>671.3</c:v>
                </c:pt>
                <c:pt idx="59">
                  <c:v>688.8</c:v>
                </c:pt>
                <c:pt idx="60">
                  <c:v>703.1</c:v>
                </c:pt>
                <c:pt idx="61">
                  <c:v>713.9</c:v>
                </c:pt>
                <c:pt idx="62">
                  <c:v>721.3</c:v>
                </c:pt>
                <c:pt idx="63">
                  <c:v>731.4</c:v>
                </c:pt>
                <c:pt idx="64">
                  <c:v>741.5</c:v>
                </c:pt>
                <c:pt idx="65">
                  <c:v>748.8</c:v>
                </c:pt>
                <c:pt idx="66">
                  <c:v>753.7</c:v>
                </c:pt>
                <c:pt idx="67">
                  <c:v>760.6</c:v>
                </c:pt>
                <c:pt idx="68">
                  <c:v>761.9</c:v>
                </c:pt>
                <c:pt idx="69">
                  <c:v>774.8</c:v>
                </c:pt>
                <c:pt idx="70">
                  <c:v>781.9</c:v>
                </c:pt>
                <c:pt idx="71">
                  <c:v>739.9</c:v>
                </c:pt>
                <c:pt idx="72">
                  <c:v>687.8</c:v>
                </c:pt>
                <c:pt idx="73">
                  <c:v>640</c:v>
                </c:pt>
                <c:pt idx="74">
                  <c:v>588</c:v>
                </c:pt>
                <c:pt idx="75">
                  <c:v>502.8</c:v>
                </c:pt>
                <c:pt idx="76">
                  <c:v>376.7</c:v>
                </c:pt>
                <c:pt idx="77">
                  <c:v>268.10000000000002</c:v>
                </c:pt>
                <c:pt idx="78">
                  <c:v>192.2</c:v>
                </c:pt>
                <c:pt idx="79">
                  <c:v>140.1</c:v>
                </c:pt>
                <c:pt idx="80">
                  <c:v>114.1</c:v>
                </c:pt>
                <c:pt idx="81">
                  <c:v>104.1</c:v>
                </c:pt>
                <c:pt idx="82">
                  <c:v>99.1</c:v>
                </c:pt>
                <c:pt idx="83">
                  <c:v>94.6</c:v>
                </c:pt>
                <c:pt idx="84">
                  <c:v>91.1</c:v>
                </c:pt>
                <c:pt idx="85">
                  <c:v>88.6</c:v>
                </c:pt>
                <c:pt idx="86">
                  <c:v>86.8</c:v>
                </c:pt>
                <c:pt idx="87">
                  <c:v>85.4</c:v>
                </c:pt>
                <c:pt idx="88">
                  <c:v>84.4</c:v>
                </c:pt>
                <c:pt idx="89">
                  <c:v>83.6</c:v>
                </c:pt>
                <c:pt idx="90">
                  <c:v>82.9</c:v>
                </c:pt>
                <c:pt idx="91">
                  <c:v>82.4</c:v>
                </c:pt>
                <c:pt idx="92">
                  <c:v>81.900000000000006</c:v>
                </c:pt>
                <c:pt idx="93">
                  <c:v>81.599999999999994</c:v>
                </c:pt>
                <c:pt idx="94">
                  <c:v>81.3</c:v>
                </c:pt>
                <c:pt idx="95">
                  <c:v>80.900000000000006</c:v>
                </c:pt>
                <c:pt idx="96">
                  <c:v>80.5</c:v>
                </c:pt>
                <c:pt idx="97">
                  <c:v>80.099999999999994</c:v>
                </c:pt>
                <c:pt idx="98">
                  <c:v>79.900000000000006</c:v>
                </c:pt>
                <c:pt idx="99">
                  <c:v>79.8</c:v>
                </c:pt>
                <c:pt idx="100">
                  <c:v>79.8</c:v>
                </c:pt>
                <c:pt idx="101">
                  <c:v>79.7</c:v>
                </c:pt>
                <c:pt idx="102">
                  <c:v>79.8</c:v>
                </c:pt>
                <c:pt idx="103">
                  <c:v>79.8</c:v>
                </c:pt>
                <c:pt idx="104">
                  <c:v>79.8</c:v>
                </c:pt>
                <c:pt idx="105">
                  <c:v>79.8</c:v>
                </c:pt>
                <c:pt idx="106">
                  <c:v>79.900000000000006</c:v>
                </c:pt>
                <c:pt idx="107">
                  <c:v>79.900000000000006</c:v>
                </c:pt>
                <c:pt idx="108">
                  <c:v>79.900000000000006</c:v>
                </c:pt>
                <c:pt idx="109">
                  <c:v>79.900000000000006</c:v>
                </c:pt>
                <c:pt idx="110">
                  <c:v>79.900000000000006</c:v>
                </c:pt>
                <c:pt idx="111">
                  <c:v>79.900000000000006</c:v>
                </c:pt>
                <c:pt idx="112">
                  <c:v>79.900000000000006</c:v>
                </c:pt>
                <c:pt idx="113">
                  <c:v>79.900000000000006</c:v>
                </c:pt>
                <c:pt idx="114">
                  <c:v>80</c:v>
                </c:pt>
                <c:pt idx="115">
                  <c:v>80</c:v>
                </c:pt>
                <c:pt idx="116">
                  <c:v>79.900000000000006</c:v>
                </c:pt>
                <c:pt idx="117">
                  <c:v>79.900000000000006</c:v>
                </c:pt>
                <c:pt idx="118">
                  <c:v>79.8</c:v>
                </c:pt>
                <c:pt idx="119">
                  <c:v>79.900000000000006</c:v>
                </c:pt>
                <c:pt idx="120">
                  <c:v>79.900000000000006</c:v>
                </c:pt>
                <c:pt idx="121">
                  <c:v>80</c:v>
                </c:pt>
                <c:pt idx="122">
                  <c:v>80</c:v>
                </c:pt>
                <c:pt idx="123">
                  <c:v>80.099999999999994</c:v>
                </c:pt>
                <c:pt idx="124">
                  <c:v>80.099999999999994</c:v>
                </c:pt>
                <c:pt idx="125">
                  <c:v>80.099999999999994</c:v>
                </c:pt>
                <c:pt idx="126">
                  <c:v>80.2</c:v>
                </c:pt>
                <c:pt idx="127">
                  <c:v>80.3</c:v>
                </c:pt>
                <c:pt idx="128">
                  <c:v>80.3</c:v>
                </c:pt>
                <c:pt idx="129">
                  <c:v>80.3</c:v>
                </c:pt>
                <c:pt idx="130">
                  <c:v>80.400000000000006</c:v>
                </c:pt>
                <c:pt idx="131">
                  <c:v>80.400000000000006</c:v>
                </c:pt>
                <c:pt idx="132">
                  <c:v>80.5</c:v>
                </c:pt>
                <c:pt idx="133">
                  <c:v>80.5</c:v>
                </c:pt>
                <c:pt idx="134">
                  <c:v>80.599999999999994</c:v>
                </c:pt>
                <c:pt idx="135">
                  <c:v>80.599999999999994</c:v>
                </c:pt>
                <c:pt idx="136">
                  <c:v>80.599999999999994</c:v>
                </c:pt>
                <c:pt idx="137">
                  <c:v>80.7</c:v>
                </c:pt>
                <c:pt idx="138">
                  <c:v>80.7</c:v>
                </c:pt>
                <c:pt idx="139">
                  <c:v>80.8</c:v>
                </c:pt>
                <c:pt idx="140">
                  <c:v>80.8</c:v>
                </c:pt>
                <c:pt idx="141">
                  <c:v>80.8</c:v>
                </c:pt>
                <c:pt idx="142">
                  <c:v>80.900000000000006</c:v>
                </c:pt>
                <c:pt idx="143">
                  <c:v>80.900000000000006</c:v>
                </c:pt>
                <c:pt idx="144">
                  <c:v>80.900000000000006</c:v>
                </c:pt>
                <c:pt idx="145">
                  <c:v>81</c:v>
                </c:pt>
                <c:pt idx="146">
                  <c:v>81</c:v>
                </c:pt>
                <c:pt idx="147">
                  <c:v>81</c:v>
                </c:pt>
                <c:pt idx="148">
                  <c:v>81.099999999999994</c:v>
                </c:pt>
                <c:pt idx="149">
                  <c:v>81.099999999999994</c:v>
                </c:pt>
                <c:pt idx="150">
                  <c:v>81.099999999999994</c:v>
                </c:pt>
                <c:pt idx="151">
                  <c:v>81.2</c:v>
                </c:pt>
                <c:pt idx="152">
                  <c:v>81.2</c:v>
                </c:pt>
                <c:pt idx="153">
                  <c:v>81.2</c:v>
                </c:pt>
                <c:pt idx="154">
                  <c:v>81.3</c:v>
                </c:pt>
                <c:pt idx="155">
                  <c:v>81.3</c:v>
                </c:pt>
                <c:pt idx="156">
                  <c:v>81.400000000000006</c:v>
                </c:pt>
                <c:pt idx="157">
                  <c:v>81.400000000000006</c:v>
                </c:pt>
                <c:pt idx="158">
                  <c:v>81.400000000000006</c:v>
                </c:pt>
                <c:pt idx="159">
                  <c:v>81.400000000000006</c:v>
                </c:pt>
                <c:pt idx="160">
                  <c:v>81.5</c:v>
                </c:pt>
                <c:pt idx="161">
                  <c:v>81.5</c:v>
                </c:pt>
                <c:pt idx="162">
                  <c:v>81.5</c:v>
                </c:pt>
                <c:pt idx="163">
                  <c:v>81.599999999999994</c:v>
                </c:pt>
                <c:pt idx="164">
                  <c:v>81.599999999999994</c:v>
                </c:pt>
                <c:pt idx="165">
                  <c:v>81.599999999999994</c:v>
                </c:pt>
                <c:pt idx="166">
                  <c:v>81.599999999999994</c:v>
                </c:pt>
                <c:pt idx="167">
                  <c:v>81.7</c:v>
                </c:pt>
                <c:pt idx="168">
                  <c:v>81.7</c:v>
                </c:pt>
                <c:pt idx="169">
                  <c:v>81.7</c:v>
                </c:pt>
                <c:pt idx="170">
                  <c:v>81.8</c:v>
                </c:pt>
                <c:pt idx="171">
                  <c:v>81.8</c:v>
                </c:pt>
                <c:pt idx="172">
                  <c:v>81.8</c:v>
                </c:pt>
                <c:pt idx="173">
                  <c:v>81.8</c:v>
                </c:pt>
                <c:pt idx="174">
                  <c:v>81.8</c:v>
                </c:pt>
                <c:pt idx="175">
                  <c:v>81.900000000000006</c:v>
                </c:pt>
                <c:pt idx="176">
                  <c:v>81.900000000000006</c:v>
                </c:pt>
                <c:pt idx="177">
                  <c:v>82</c:v>
                </c:pt>
                <c:pt idx="178">
                  <c:v>82</c:v>
                </c:pt>
                <c:pt idx="179">
                  <c:v>82</c:v>
                </c:pt>
                <c:pt idx="180">
                  <c:v>82</c:v>
                </c:pt>
                <c:pt idx="181">
                  <c:v>82</c:v>
                </c:pt>
                <c:pt idx="182">
                  <c:v>82.1</c:v>
                </c:pt>
                <c:pt idx="183">
                  <c:v>82.1</c:v>
                </c:pt>
                <c:pt idx="184">
                  <c:v>82.1</c:v>
                </c:pt>
                <c:pt idx="185">
                  <c:v>82.1</c:v>
                </c:pt>
                <c:pt idx="186">
                  <c:v>82.2</c:v>
                </c:pt>
                <c:pt idx="187">
                  <c:v>82.2</c:v>
                </c:pt>
                <c:pt idx="188">
                  <c:v>82.2</c:v>
                </c:pt>
                <c:pt idx="189">
                  <c:v>82.2</c:v>
                </c:pt>
                <c:pt idx="190">
                  <c:v>82.2</c:v>
                </c:pt>
                <c:pt idx="191">
                  <c:v>82.3</c:v>
                </c:pt>
                <c:pt idx="192">
                  <c:v>82.3</c:v>
                </c:pt>
                <c:pt idx="193">
                  <c:v>82.3</c:v>
                </c:pt>
                <c:pt idx="194">
                  <c:v>82.3</c:v>
                </c:pt>
                <c:pt idx="195">
                  <c:v>82.3</c:v>
                </c:pt>
                <c:pt idx="196">
                  <c:v>82.4</c:v>
                </c:pt>
                <c:pt idx="197">
                  <c:v>82.4</c:v>
                </c:pt>
                <c:pt idx="198">
                  <c:v>82.4</c:v>
                </c:pt>
                <c:pt idx="199">
                  <c:v>82.4</c:v>
                </c:pt>
                <c:pt idx="200">
                  <c:v>82.4</c:v>
                </c:pt>
                <c:pt idx="201">
                  <c:v>82.4</c:v>
                </c:pt>
                <c:pt idx="202">
                  <c:v>82.5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7-41BC-9BAC-F9E3E9EAF33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'100ml'!$AI$3:$AI$205</c:f>
              <c:numCache>
                <c:formatCode>General</c:formatCode>
                <c:ptCount val="2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</c:numCache>
            </c:numRef>
          </c:xVal>
          <c:yVal>
            <c:numRef>
              <c:f>'100ml'!$AK$3:$AK$205</c:f>
              <c:numCache>
                <c:formatCode>General</c:formatCode>
                <c:ptCount val="203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1.1000000000000001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2</c:v>
                </c:pt>
                <c:pt idx="9">
                  <c:v>3</c:v>
                </c:pt>
                <c:pt idx="10">
                  <c:v>5.4</c:v>
                </c:pt>
                <c:pt idx="11">
                  <c:v>9.8000000000000007</c:v>
                </c:pt>
                <c:pt idx="12">
                  <c:v>17</c:v>
                </c:pt>
                <c:pt idx="13">
                  <c:v>27</c:v>
                </c:pt>
                <c:pt idx="14">
                  <c:v>39.1</c:v>
                </c:pt>
                <c:pt idx="15">
                  <c:v>54.1</c:v>
                </c:pt>
                <c:pt idx="16">
                  <c:v>79.099999999999994</c:v>
                </c:pt>
                <c:pt idx="17">
                  <c:v>141.69999999999999</c:v>
                </c:pt>
                <c:pt idx="18">
                  <c:v>244.1</c:v>
                </c:pt>
                <c:pt idx="19">
                  <c:v>330.6</c:v>
                </c:pt>
                <c:pt idx="20">
                  <c:v>392</c:v>
                </c:pt>
                <c:pt idx="21">
                  <c:v>438.8</c:v>
                </c:pt>
                <c:pt idx="22">
                  <c:v>474.1</c:v>
                </c:pt>
                <c:pt idx="23">
                  <c:v>501</c:v>
                </c:pt>
                <c:pt idx="24">
                  <c:v>521.5</c:v>
                </c:pt>
                <c:pt idx="25">
                  <c:v>534.79999999999995</c:v>
                </c:pt>
                <c:pt idx="26">
                  <c:v>544</c:v>
                </c:pt>
                <c:pt idx="27">
                  <c:v>555.6</c:v>
                </c:pt>
                <c:pt idx="28">
                  <c:v>568.79999999999995</c:v>
                </c:pt>
                <c:pt idx="29">
                  <c:v>580.9</c:v>
                </c:pt>
                <c:pt idx="30">
                  <c:v>598.1</c:v>
                </c:pt>
                <c:pt idx="31">
                  <c:v>618.29999999999995</c:v>
                </c:pt>
                <c:pt idx="32">
                  <c:v>637.4</c:v>
                </c:pt>
                <c:pt idx="33">
                  <c:v>652.9</c:v>
                </c:pt>
                <c:pt idx="34">
                  <c:v>659.3</c:v>
                </c:pt>
                <c:pt idx="35">
                  <c:v>660.5</c:v>
                </c:pt>
                <c:pt idx="36">
                  <c:v>658.7</c:v>
                </c:pt>
                <c:pt idx="37">
                  <c:v>653.70000000000005</c:v>
                </c:pt>
                <c:pt idx="38">
                  <c:v>649.9</c:v>
                </c:pt>
                <c:pt idx="39">
                  <c:v>645.1</c:v>
                </c:pt>
                <c:pt idx="40">
                  <c:v>640</c:v>
                </c:pt>
                <c:pt idx="41">
                  <c:v>639.6</c:v>
                </c:pt>
                <c:pt idx="42">
                  <c:v>642.9</c:v>
                </c:pt>
                <c:pt idx="43">
                  <c:v>643.29999999999995</c:v>
                </c:pt>
                <c:pt idx="44">
                  <c:v>640.20000000000005</c:v>
                </c:pt>
                <c:pt idx="45">
                  <c:v>632.79999999999995</c:v>
                </c:pt>
                <c:pt idx="46">
                  <c:v>621.79999999999995</c:v>
                </c:pt>
                <c:pt idx="47">
                  <c:v>610.70000000000005</c:v>
                </c:pt>
                <c:pt idx="48">
                  <c:v>603.1</c:v>
                </c:pt>
                <c:pt idx="49">
                  <c:v>595.1</c:v>
                </c:pt>
                <c:pt idx="50">
                  <c:v>583.6</c:v>
                </c:pt>
                <c:pt idx="51">
                  <c:v>574.5</c:v>
                </c:pt>
                <c:pt idx="52">
                  <c:v>571.4</c:v>
                </c:pt>
                <c:pt idx="53">
                  <c:v>566.1</c:v>
                </c:pt>
                <c:pt idx="54">
                  <c:v>554.1</c:v>
                </c:pt>
                <c:pt idx="55">
                  <c:v>547.9</c:v>
                </c:pt>
                <c:pt idx="56">
                  <c:v>557.29999999999995</c:v>
                </c:pt>
                <c:pt idx="57">
                  <c:v>569.20000000000005</c:v>
                </c:pt>
                <c:pt idx="58">
                  <c:v>571.1</c:v>
                </c:pt>
                <c:pt idx="59">
                  <c:v>568.29999999999995</c:v>
                </c:pt>
                <c:pt idx="60">
                  <c:v>565.4</c:v>
                </c:pt>
                <c:pt idx="61">
                  <c:v>562.1</c:v>
                </c:pt>
                <c:pt idx="62">
                  <c:v>562.4</c:v>
                </c:pt>
                <c:pt idx="63">
                  <c:v>564</c:v>
                </c:pt>
                <c:pt idx="64">
                  <c:v>550.4</c:v>
                </c:pt>
                <c:pt idx="65">
                  <c:v>537.79999999999995</c:v>
                </c:pt>
                <c:pt idx="66">
                  <c:v>551.4</c:v>
                </c:pt>
                <c:pt idx="67">
                  <c:v>587.4</c:v>
                </c:pt>
                <c:pt idx="68">
                  <c:v>625.79999999999995</c:v>
                </c:pt>
                <c:pt idx="69">
                  <c:v>613.79999999999995</c:v>
                </c:pt>
                <c:pt idx="70">
                  <c:v>562.70000000000005</c:v>
                </c:pt>
                <c:pt idx="71">
                  <c:v>509.8</c:v>
                </c:pt>
                <c:pt idx="72">
                  <c:v>459.4</c:v>
                </c:pt>
                <c:pt idx="73">
                  <c:v>411.1</c:v>
                </c:pt>
                <c:pt idx="74">
                  <c:v>365.3</c:v>
                </c:pt>
                <c:pt idx="75">
                  <c:v>322.5</c:v>
                </c:pt>
                <c:pt idx="76">
                  <c:v>283.3</c:v>
                </c:pt>
                <c:pt idx="77">
                  <c:v>248.1</c:v>
                </c:pt>
                <c:pt idx="78">
                  <c:v>217</c:v>
                </c:pt>
                <c:pt idx="79">
                  <c:v>189.7</c:v>
                </c:pt>
                <c:pt idx="80">
                  <c:v>165.4</c:v>
                </c:pt>
                <c:pt idx="81">
                  <c:v>143.6</c:v>
                </c:pt>
                <c:pt idx="82">
                  <c:v>124.7</c:v>
                </c:pt>
                <c:pt idx="83">
                  <c:v>108.4</c:v>
                </c:pt>
                <c:pt idx="84">
                  <c:v>93.8</c:v>
                </c:pt>
                <c:pt idx="85">
                  <c:v>79</c:v>
                </c:pt>
                <c:pt idx="86">
                  <c:v>66.5</c:v>
                </c:pt>
                <c:pt idx="87">
                  <c:v>59.7</c:v>
                </c:pt>
                <c:pt idx="88">
                  <c:v>57.1</c:v>
                </c:pt>
                <c:pt idx="89">
                  <c:v>55.5</c:v>
                </c:pt>
                <c:pt idx="90">
                  <c:v>54.4</c:v>
                </c:pt>
                <c:pt idx="91">
                  <c:v>53.5</c:v>
                </c:pt>
                <c:pt idx="92">
                  <c:v>52.8</c:v>
                </c:pt>
                <c:pt idx="93">
                  <c:v>52.3</c:v>
                </c:pt>
                <c:pt idx="94">
                  <c:v>51.9</c:v>
                </c:pt>
                <c:pt idx="95">
                  <c:v>51.7</c:v>
                </c:pt>
                <c:pt idx="96">
                  <c:v>51.5</c:v>
                </c:pt>
                <c:pt idx="97">
                  <c:v>51.3</c:v>
                </c:pt>
                <c:pt idx="98">
                  <c:v>51.1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51.1</c:v>
                </c:pt>
                <c:pt idx="103">
                  <c:v>51.2</c:v>
                </c:pt>
                <c:pt idx="104">
                  <c:v>51.2</c:v>
                </c:pt>
                <c:pt idx="105">
                  <c:v>51.3</c:v>
                </c:pt>
                <c:pt idx="106">
                  <c:v>51.4</c:v>
                </c:pt>
                <c:pt idx="107">
                  <c:v>51.4</c:v>
                </c:pt>
                <c:pt idx="108">
                  <c:v>51.5</c:v>
                </c:pt>
                <c:pt idx="109">
                  <c:v>51.6</c:v>
                </c:pt>
                <c:pt idx="110">
                  <c:v>51.6</c:v>
                </c:pt>
                <c:pt idx="111">
                  <c:v>51.7</c:v>
                </c:pt>
                <c:pt idx="112">
                  <c:v>51.8</c:v>
                </c:pt>
                <c:pt idx="113">
                  <c:v>51.8</c:v>
                </c:pt>
                <c:pt idx="114">
                  <c:v>51.9</c:v>
                </c:pt>
                <c:pt idx="115">
                  <c:v>52</c:v>
                </c:pt>
                <c:pt idx="116">
                  <c:v>52.1</c:v>
                </c:pt>
                <c:pt idx="117">
                  <c:v>52.2</c:v>
                </c:pt>
                <c:pt idx="118">
                  <c:v>52.3</c:v>
                </c:pt>
                <c:pt idx="119">
                  <c:v>52.3</c:v>
                </c:pt>
                <c:pt idx="120">
                  <c:v>52.5</c:v>
                </c:pt>
                <c:pt idx="121">
                  <c:v>52.5</c:v>
                </c:pt>
                <c:pt idx="122">
                  <c:v>52.6</c:v>
                </c:pt>
                <c:pt idx="123">
                  <c:v>52.7</c:v>
                </c:pt>
                <c:pt idx="124">
                  <c:v>52.8</c:v>
                </c:pt>
                <c:pt idx="125">
                  <c:v>52.8</c:v>
                </c:pt>
                <c:pt idx="126">
                  <c:v>52.9</c:v>
                </c:pt>
                <c:pt idx="127">
                  <c:v>53</c:v>
                </c:pt>
                <c:pt idx="128">
                  <c:v>53.1</c:v>
                </c:pt>
                <c:pt idx="129">
                  <c:v>53.1</c:v>
                </c:pt>
                <c:pt idx="130">
                  <c:v>53.2</c:v>
                </c:pt>
                <c:pt idx="131">
                  <c:v>53.3</c:v>
                </c:pt>
                <c:pt idx="132">
                  <c:v>53.4</c:v>
                </c:pt>
                <c:pt idx="133">
                  <c:v>53.5</c:v>
                </c:pt>
                <c:pt idx="134">
                  <c:v>53.6</c:v>
                </c:pt>
                <c:pt idx="135">
                  <c:v>53.6</c:v>
                </c:pt>
                <c:pt idx="136">
                  <c:v>53.7</c:v>
                </c:pt>
                <c:pt idx="137">
                  <c:v>53.8</c:v>
                </c:pt>
                <c:pt idx="138">
                  <c:v>53.9</c:v>
                </c:pt>
                <c:pt idx="139">
                  <c:v>53.9</c:v>
                </c:pt>
                <c:pt idx="140">
                  <c:v>54</c:v>
                </c:pt>
                <c:pt idx="141">
                  <c:v>54.1</c:v>
                </c:pt>
                <c:pt idx="142">
                  <c:v>54.2</c:v>
                </c:pt>
                <c:pt idx="143">
                  <c:v>54.2</c:v>
                </c:pt>
                <c:pt idx="144">
                  <c:v>54.3</c:v>
                </c:pt>
                <c:pt idx="145">
                  <c:v>54.4</c:v>
                </c:pt>
                <c:pt idx="146">
                  <c:v>54.4</c:v>
                </c:pt>
                <c:pt idx="147">
                  <c:v>54.5</c:v>
                </c:pt>
                <c:pt idx="148">
                  <c:v>54.6</c:v>
                </c:pt>
                <c:pt idx="149">
                  <c:v>54.7</c:v>
                </c:pt>
                <c:pt idx="150">
                  <c:v>54.7</c:v>
                </c:pt>
                <c:pt idx="151">
                  <c:v>54.8</c:v>
                </c:pt>
                <c:pt idx="152">
                  <c:v>54.9</c:v>
                </c:pt>
                <c:pt idx="153">
                  <c:v>54.9</c:v>
                </c:pt>
                <c:pt idx="154">
                  <c:v>55</c:v>
                </c:pt>
                <c:pt idx="155">
                  <c:v>55.1</c:v>
                </c:pt>
                <c:pt idx="156">
                  <c:v>55.1</c:v>
                </c:pt>
                <c:pt idx="157">
                  <c:v>55.2</c:v>
                </c:pt>
                <c:pt idx="158">
                  <c:v>55.2</c:v>
                </c:pt>
                <c:pt idx="159">
                  <c:v>55.3</c:v>
                </c:pt>
                <c:pt idx="160">
                  <c:v>55.4</c:v>
                </c:pt>
                <c:pt idx="161">
                  <c:v>55.4</c:v>
                </c:pt>
                <c:pt idx="162">
                  <c:v>55.6</c:v>
                </c:pt>
                <c:pt idx="163">
                  <c:v>55.6</c:v>
                </c:pt>
                <c:pt idx="164">
                  <c:v>55.7</c:v>
                </c:pt>
                <c:pt idx="165">
                  <c:v>55.7</c:v>
                </c:pt>
                <c:pt idx="166">
                  <c:v>55.8</c:v>
                </c:pt>
                <c:pt idx="167">
                  <c:v>55.9</c:v>
                </c:pt>
                <c:pt idx="168">
                  <c:v>55.9</c:v>
                </c:pt>
                <c:pt idx="169">
                  <c:v>56</c:v>
                </c:pt>
                <c:pt idx="170">
                  <c:v>56</c:v>
                </c:pt>
                <c:pt idx="171">
                  <c:v>56.1</c:v>
                </c:pt>
                <c:pt idx="172">
                  <c:v>56.1</c:v>
                </c:pt>
                <c:pt idx="173">
                  <c:v>56.2</c:v>
                </c:pt>
                <c:pt idx="174">
                  <c:v>56.3</c:v>
                </c:pt>
                <c:pt idx="175">
                  <c:v>56.3</c:v>
                </c:pt>
                <c:pt idx="176">
                  <c:v>56.3</c:v>
                </c:pt>
                <c:pt idx="177">
                  <c:v>56.4</c:v>
                </c:pt>
                <c:pt idx="178">
                  <c:v>56.4</c:v>
                </c:pt>
                <c:pt idx="179">
                  <c:v>56.5</c:v>
                </c:pt>
                <c:pt idx="180">
                  <c:v>56.5</c:v>
                </c:pt>
                <c:pt idx="181">
                  <c:v>56.6</c:v>
                </c:pt>
                <c:pt idx="182">
                  <c:v>56.6</c:v>
                </c:pt>
                <c:pt idx="183">
                  <c:v>56.7</c:v>
                </c:pt>
                <c:pt idx="184">
                  <c:v>56.7</c:v>
                </c:pt>
                <c:pt idx="185">
                  <c:v>56.8</c:v>
                </c:pt>
                <c:pt idx="186">
                  <c:v>56.8</c:v>
                </c:pt>
                <c:pt idx="187">
                  <c:v>56.9</c:v>
                </c:pt>
                <c:pt idx="188">
                  <c:v>56.9</c:v>
                </c:pt>
                <c:pt idx="189">
                  <c:v>56.9</c:v>
                </c:pt>
                <c:pt idx="190">
                  <c:v>57</c:v>
                </c:pt>
                <c:pt idx="191">
                  <c:v>57</c:v>
                </c:pt>
                <c:pt idx="192">
                  <c:v>57.1</c:v>
                </c:pt>
                <c:pt idx="193">
                  <c:v>57.1</c:v>
                </c:pt>
                <c:pt idx="194">
                  <c:v>57.2</c:v>
                </c:pt>
                <c:pt idx="195">
                  <c:v>57.2</c:v>
                </c:pt>
                <c:pt idx="196">
                  <c:v>57.2</c:v>
                </c:pt>
                <c:pt idx="197">
                  <c:v>57.3</c:v>
                </c:pt>
                <c:pt idx="198">
                  <c:v>57.3</c:v>
                </c:pt>
                <c:pt idx="199">
                  <c:v>57.4</c:v>
                </c:pt>
                <c:pt idx="200">
                  <c:v>57.4</c:v>
                </c:pt>
                <c:pt idx="201">
                  <c:v>57.4</c:v>
                </c:pt>
                <c:pt idx="202">
                  <c:v>57.5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7-41BC-9BAC-F9E3E9EAF332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'100ml'!$AI$3:$AI$205</c:f>
              <c:numCache>
                <c:formatCode>General</c:formatCode>
                <c:ptCount val="2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</c:numCache>
            </c:numRef>
          </c:xVal>
          <c:yVal>
            <c:numRef>
              <c:f>'100ml'!$AL$3:$AL$205</c:f>
              <c:numCache>
                <c:formatCode>General</c:formatCode>
                <c:ptCount val="203"/>
                <c:pt idx="0">
                  <c:v>2.2999999999999998</c:v>
                </c:pt>
                <c:pt idx="1">
                  <c:v>2.6</c:v>
                </c:pt>
                <c:pt idx="2">
                  <c:v>2.9</c:v>
                </c:pt>
                <c:pt idx="3">
                  <c:v>3.2</c:v>
                </c:pt>
                <c:pt idx="4">
                  <c:v>3.4</c:v>
                </c:pt>
                <c:pt idx="5">
                  <c:v>3.6</c:v>
                </c:pt>
                <c:pt idx="6">
                  <c:v>3.8</c:v>
                </c:pt>
                <c:pt idx="7">
                  <c:v>4</c:v>
                </c:pt>
                <c:pt idx="8">
                  <c:v>4.2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4.8</c:v>
                </c:pt>
                <c:pt idx="12">
                  <c:v>5</c:v>
                </c:pt>
                <c:pt idx="13">
                  <c:v>5.0999999999999996</c:v>
                </c:pt>
                <c:pt idx="14">
                  <c:v>5.3</c:v>
                </c:pt>
                <c:pt idx="15">
                  <c:v>5.6</c:v>
                </c:pt>
                <c:pt idx="16">
                  <c:v>6.2</c:v>
                </c:pt>
                <c:pt idx="17">
                  <c:v>6.8</c:v>
                </c:pt>
                <c:pt idx="18">
                  <c:v>7.6</c:v>
                </c:pt>
                <c:pt idx="19">
                  <c:v>8.3000000000000007</c:v>
                </c:pt>
                <c:pt idx="20">
                  <c:v>8.8000000000000007</c:v>
                </c:pt>
                <c:pt idx="21">
                  <c:v>9.5</c:v>
                </c:pt>
                <c:pt idx="22">
                  <c:v>10.7</c:v>
                </c:pt>
                <c:pt idx="23">
                  <c:v>12.6</c:v>
                </c:pt>
                <c:pt idx="24">
                  <c:v>15.4</c:v>
                </c:pt>
                <c:pt idx="25">
                  <c:v>19.5</c:v>
                </c:pt>
                <c:pt idx="26">
                  <c:v>24.7</c:v>
                </c:pt>
                <c:pt idx="27">
                  <c:v>31</c:v>
                </c:pt>
                <c:pt idx="28">
                  <c:v>40.9</c:v>
                </c:pt>
                <c:pt idx="29">
                  <c:v>58.3</c:v>
                </c:pt>
                <c:pt idx="30">
                  <c:v>83.8</c:v>
                </c:pt>
                <c:pt idx="31">
                  <c:v>120.7</c:v>
                </c:pt>
                <c:pt idx="32">
                  <c:v>171.3</c:v>
                </c:pt>
                <c:pt idx="33">
                  <c:v>227.3</c:v>
                </c:pt>
                <c:pt idx="34">
                  <c:v>276.60000000000002</c:v>
                </c:pt>
                <c:pt idx="35">
                  <c:v>316.8</c:v>
                </c:pt>
                <c:pt idx="36">
                  <c:v>351.3</c:v>
                </c:pt>
                <c:pt idx="37">
                  <c:v>387.6</c:v>
                </c:pt>
                <c:pt idx="38">
                  <c:v>428.4</c:v>
                </c:pt>
                <c:pt idx="39">
                  <c:v>468.3</c:v>
                </c:pt>
                <c:pt idx="40">
                  <c:v>503.2</c:v>
                </c:pt>
                <c:pt idx="41">
                  <c:v>531.79999999999995</c:v>
                </c:pt>
                <c:pt idx="42">
                  <c:v>555.4</c:v>
                </c:pt>
                <c:pt idx="43">
                  <c:v>576.20000000000005</c:v>
                </c:pt>
                <c:pt idx="44">
                  <c:v>596</c:v>
                </c:pt>
                <c:pt idx="45">
                  <c:v>613.6</c:v>
                </c:pt>
                <c:pt idx="46">
                  <c:v>628</c:v>
                </c:pt>
                <c:pt idx="47">
                  <c:v>641.6</c:v>
                </c:pt>
                <c:pt idx="48">
                  <c:v>651.70000000000005</c:v>
                </c:pt>
                <c:pt idx="49">
                  <c:v>657.5</c:v>
                </c:pt>
                <c:pt idx="50">
                  <c:v>662.9</c:v>
                </c:pt>
                <c:pt idx="51">
                  <c:v>668.3</c:v>
                </c:pt>
                <c:pt idx="52">
                  <c:v>679.2</c:v>
                </c:pt>
                <c:pt idx="53">
                  <c:v>694.1</c:v>
                </c:pt>
                <c:pt idx="54">
                  <c:v>709.1</c:v>
                </c:pt>
                <c:pt idx="55">
                  <c:v>724.3</c:v>
                </c:pt>
                <c:pt idx="56">
                  <c:v>735.9</c:v>
                </c:pt>
                <c:pt idx="57">
                  <c:v>740.3</c:v>
                </c:pt>
                <c:pt idx="58">
                  <c:v>743.7</c:v>
                </c:pt>
                <c:pt idx="59">
                  <c:v>750.8</c:v>
                </c:pt>
                <c:pt idx="60">
                  <c:v>753.8</c:v>
                </c:pt>
                <c:pt idx="61">
                  <c:v>755.5</c:v>
                </c:pt>
                <c:pt idx="62">
                  <c:v>762</c:v>
                </c:pt>
                <c:pt idx="63">
                  <c:v>766.4</c:v>
                </c:pt>
                <c:pt idx="64">
                  <c:v>772.3</c:v>
                </c:pt>
                <c:pt idx="65">
                  <c:v>777.9</c:v>
                </c:pt>
                <c:pt idx="66">
                  <c:v>775.7</c:v>
                </c:pt>
                <c:pt idx="67">
                  <c:v>771</c:v>
                </c:pt>
                <c:pt idx="68">
                  <c:v>769.1</c:v>
                </c:pt>
                <c:pt idx="69">
                  <c:v>768.2</c:v>
                </c:pt>
                <c:pt idx="70">
                  <c:v>763.2</c:v>
                </c:pt>
                <c:pt idx="71">
                  <c:v>762.7</c:v>
                </c:pt>
                <c:pt idx="72">
                  <c:v>767.1</c:v>
                </c:pt>
                <c:pt idx="73">
                  <c:v>772.6</c:v>
                </c:pt>
                <c:pt idx="74">
                  <c:v>756.4</c:v>
                </c:pt>
                <c:pt idx="75">
                  <c:v>714.6</c:v>
                </c:pt>
                <c:pt idx="76">
                  <c:v>666.2</c:v>
                </c:pt>
                <c:pt idx="77">
                  <c:v>620.70000000000005</c:v>
                </c:pt>
                <c:pt idx="78">
                  <c:v>576.29999999999995</c:v>
                </c:pt>
                <c:pt idx="79">
                  <c:v>531.70000000000005</c:v>
                </c:pt>
                <c:pt idx="80">
                  <c:v>486.4</c:v>
                </c:pt>
                <c:pt idx="81">
                  <c:v>436.9</c:v>
                </c:pt>
                <c:pt idx="82">
                  <c:v>365.5</c:v>
                </c:pt>
                <c:pt idx="83">
                  <c:v>260.8</c:v>
                </c:pt>
                <c:pt idx="84">
                  <c:v>162.5</c:v>
                </c:pt>
                <c:pt idx="85">
                  <c:v>109.3</c:v>
                </c:pt>
                <c:pt idx="86">
                  <c:v>84</c:v>
                </c:pt>
                <c:pt idx="87">
                  <c:v>70.599999999999994</c:v>
                </c:pt>
                <c:pt idx="88">
                  <c:v>65</c:v>
                </c:pt>
                <c:pt idx="89">
                  <c:v>63.2</c:v>
                </c:pt>
                <c:pt idx="90">
                  <c:v>62</c:v>
                </c:pt>
                <c:pt idx="91">
                  <c:v>61</c:v>
                </c:pt>
                <c:pt idx="92">
                  <c:v>60.1</c:v>
                </c:pt>
                <c:pt idx="93">
                  <c:v>59.5</c:v>
                </c:pt>
                <c:pt idx="94">
                  <c:v>58.9</c:v>
                </c:pt>
                <c:pt idx="95">
                  <c:v>58.5</c:v>
                </c:pt>
                <c:pt idx="96">
                  <c:v>58.2</c:v>
                </c:pt>
                <c:pt idx="97">
                  <c:v>58</c:v>
                </c:pt>
                <c:pt idx="98">
                  <c:v>57.9</c:v>
                </c:pt>
                <c:pt idx="99">
                  <c:v>57.8</c:v>
                </c:pt>
                <c:pt idx="100">
                  <c:v>57.6</c:v>
                </c:pt>
                <c:pt idx="101">
                  <c:v>57.5</c:v>
                </c:pt>
                <c:pt idx="102">
                  <c:v>57.4</c:v>
                </c:pt>
                <c:pt idx="103">
                  <c:v>57.3</c:v>
                </c:pt>
                <c:pt idx="104">
                  <c:v>57.2</c:v>
                </c:pt>
                <c:pt idx="105">
                  <c:v>57.2</c:v>
                </c:pt>
                <c:pt idx="106">
                  <c:v>57.1</c:v>
                </c:pt>
                <c:pt idx="107">
                  <c:v>57.1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57</c:v>
                </c:pt>
                <c:pt idx="113">
                  <c:v>57</c:v>
                </c:pt>
                <c:pt idx="114">
                  <c:v>57</c:v>
                </c:pt>
                <c:pt idx="115">
                  <c:v>57.1</c:v>
                </c:pt>
                <c:pt idx="116">
                  <c:v>57.1</c:v>
                </c:pt>
                <c:pt idx="117">
                  <c:v>57.2</c:v>
                </c:pt>
                <c:pt idx="118">
                  <c:v>57.2</c:v>
                </c:pt>
                <c:pt idx="119">
                  <c:v>57.3</c:v>
                </c:pt>
                <c:pt idx="120">
                  <c:v>57.3</c:v>
                </c:pt>
                <c:pt idx="121">
                  <c:v>57.4</c:v>
                </c:pt>
                <c:pt idx="122">
                  <c:v>57.5</c:v>
                </c:pt>
                <c:pt idx="123">
                  <c:v>57.5</c:v>
                </c:pt>
                <c:pt idx="124">
                  <c:v>57.6</c:v>
                </c:pt>
                <c:pt idx="125">
                  <c:v>57.7</c:v>
                </c:pt>
                <c:pt idx="126">
                  <c:v>57.7</c:v>
                </c:pt>
                <c:pt idx="127">
                  <c:v>57.8</c:v>
                </c:pt>
                <c:pt idx="128">
                  <c:v>57.9</c:v>
                </c:pt>
                <c:pt idx="129">
                  <c:v>57.9</c:v>
                </c:pt>
                <c:pt idx="130">
                  <c:v>58</c:v>
                </c:pt>
                <c:pt idx="131">
                  <c:v>58</c:v>
                </c:pt>
                <c:pt idx="132">
                  <c:v>58.1</c:v>
                </c:pt>
                <c:pt idx="133">
                  <c:v>58.2</c:v>
                </c:pt>
                <c:pt idx="134">
                  <c:v>58.3</c:v>
                </c:pt>
                <c:pt idx="135">
                  <c:v>58.3</c:v>
                </c:pt>
                <c:pt idx="136">
                  <c:v>58.4</c:v>
                </c:pt>
                <c:pt idx="137">
                  <c:v>58.5</c:v>
                </c:pt>
                <c:pt idx="138">
                  <c:v>58.6</c:v>
                </c:pt>
                <c:pt idx="139">
                  <c:v>58.6</c:v>
                </c:pt>
                <c:pt idx="140">
                  <c:v>58.7</c:v>
                </c:pt>
                <c:pt idx="141">
                  <c:v>58.8</c:v>
                </c:pt>
                <c:pt idx="142">
                  <c:v>58.8</c:v>
                </c:pt>
                <c:pt idx="143">
                  <c:v>58.9</c:v>
                </c:pt>
                <c:pt idx="144">
                  <c:v>59</c:v>
                </c:pt>
                <c:pt idx="145">
                  <c:v>59</c:v>
                </c:pt>
                <c:pt idx="146">
                  <c:v>59.1</c:v>
                </c:pt>
                <c:pt idx="147">
                  <c:v>59.2</c:v>
                </c:pt>
                <c:pt idx="148">
                  <c:v>59.2</c:v>
                </c:pt>
                <c:pt idx="149">
                  <c:v>59.3</c:v>
                </c:pt>
                <c:pt idx="150">
                  <c:v>59.3</c:v>
                </c:pt>
                <c:pt idx="151">
                  <c:v>59.4</c:v>
                </c:pt>
                <c:pt idx="152">
                  <c:v>59.5</c:v>
                </c:pt>
                <c:pt idx="153">
                  <c:v>59.5</c:v>
                </c:pt>
                <c:pt idx="154">
                  <c:v>59.6</c:v>
                </c:pt>
                <c:pt idx="155">
                  <c:v>59.6</c:v>
                </c:pt>
                <c:pt idx="156">
                  <c:v>59.7</c:v>
                </c:pt>
                <c:pt idx="157">
                  <c:v>59.8</c:v>
                </c:pt>
                <c:pt idx="158">
                  <c:v>59.8</c:v>
                </c:pt>
                <c:pt idx="159">
                  <c:v>59.9</c:v>
                </c:pt>
                <c:pt idx="160">
                  <c:v>59.9</c:v>
                </c:pt>
                <c:pt idx="161">
                  <c:v>60</c:v>
                </c:pt>
                <c:pt idx="162">
                  <c:v>60</c:v>
                </c:pt>
                <c:pt idx="163">
                  <c:v>60.1</c:v>
                </c:pt>
                <c:pt idx="164">
                  <c:v>60.2</c:v>
                </c:pt>
                <c:pt idx="165">
                  <c:v>60.2</c:v>
                </c:pt>
                <c:pt idx="166">
                  <c:v>60.3</c:v>
                </c:pt>
                <c:pt idx="167">
                  <c:v>60.3</c:v>
                </c:pt>
                <c:pt idx="168">
                  <c:v>60.4</c:v>
                </c:pt>
                <c:pt idx="169">
                  <c:v>60.4</c:v>
                </c:pt>
                <c:pt idx="170">
                  <c:v>60.5</c:v>
                </c:pt>
                <c:pt idx="171">
                  <c:v>60.5</c:v>
                </c:pt>
                <c:pt idx="172">
                  <c:v>60.6</c:v>
                </c:pt>
                <c:pt idx="173">
                  <c:v>60.6</c:v>
                </c:pt>
                <c:pt idx="174">
                  <c:v>60.7</c:v>
                </c:pt>
                <c:pt idx="175">
                  <c:v>60.7</c:v>
                </c:pt>
                <c:pt idx="176">
                  <c:v>60.8</c:v>
                </c:pt>
                <c:pt idx="177">
                  <c:v>60.8</c:v>
                </c:pt>
                <c:pt idx="178">
                  <c:v>60.9</c:v>
                </c:pt>
                <c:pt idx="179">
                  <c:v>60.9</c:v>
                </c:pt>
                <c:pt idx="180">
                  <c:v>60.9</c:v>
                </c:pt>
                <c:pt idx="181">
                  <c:v>61</c:v>
                </c:pt>
                <c:pt idx="182">
                  <c:v>61.1</c:v>
                </c:pt>
                <c:pt idx="183">
                  <c:v>61.1</c:v>
                </c:pt>
                <c:pt idx="184">
                  <c:v>61.1</c:v>
                </c:pt>
                <c:pt idx="185">
                  <c:v>61.2</c:v>
                </c:pt>
                <c:pt idx="186">
                  <c:v>61.2</c:v>
                </c:pt>
                <c:pt idx="187">
                  <c:v>61.3</c:v>
                </c:pt>
                <c:pt idx="188">
                  <c:v>61.3</c:v>
                </c:pt>
                <c:pt idx="189">
                  <c:v>61.9</c:v>
                </c:pt>
                <c:pt idx="190">
                  <c:v>61.9</c:v>
                </c:pt>
                <c:pt idx="191">
                  <c:v>62</c:v>
                </c:pt>
                <c:pt idx="192">
                  <c:v>62</c:v>
                </c:pt>
                <c:pt idx="193">
                  <c:v>62</c:v>
                </c:pt>
                <c:pt idx="194">
                  <c:v>62</c:v>
                </c:pt>
                <c:pt idx="195">
                  <c:v>62.1</c:v>
                </c:pt>
                <c:pt idx="196">
                  <c:v>62.1</c:v>
                </c:pt>
                <c:pt idx="197">
                  <c:v>62.2</c:v>
                </c:pt>
                <c:pt idx="198">
                  <c:v>62.2</c:v>
                </c:pt>
                <c:pt idx="199">
                  <c:v>62.2</c:v>
                </c:pt>
                <c:pt idx="200">
                  <c:v>62.3</c:v>
                </c:pt>
                <c:pt idx="201">
                  <c:v>62.3</c:v>
                </c:pt>
                <c:pt idx="202">
                  <c:v>62.3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7-41BC-9BAC-F9E3E9EAF332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'100ml'!$AI$3:$AI$205</c:f>
              <c:numCache>
                <c:formatCode>General</c:formatCode>
                <c:ptCount val="2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</c:numCache>
            </c:numRef>
          </c:xVal>
          <c:yVal>
            <c:numRef>
              <c:f>'100ml'!$AM$3:$AM$205</c:f>
              <c:numCache>
                <c:formatCode>General</c:formatCode>
                <c:ptCount val="203"/>
                <c:pt idx="0">
                  <c:v>3.2</c:v>
                </c:pt>
                <c:pt idx="1">
                  <c:v>3.7</c:v>
                </c:pt>
                <c:pt idx="2">
                  <c:v>4.2</c:v>
                </c:pt>
                <c:pt idx="3">
                  <c:v>4.7</c:v>
                </c:pt>
                <c:pt idx="4">
                  <c:v>5.2</c:v>
                </c:pt>
                <c:pt idx="5">
                  <c:v>5.7</c:v>
                </c:pt>
                <c:pt idx="6">
                  <c:v>6.1</c:v>
                </c:pt>
                <c:pt idx="7">
                  <c:v>6.5</c:v>
                </c:pt>
                <c:pt idx="8">
                  <c:v>6.9</c:v>
                </c:pt>
                <c:pt idx="9">
                  <c:v>7.3</c:v>
                </c:pt>
                <c:pt idx="10">
                  <c:v>7.7</c:v>
                </c:pt>
                <c:pt idx="11">
                  <c:v>8.1</c:v>
                </c:pt>
                <c:pt idx="12">
                  <c:v>8.5</c:v>
                </c:pt>
                <c:pt idx="13">
                  <c:v>8.9</c:v>
                </c:pt>
                <c:pt idx="14">
                  <c:v>9.1999999999999993</c:v>
                </c:pt>
                <c:pt idx="15">
                  <c:v>9.6</c:v>
                </c:pt>
                <c:pt idx="16">
                  <c:v>9.9</c:v>
                </c:pt>
                <c:pt idx="17">
                  <c:v>10.199999999999999</c:v>
                </c:pt>
                <c:pt idx="18">
                  <c:v>10.5</c:v>
                </c:pt>
                <c:pt idx="19">
                  <c:v>10.9</c:v>
                </c:pt>
                <c:pt idx="20">
                  <c:v>11.2</c:v>
                </c:pt>
                <c:pt idx="21">
                  <c:v>11.8</c:v>
                </c:pt>
                <c:pt idx="22">
                  <c:v>12.9</c:v>
                </c:pt>
                <c:pt idx="23">
                  <c:v>15.6</c:v>
                </c:pt>
                <c:pt idx="24">
                  <c:v>20.2</c:v>
                </c:pt>
                <c:pt idx="25">
                  <c:v>26.9</c:v>
                </c:pt>
                <c:pt idx="26">
                  <c:v>34.200000000000003</c:v>
                </c:pt>
                <c:pt idx="27">
                  <c:v>41.1</c:v>
                </c:pt>
                <c:pt idx="28">
                  <c:v>49</c:v>
                </c:pt>
                <c:pt idx="29">
                  <c:v>63.5</c:v>
                </c:pt>
                <c:pt idx="30">
                  <c:v>87.6</c:v>
                </c:pt>
                <c:pt idx="31">
                  <c:v>114.1</c:v>
                </c:pt>
                <c:pt idx="32">
                  <c:v>145.69999999999999</c:v>
                </c:pt>
                <c:pt idx="33">
                  <c:v>188</c:v>
                </c:pt>
                <c:pt idx="34">
                  <c:v>233.8</c:v>
                </c:pt>
                <c:pt idx="35">
                  <c:v>273.2</c:v>
                </c:pt>
                <c:pt idx="36">
                  <c:v>306.7</c:v>
                </c:pt>
                <c:pt idx="37">
                  <c:v>337.5</c:v>
                </c:pt>
                <c:pt idx="38">
                  <c:v>368.3</c:v>
                </c:pt>
                <c:pt idx="39">
                  <c:v>403.4</c:v>
                </c:pt>
                <c:pt idx="40">
                  <c:v>441.6</c:v>
                </c:pt>
                <c:pt idx="41">
                  <c:v>480.3</c:v>
                </c:pt>
                <c:pt idx="42">
                  <c:v>515.20000000000005</c:v>
                </c:pt>
                <c:pt idx="43">
                  <c:v>545.29999999999995</c:v>
                </c:pt>
                <c:pt idx="44">
                  <c:v>569.9</c:v>
                </c:pt>
                <c:pt idx="45">
                  <c:v>588.70000000000005</c:v>
                </c:pt>
                <c:pt idx="46">
                  <c:v>607</c:v>
                </c:pt>
                <c:pt idx="47">
                  <c:v>626.6</c:v>
                </c:pt>
                <c:pt idx="48">
                  <c:v>646.29999999999995</c:v>
                </c:pt>
                <c:pt idx="49">
                  <c:v>664.4</c:v>
                </c:pt>
                <c:pt idx="50">
                  <c:v>680.5</c:v>
                </c:pt>
                <c:pt idx="51">
                  <c:v>692.5</c:v>
                </c:pt>
                <c:pt idx="52">
                  <c:v>699.5</c:v>
                </c:pt>
                <c:pt idx="53">
                  <c:v>705.5</c:v>
                </c:pt>
                <c:pt idx="54">
                  <c:v>709.6</c:v>
                </c:pt>
                <c:pt idx="55">
                  <c:v>712.7</c:v>
                </c:pt>
                <c:pt idx="56">
                  <c:v>718.4</c:v>
                </c:pt>
                <c:pt idx="57">
                  <c:v>725.2</c:v>
                </c:pt>
                <c:pt idx="58">
                  <c:v>726.3</c:v>
                </c:pt>
                <c:pt idx="59">
                  <c:v>725.6</c:v>
                </c:pt>
                <c:pt idx="60">
                  <c:v>729.2</c:v>
                </c:pt>
                <c:pt idx="61">
                  <c:v>735.4</c:v>
                </c:pt>
                <c:pt idx="62">
                  <c:v>742.7</c:v>
                </c:pt>
                <c:pt idx="63">
                  <c:v>747.8</c:v>
                </c:pt>
                <c:pt idx="64">
                  <c:v>749</c:v>
                </c:pt>
                <c:pt idx="65">
                  <c:v>748.2</c:v>
                </c:pt>
                <c:pt idx="66">
                  <c:v>745.7</c:v>
                </c:pt>
                <c:pt idx="67">
                  <c:v>745.8</c:v>
                </c:pt>
                <c:pt idx="68">
                  <c:v>754.5</c:v>
                </c:pt>
                <c:pt idx="69">
                  <c:v>765.1</c:v>
                </c:pt>
                <c:pt idx="70">
                  <c:v>767.9</c:v>
                </c:pt>
                <c:pt idx="71">
                  <c:v>769</c:v>
                </c:pt>
                <c:pt idx="72">
                  <c:v>770.2</c:v>
                </c:pt>
                <c:pt idx="73">
                  <c:v>766.6</c:v>
                </c:pt>
                <c:pt idx="74">
                  <c:v>758.3</c:v>
                </c:pt>
                <c:pt idx="75">
                  <c:v>761.9</c:v>
                </c:pt>
                <c:pt idx="76">
                  <c:v>763.4</c:v>
                </c:pt>
                <c:pt idx="77">
                  <c:v>733.2</c:v>
                </c:pt>
                <c:pt idx="78">
                  <c:v>683.8</c:v>
                </c:pt>
                <c:pt idx="79">
                  <c:v>634.4</c:v>
                </c:pt>
                <c:pt idx="80">
                  <c:v>560.79999999999995</c:v>
                </c:pt>
                <c:pt idx="81">
                  <c:v>421.2</c:v>
                </c:pt>
                <c:pt idx="82">
                  <c:v>276.8</c:v>
                </c:pt>
                <c:pt idx="83">
                  <c:v>182.5</c:v>
                </c:pt>
                <c:pt idx="84">
                  <c:v>129.4</c:v>
                </c:pt>
                <c:pt idx="85">
                  <c:v>100.2</c:v>
                </c:pt>
                <c:pt idx="86">
                  <c:v>84</c:v>
                </c:pt>
                <c:pt idx="87">
                  <c:v>74.7</c:v>
                </c:pt>
                <c:pt idx="88">
                  <c:v>70.2</c:v>
                </c:pt>
                <c:pt idx="89">
                  <c:v>68.7</c:v>
                </c:pt>
                <c:pt idx="90">
                  <c:v>67.8</c:v>
                </c:pt>
                <c:pt idx="91">
                  <c:v>67</c:v>
                </c:pt>
                <c:pt idx="92">
                  <c:v>66.400000000000006</c:v>
                </c:pt>
                <c:pt idx="93">
                  <c:v>66</c:v>
                </c:pt>
                <c:pt idx="94">
                  <c:v>65.7</c:v>
                </c:pt>
                <c:pt idx="95">
                  <c:v>65.400000000000006</c:v>
                </c:pt>
                <c:pt idx="96">
                  <c:v>65.099999999999994</c:v>
                </c:pt>
                <c:pt idx="97">
                  <c:v>64.900000000000006</c:v>
                </c:pt>
                <c:pt idx="98">
                  <c:v>64.599999999999994</c:v>
                </c:pt>
                <c:pt idx="99">
                  <c:v>64.400000000000006</c:v>
                </c:pt>
                <c:pt idx="100">
                  <c:v>64.3</c:v>
                </c:pt>
                <c:pt idx="101">
                  <c:v>64.2</c:v>
                </c:pt>
                <c:pt idx="102">
                  <c:v>64.2</c:v>
                </c:pt>
                <c:pt idx="103">
                  <c:v>64.3</c:v>
                </c:pt>
                <c:pt idx="104">
                  <c:v>64.3</c:v>
                </c:pt>
                <c:pt idx="105">
                  <c:v>64.3</c:v>
                </c:pt>
                <c:pt idx="106">
                  <c:v>64.400000000000006</c:v>
                </c:pt>
                <c:pt idx="107">
                  <c:v>64.400000000000006</c:v>
                </c:pt>
                <c:pt idx="108">
                  <c:v>64.400000000000006</c:v>
                </c:pt>
                <c:pt idx="109">
                  <c:v>64.5</c:v>
                </c:pt>
                <c:pt idx="110">
                  <c:v>64.5</c:v>
                </c:pt>
                <c:pt idx="111">
                  <c:v>64.5</c:v>
                </c:pt>
                <c:pt idx="112">
                  <c:v>64.599999999999994</c:v>
                </c:pt>
                <c:pt idx="113">
                  <c:v>64.7</c:v>
                </c:pt>
                <c:pt idx="114">
                  <c:v>64.7</c:v>
                </c:pt>
                <c:pt idx="115">
                  <c:v>64.8</c:v>
                </c:pt>
                <c:pt idx="116">
                  <c:v>64.8</c:v>
                </c:pt>
                <c:pt idx="117">
                  <c:v>64.900000000000006</c:v>
                </c:pt>
                <c:pt idx="118">
                  <c:v>65</c:v>
                </c:pt>
                <c:pt idx="119">
                  <c:v>65.099999999999994</c:v>
                </c:pt>
                <c:pt idx="120">
                  <c:v>65.5</c:v>
                </c:pt>
                <c:pt idx="121">
                  <c:v>65.599999999999994</c:v>
                </c:pt>
                <c:pt idx="122">
                  <c:v>65.7</c:v>
                </c:pt>
                <c:pt idx="123">
                  <c:v>65.599999999999994</c:v>
                </c:pt>
                <c:pt idx="124">
                  <c:v>65.599999999999994</c:v>
                </c:pt>
                <c:pt idx="125">
                  <c:v>65.7</c:v>
                </c:pt>
                <c:pt idx="126">
                  <c:v>65.7</c:v>
                </c:pt>
                <c:pt idx="127">
                  <c:v>65.7</c:v>
                </c:pt>
                <c:pt idx="128">
                  <c:v>65.8</c:v>
                </c:pt>
                <c:pt idx="129">
                  <c:v>65.8</c:v>
                </c:pt>
                <c:pt idx="130">
                  <c:v>65.900000000000006</c:v>
                </c:pt>
                <c:pt idx="131">
                  <c:v>65.900000000000006</c:v>
                </c:pt>
                <c:pt idx="132">
                  <c:v>66</c:v>
                </c:pt>
                <c:pt idx="133">
                  <c:v>66</c:v>
                </c:pt>
                <c:pt idx="134">
                  <c:v>66.099999999999994</c:v>
                </c:pt>
                <c:pt idx="135">
                  <c:v>66.2</c:v>
                </c:pt>
                <c:pt idx="136">
                  <c:v>66.2</c:v>
                </c:pt>
                <c:pt idx="137">
                  <c:v>66.3</c:v>
                </c:pt>
                <c:pt idx="138">
                  <c:v>66.3</c:v>
                </c:pt>
                <c:pt idx="139">
                  <c:v>66.3</c:v>
                </c:pt>
                <c:pt idx="140">
                  <c:v>66.3</c:v>
                </c:pt>
                <c:pt idx="141">
                  <c:v>66.3</c:v>
                </c:pt>
                <c:pt idx="142">
                  <c:v>66.3</c:v>
                </c:pt>
                <c:pt idx="143">
                  <c:v>66.3</c:v>
                </c:pt>
                <c:pt idx="144">
                  <c:v>66.400000000000006</c:v>
                </c:pt>
                <c:pt idx="145">
                  <c:v>66.599999999999994</c:v>
                </c:pt>
                <c:pt idx="146">
                  <c:v>66.7</c:v>
                </c:pt>
                <c:pt idx="147">
                  <c:v>66.8</c:v>
                </c:pt>
                <c:pt idx="148">
                  <c:v>66.900000000000006</c:v>
                </c:pt>
                <c:pt idx="149">
                  <c:v>67</c:v>
                </c:pt>
                <c:pt idx="150">
                  <c:v>67.099999999999994</c:v>
                </c:pt>
                <c:pt idx="151">
                  <c:v>67.400000000000006</c:v>
                </c:pt>
                <c:pt idx="152">
                  <c:v>67.7</c:v>
                </c:pt>
                <c:pt idx="153">
                  <c:v>67.8</c:v>
                </c:pt>
                <c:pt idx="154">
                  <c:v>67.8</c:v>
                </c:pt>
                <c:pt idx="155">
                  <c:v>67.7</c:v>
                </c:pt>
                <c:pt idx="156">
                  <c:v>67.7</c:v>
                </c:pt>
                <c:pt idx="157">
                  <c:v>67.7</c:v>
                </c:pt>
                <c:pt idx="158">
                  <c:v>67.7</c:v>
                </c:pt>
                <c:pt idx="159">
                  <c:v>67.8</c:v>
                </c:pt>
                <c:pt idx="160">
                  <c:v>67.8</c:v>
                </c:pt>
                <c:pt idx="161">
                  <c:v>67.900000000000006</c:v>
                </c:pt>
                <c:pt idx="162">
                  <c:v>68</c:v>
                </c:pt>
                <c:pt idx="163">
                  <c:v>68.099999999999994</c:v>
                </c:pt>
                <c:pt idx="164">
                  <c:v>68.2</c:v>
                </c:pt>
                <c:pt idx="165">
                  <c:v>68.3</c:v>
                </c:pt>
                <c:pt idx="166">
                  <c:v>68.3</c:v>
                </c:pt>
                <c:pt idx="167">
                  <c:v>68.3</c:v>
                </c:pt>
                <c:pt idx="168">
                  <c:v>68.3</c:v>
                </c:pt>
                <c:pt idx="169">
                  <c:v>68.2</c:v>
                </c:pt>
                <c:pt idx="170">
                  <c:v>68.3</c:v>
                </c:pt>
                <c:pt idx="171">
                  <c:v>68.3</c:v>
                </c:pt>
                <c:pt idx="172">
                  <c:v>68.3</c:v>
                </c:pt>
                <c:pt idx="173">
                  <c:v>68.3</c:v>
                </c:pt>
                <c:pt idx="174">
                  <c:v>68.5</c:v>
                </c:pt>
                <c:pt idx="175">
                  <c:v>68.5</c:v>
                </c:pt>
                <c:pt idx="176">
                  <c:v>68.400000000000006</c:v>
                </c:pt>
                <c:pt idx="177">
                  <c:v>68.599999999999994</c:v>
                </c:pt>
                <c:pt idx="178">
                  <c:v>68.900000000000006</c:v>
                </c:pt>
                <c:pt idx="179">
                  <c:v>69.3</c:v>
                </c:pt>
                <c:pt idx="180">
                  <c:v>69.599999999999994</c:v>
                </c:pt>
                <c:pt idx="181">
                  <c:v>69.900000000000006</c:v>
                </c:pt>
                <c:pt idx="182">
                  <c:v>70</c:v>
                </c:pt>
                <c:pt idx="183">
                  <c:v>70</c:v>
                </c:pt>
                <c:pt idx="184">
                  <c:v>69.900000000000006</c:v>
                </c:pt>
                <c:pt idx="185">
                  <c:v>69.7</c:v>
                </c:pt>
                <c:pt idx="186">
                  <c:v>69.7</c:v>
                </c:pt>
                <c:pt idx="187">
                  <c:v>69.900000000000006</c:v>
                </c:pt>
                <c:pt idx="188">
                  <c:v>69.900000000000006</c:v>
                </c:pt>
                <c:pt idx="189">
                  <c:v>69.900000000000006</c:v>
                </c:pt>
                <c:pt idx="190">
                  <c:v>69.900000000000006</c:v>
                </c:pt>
                <c:pt idx="191">
                  <c:v>69.8</c:v>
                </c:pt>
                <c:pt idx="192">
                  <c:v>69.8</c:v>
                </c:pt>
                <c:pt idx="193">
                  <c:v>69.8</c:v>
                </c:pt>
                <c:pt idx="194">
                  <c:v>69.8</c:v>
                </c:pt>
                <c:pt idx="195">
                  <c:v>69.8</c:v>
                </c:pt>
                <c:pt idx="196">
                  <c:v>69.8</c:v>
                </c:pt>
                <c:pt idx="197">
                  <c:v>69.900000000000006</c:v>
                </c:pt>
                <c:pt idx="198">
                  <c:v>69.900000000000006</c:v>
                </c:pt>
                <c:pt idx="199">
                  <c:v>69.900000000000006</c:v>
                </c:pt>
                <c:pt idx="200">
                  <c:v>69.900000000000006</c:v>
                </c:pt>
                <c:pt idx="201">
                  <c:v>69.900000000000006</c:v>
                </c:pt>
                <c:pt idx="202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7-41BC-9BAC-F9E3E9EAF332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'100ml'!$AI$3:$AI$205</c:f>
              <c:numCache>
                <c:formatCode>General</c:formatCode>
                <c:ptCount val="2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</c:numCache>
            </c:numRef>
          </c:xVal>
          <c:yVal>
            <c:numRef>
              <c:f>'100ml'!$AN$3:$AN$205</c:f>
              <c:numCache>
                <c:formatCode>General</c:formatCode>
                <c:ptCount val="203"/>
                <c:pt idx="0">
                  <c:v>0.7</c:v>
                </c:pt>
                <c:pt idx="1">
                  <c:v>0.9</c:v>
                </c:pt>
                <c:pt idx="2">
                  <c:v>1</c:v>
                </c:pt>
                <c:pt idx="3">
                  <c:v>1.2</c:v>
                </c:pt>
                <c:pt idx="4">
                  <c:v>1.3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2.2000000000000002</c:v>
                </c:pt>
                <c:pt idx="9">
                  <c:v>3.2</c:v>
                </c:pt>
                <c:pt idx="10">
                  <c:v>4.4000000000000004</c:v>
                </c:pt>
                <c:pt idx="11">
                  <c:v>5.5</c:v>
                </c:pt>
                <c:pt idx="12">
                  <c:v>6.5</c:v>
                </c:pt>
                <c:pt idx="13">
                  <c:v>7.4</c:v>
                </c:pt>
                <c:pt idx="14">
                  <c:v>8.1</c:v>
                </c:pt>
                <c:pt idx="15">
                  <c:v>8.6</c:v>
                </c:pt>
                <c:pt idx="16">
                  <c:v>9.1</c:v>
                </c:pt>
                <c:pt idx="17">
                  <c:v>10.1</c:v>
                </c:pt>
                <c:pt idx="18">
                  <c:v>11.6</c:v>
                </c:pt>
                <c:pt idx="19">
                  <c:v>14.7</c:v>
                </c:pt>
                <c:pt idx="20">
                  <c:v>19.7</c:v>
                </c:pt>
                <c:pt idx="21">
                  <c:v>25.5</c:v>
                </c:pt>
                <c:pt idx="22">
                  <c:v>30.9</c:v>
                </c:pt>
                <c:pt idx="23">
                  <c:v>36.200000000000003</c:v>
                </c:pt>
                <c:pt idx="24">
                  <c:v>40.6</c:v>
                </c:pt>
                <c:pt idx="25">
                  <c:v>44.4</c:v>
                </c:pt>
                <c:pt idx="26">
                  <c:v>48.5</c:v>
                </c:pt>
                <c:pt idx="27">
                  <c:v>53</c:v>
                </c:pt>
                <c:pt idx="28">
                  <c:v>57.3</c:v>
                </c:pt>
                <c:pt idx="29">
                  <c:v>61.1</c:v>
                </c:pt>
                <c:pt idx="30">
                  <c:v>64.8</c:v>
                </c:pt>
                <c:pt idx="31">
                  <c:v>68.7</c:v>
                </c:pt>
                <c:pt idx="32">
                  <c:v>73.5</c:v>
                </c:pt>
                <c:pt idx="33">
                  <c:v>81.8</c:v>
                </c:pt>
                <c:pt idx="34">
                  <c:v>98.4</c:v>
                </c:pt>
                <c:pt idx="35">
                  <c:v>122.1</c:v>
                </c:pt>
                <c:pt idx="36">
                  <c:v>147.69999999999999</c:v>
                </c:pt>
                <c:pt idx="37">
                  <c:v>171.4</c:v>
                </c:pt>
                <c:pt idx="38">
                  <c:v>192.3</c:v>
                </c:pt>
                <c:pt idx="39">
                  <c:v>213.4</c:v>
                </c:pt>
                <c:pt idx="40">
                  <c:v>235.9</c:v>
                </c:pt>
                <c:pt idx="41">
                  <c:v>257.60000000000002</c:v>
                </c:pt>
                <c:pt idx="42">
                  <c:v>278</c:v>
                </c:pt>
                <c:pt idx="43">
                  <c:v>298.5</c:v>
                </c:pt>
                <c:pt idx="44">
                  <c:v>320.8</c:v>
                </c:pt>
                <c:pt idx="45">
                  <c:v>344.3</c:v>
                </c:pt>
                <c:pt idx="46">
                  <c:v>366.5</c:v>
                </c:pt>
                <c:pt idx="47">
                  <c:v>387.5</c:v>
                </c:pt>
                <c:pt idx="48">
                  <c:v>406.1</c:v>
                </c:pt>
                <c:pt idx="49">
                  <c:v>422.5</c:v>
                </c:pt>
                <c:pt idx="50">
                  <c:v>436.7</c:v>
                </c:pt>
                <c:pt idx="51">
                  <c:v>449.2</c:v>
                </c:pt>
                <c:pt idx="52">
                  <c:v>462.6</c:v>
                </c:pt>
                <c:pt idx="53">
                  <c:v>481.6</c:v>
                </c:pt>
                <c:pt idx="54">
                  <c:v>505.3</c:v>
                </c:pt>
                <c:pt idx="55">
                  <c:v>525.70000000000005</c:v>
                </c:pt>
                <c:pt idx="56">
                  <c:v>538.70000000000005</c:v>
                </c:pt>
                <c:pt idx="57">
                  <c:v>545.20000000000005</c:v>
                </c:pt>
                <c:pt idx="58">
                  <c:v>551.1</c:v>
                </c:pt>
                <c:pt idx="59">
                  <c:v>556.6</c:v>
                </c:pt>
                <c:pt idx="60">
                  <c:v>562.9</c:v>
                </c:pt>
                <c:pt idx="61">
                  <c:v>569.9</c:v>
                </c:pt>
                <c:pt idx="62">
                  <c:v>577.5</c:v>
                </c:pt>
                <c:pt idx="63">
                  <c:v>584.6</c:v>
                </c:pt>
                <c:pt idx="64">
                  <c:v>591.9</c:v>
                </c:pt>
                <c:pt idx="65">
                  <c:v>601.20000000000005</c:v>
                </c:pt>
                <c:pt idx="66">
                  <c:v>609.20000000000005</c:v>
                </c:pt>
                <c:pt idx="67">
                  <c:v>614.9</c:v>
                </c:pt>
                <c:pt idx="68">
                  <c:v>621.5</c:v>
                </c:pt>
                <c:pt idx="69">
                  <c:v>627.4</c:v>
                </c:pt>
                <c:pt idx="70">
                  <c:v>632.29999999999995</c:v>
                </c:pt>
                <c:pt idx="71">
                  <c:v>637.20000000000005</c:v>
                </c:pt>
                <c:pt idx="72">
                  <c:v>646.1</c:v>
                </c:pt>
                <c:pt idx="73">
                  <c:v>650.79999999999995</c:v>
                </c:pt>
                <c:pt idx="74">
                  <c:v>648.1</c:v>
                </c:pt>
                <c:pt idx="75">
                  <c:v>642.4</c:v>
                </c:pt>
                <c:pt idx="76">
                  <c:v>634.1</c:v>
                </c:pt>
                <c:pt idx="77">
                  <c:v>627.1</c:v>
                </c:pt>
                <c:pt idx="78">
                  <c:v>628.5</c:v>
                </c:pt>
                <c:pt idx="79">
                  <c:v>639.1</c:v>
                </c:pt>
                <c:pt idx="80">
                  <c:v>647.5</c:v>
                </c:pt>
                <c:pt idx="81">
                  <c:v>650.6</c:v>
                </c:pt>
                <c:pt idx="82">
                  <c:v>657.7</c:v>
                </c:pt>
                <c:pt idx="83">
                  <c:v>665.8</c:v>
                </c:pt>
                <c:pt idx="84">
                  <c:v>675.2</c:v>
                </c:pt>
                <c:pt idx="85">
                  <c:v>677.5</c:v>
                </c:pt>
                <c:pt idx="86">
                  <c:v>681.8</c:v>
                </c:pt>
                <c:pt idx="87">
                  <c:v>691.6</c:v>
                </c:pt>
                <c:pt idx="88">
                  <c:v>705.1</c:v>
                </c:pt>
                <c:pt idx="89">
                  <c:v>723.4</c:v>
                </c:pt>
                <c:pt idx="90">
                  <c:v>711.9</c:v>
                </c:pt>
                <c:pt idx="91">
                  <c:v>664.6</c:v>
                </c:pt>
                <c:pt idx="92">
                  <c:v>612.70000000000005</c:v>
                </c:pt>
                <c:pt idx="93">
                  <c:v>551</c:v>
                </c:pt>
                <c:pt idx="94">
                  <c:v>442.1</c:v>
                </c:pt>
                <c:pt idx="95">
                  <c:v>302</c:v>
                </c:pt>
                <c:pt idx="96">
                  <c:v>200.4</c:v>
                </c:pt>
                <c:pt idx="97">
                  <c:v>139.19999999999999</c:v>
                </c:pt>
                <c:pt idx="98">
                  <c:v>112.9</c:v>
                </c:pt>
                <c:pt idx="99">
                  <c:v>104.9</c:v>
                </c:pt>
                <c:pt idx="100">
                  <c:v>100.2</c:v>
                </c:pt>
                <c:pt idx="101">
                  <c:v>96.7</c:v>
                </c:pt>
                <c:pt idx="102">
                  <c:v>94.1</c:v>
                </c:pt>
                <c:pt idx="103">
                  <c:v>92.3</c:v>
                </c:pt>
                <c:pt idx="104">
                  <c:v>90.8</c:v>
                </c:pt>
                <c:pt idx="105">
                  <c:v>89.6</c:v>
                </c:pt>
                <c:pt idx="106">
                  <c:v>88.7</c:v>
                </c:pt>
                <c:pt idx="107">
                  <c:v>88</c:v>
                </c:pt>
                <c:pt idx="108">
                  <c:v>87.4</c:v>
                </c:pt>
                <c:pt idx="109">
                  <c:v>87</c:v>
                </c:pt>
                <c:pt idx="110">
                  <c:v>86.6</c:v>
                </c:pt>
                <c:pt idx="111">
                  <c:v>86.3</c:v>
                </c:pt>
                <c:pt idx="112">
                  <c:v>86</c:v>
                </c:pt>
                <c:pt idx="113">
                  <c:v>85.8</c:v>
                </c:pt>
                <c:pt idx="114">
                  <c:v>85.6</c:v>
                </c:pt>
                <c:pt idx="115">
                  <c:v>85.4</c:v>
                </c:pt>
                <c:pt idx="116">
                  <c:v>85.1</c:v>
                </c:pt>
                <c:pt idx="117">
                  <c:v>85</c:v>
                </c:pt>
                <c:pt idx="118">
                  <c:v>84.8</c:v>
                </c:pt>
                <c:pt idx="119">
                  <c:v>84.6</c:v>
                </c:pt>
                <c:pt idx="120">
                  <c:v>84.5</c:v>
                </c:pt>
                <c:pt idx="121">
                  <c:v>84.4</c:v>
                </c:pt>
                <c:pt idx="122">
                  <c:v>84.3</c:v>
                </c:pt>
                <c:pt idx="123">
                  <c:v>84.2</c:v>
                </c:pt>
                <c:pt idx="124">
                  <c:v>84.2</c:v>
                </c:pt>
                <c:pt idx="125">
                  <c:v>84.1</c:v>
                </c:pt>
                <c:pt idx="126">
                  <c:v>84</c:v>
                </c:pt>
                <c:pt idx="127">
                  <c:v>84</c:v>
                </c:pt>
                <c:pt idx="128">
                  <c:v>84</c:v>
                </c:pt>
                <c:pt idx="129">
                  <c:v>84</c:v>
                </c:pt>
                <c:pt idx="130">
                  <c:v>84</c:v>
                </c:pt>
                <c:pt idx="131">
                  <c:v>84</c:v>
                </c:pt>
                <c:pt idx="132">
                  <c:v>84</c:v>
                </c:pt>
                <c:pt idx="133">
                  <c:v>84.1</c:v>
                </c:pt>
                <c:pt idx="134">
                  <c:v>84.1</c:v>
                </c:pt>
                <c:pt idx="135">
                  <c:v>83.7</c:v>
                </c:pt>
                <c:pt idx="136">
                  <c:v>83</c:v>
                </c:pt>
                <c:pt idx="137">
                  <c:v>82.7</c:v>
                </c:pt>
                <c:pt idx="138">
                  <c:v>82.1</c:v>
                </c:pt>
                <c:pt idx="139">
                  <c:v>81.900000000000006</c:v>
                </c:pt>
                <c:pt idx="140">
                  <c:v>82</c:v>
                </c:pt>
                <c:pt idx="141">
                  <c:v>82.1</c:v>
                </c:pt>
                <c:pt idx="142">
                  <c:v>82.1</c:v>
                </c:pt>
                <c:pt idx="143">
                  <c:v>82.1</c:v>
                </c:pt>
                <c:pt idx="144">
                  <c:v>82</c:v>
                </c:pt>
                <c:pt idx="145">
                  <c:v>82</c:v>
                </c:pt>
                <c:pt idx="146">
                  <c:v>82.2</c:v>
                </c:pt>
                <c:pt idx="147">
                  <c:v>82.1</c:v>
                </c:pt>
                <c:pt idx="148">
                  <c:v>82.1</c:v>
                </c:pt>
                <c:pt idx="149">
                  <c:v>82.1</c:v>
                </c:pt>
                <c:pt idx="150">
                  <c:v>82.1</c:v>
                </c:pt>
                <c:pt idx="151">
                  <c:v>82.1</c:v>
                </c:pt>
                <c:pt idx="152">
                  <c:v>82.1</c:v>
                </c:pt>
                <c:pt idx="153">
                  <c:v>82.1</c:v>
                </c:pt>
                <c:pt idx="154">
                  <c:v>82.2</c:v>
                </c:pt>
                <c:pt idx="155">
                  <c:v>82.4</c:v>
                </c:pt>
                <c:pt idx="156">
                  <c:v>82.4</c:v>
                </c:pt>
                <c:pt idx="157">
                  <c:v>82.4</c:v>
                </c:pt>
                <c:pt idx="158">
                  <c:v>82.4</c:v>
                </c:pt>
                <c:pt idx="159">
                  <c:v>82.4</c:v>
                </c:pt>
                <c:pt idx="160">
                  <c:v>82.5</c:v>
                </c:pt>
                <c:pt idx="161">
                  <c:v>82.4</c:v>
                </c:pt>
                <c:pt idx="162">
                  <c:v>82.5</c:v>
                </c:pt>
                <c:pt idx="163">
                  <c:v>82.5</c:v>
                </c:pt>
                <c:pt idx="164">
                  <c:v>82.5</c:v>
                </c:pt>
                <c:pt idx="165">
                  <c:v>82.6</c:v>
                </c:pt>
                <c:pt idx="166">
                  <c:v>82.6</c:v>
                </c:pt>
                <c:pt idx="167">
                  <c:v>82.6</c:v>
                </c:pt>
                <c:pt idx="168">
                  <c:v>82.6</c:v>
                </c:pt>
                <c:pt idx="169">
                  <c:v>82.6</c:v>
                </c:pt>
                <c:pt idx="170">
                  <c:v>82.6</c:v>
                </c:pt>
                <c:pt idx="171">
                  <c:v>82.6</c:v>
                </c:pt>
                <c:pt idx="172">
                  <c:v>82.6</c:v>
                </c:pt>
                <c:pt idx="173">
                  <c:v>82.6</c:v>
                </c:pt>
                <c:pt idx="174">
                  <c:v>82.5</c:v>
                </c:pt>
                <c:pt idx="175">
                  <c:v>82.5</c:v>
                </c:pt>
                <c:pt idx="176">
                  <c:v>82.5</c:v>
                </c:pt>
                <c:pt idx="177">
                  <c:v>82.5</c:v>
                </c:pt>
                <c:pt idx="178">
                  <c:v>82.6</c:v>
                </c:pt>
                <c:pt idx="179">
                  <c:v>82.6</c:v>
                </c:pt>
                <c:pt idx="180">
                  <c:v>82.6</c:v>
                </c:pt>
                <c:pt idx="181">
                  <c:v>82.7</c:v>
                </c:pt>
                <c:pt idx="182">
                  <c:v>82.7</c:v>
                </c:pt>
                <c:pt idx="183">
                  <c:v>82.7</c:v>
                </c:pt>
                <c:pt idx="184">
                  <c:v>82.7</c:v>
                </c:pt>
                <c:pt idx="185">
                  <c:v>82.7</c:v>
                </c:pt>
                <c:pt idx="186">
                  <c:v>82.7</c:v>
                </c:pt>
                <c:pt idx="187">
                  <c:v>82.7</c:v>
                </c:pt>
                <c:pt idx="188">
                  <c:v>82.7</c:v>
                </c:pt>
                <c:pt idx="189">
                  <c:v>82.8</c:v>
                </c:pt>
                <c:pt idx="190">
                  <c:v>82.8</c:v>
                </c:pt>
                <c:pt idx="191">
                  <c:v>82.8</c:v>
                </c:pt>
                <c:pt idx="192">
                  <c:v>82.8</c:v>
                </c:pt>
                <c:pt idx="193">
                  <c:v>82.8</c:v>
                </c:pt>
                <c:pt idx="194">
                  <c:v>82.8</c:v>
                </c:pt>
                <c:pt idx="195">
                  <c:v>82.9</c:v>
                </c:pt>
                <c:pt idx="196">
                  <c:v>82.9</c:v>
                </c:pt>
                <c:pt idx="197">
                  <c:v>82.9</c:v>
                </c:pt>
                <c:pt idx="198">
                  <c:v>82.9</c:v>
                </c:pt>
                <c:pt idx="199">
                  <c:v>82.9</c:v>
                </c:pt>
                <c:pt idx="200">
                  <c:v>82.9</c:v>
                </c:pt>
                <c:pt idx="201">
                  <c:v>82.9</c:v>
                </c:pt>
                <c:pt idx="202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7-41BC-9BAC-F9E3E9EA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633480"/>
        <c:axId val="719634560"/>
      </c:scatterChart>
      <c:valAx>
        <c:axId val="71963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34560"/>
        <c:crosses val="autoZero"/>
        <c:crossBetween val="midCat"/>
      </c:valAx>
      <c:valAx>
        <c:axId val="7196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33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HX711 Pressure Measurements - Ripper Left Pressure and vacuum </a:t>
            </a:r>
            <a:r>
              <a:rPr lang="en-GB" sz="1400" b="0" i="0" u="none" strike="noStrike" baseline="0"/>
              <a:t> 100ml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'100ml'!$BB$3:$BB$242</c:f>
              <c:numCache>
                <c:formatCode>General</c:formatCode>
                <c:ptCount val="2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</c:numCache>
            </c:numRef>
          </c:xVal>
          <c:yVal>
            <c:numRef>
              <c:f>'100ml'!$BC$3:$BC$242</c:f>
              <c:numCache>
                <c:formatCode>General</c:formatCode>
                <c:ptCount val="24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-0.3</c:v>
                </c:pt>
                <c:pt idx="4">
                  <c:v>-0.3</c:v>
                </c:pt>
                <c:pt idx="5">
                  <c:v>-0.3</c:v>
                </c:pt>
                <c:pt idx="6">
                  <c:v>-0.3</c:v>
                </c:pt>
                <c:pt idx="7">
                  <c:v>-0.4</c:v>
                </c:pt>
                <c:pt idx="8">
                  <c:v>-0.4</c:v>
                </c:pt>
                <c:pt idx="9">
                  <c:v>-0.4</c:v>
                </c:pt>
                <c:pt idx="10">
                  <c:v>-0.4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-0.6</c:v>
                </c:pt>
                <c:pt idx="15">
                  <c:v>-0.7</c:v>
                </c:pt>
                <c:pt idx="16">
                  <c:v>-0.8</c:v>
                </c:pt>
                <c:pt idx="17">
                  <c:v>-0.9</c:v>
                </c:pt>
                <c:pt idx="18">
                  <c:v>-0.9</c:v>
                </c:pt>
                <c:pt idx="19">
                  <c:v>-1</c:v>
                </c:pt>
                <c:pt idx="20">
                  <c:v>-1.1000000000000001</c:v>
                </c:pt>
                <c:pt idx="21">
                  <c:v>-1.3</c:v>
                </c:pt>
                <c:pt idx="22">
                  <c:v>-1.5</c:v>
                </c:pt>
                <c:pt idx="23">
                  <c:v>-2</c:v>
                </c:pt>
                <c:pt idx="24">
                  <c:v>-2.8</c:v>
                </c:pt>
                <c:pt idx="25">
                  <c:v>-3.1</c:v>
                </c:pt>
                <c:pt idx="26">
                  <c:v>-3.2</c:v>
                </c:pt>
                <c:pt idx="27">
                  <c:v>-3.5</c:v>
                </c:pt>
                <c:pt idx="28">
                  <c:v>-4.8</c:v>
                </c:pt>
                <c:pt idx="29">
                  <c:v>-8.6</c:v>
                </c:pt>
                <c:pt idx="30">
                  <c:v>-16</c:v>
                </c:pt>
                <c:pt idx="31">
                  <c:v>-26.8</c:v>
                </c:pt>
                <c:pt idx="32">
                  <c:v>-47</c:v>
                </c:pt>
                <c:pt idx="33">
                  <c:v>-98.1</c:v>
                </c:pt>
                <c:pt idx="34">
                  <c:v>-131.30000000000001</c:v>
                </c:pt>
                <c:pt idx="35">
                  <c:v>-138</c:v>
                </c:pt>
                <c:pt idx="36">
                  <c:v>-143.80000000000001</c:v>
                </c:pt>
                <c:pt idx="37">
                  <c:v>-152.30000000000001</c:v>
                </c:pt>
                <c:pt idx="38">
                  <c:v>-162.6</c:v>
                </c:pt>
                <c:pt idx="39">
                  <c:v>-170.3</c:v>
                </c:pt>
                <c:pt idx="40">
                  <c:v>-176.1</c:v>
                </c:pt>
                <c:pt idx="41">
                  <c:v>-182.3</c:v>
                </c:pt>
                <c:pt idx="42">
                  <c:v>-188.7</c:v>
                </c:pt>
                <c:pt idx="43">
                  <c:v>-194.8</c:v>
                </c:pt>
                <c:pt idx="44">
                  <c:v>-199.5</c:v>
                </c:pt>
                <c:pt idx="45">
                  <c:v>-206.1</c:v>
                </c:pt>
                <c:pt idx="46">
                  <c:v>-217.9</c:v>
                </c:pt>
                <c:pt idx="47">
                  <c:v>-223.7</c:v>
                </c:pt>
                <c:pt idx="48">
                  <c:v>-225.5</c:v>
                </c:pt>
                <c:pt idx="49">
                  <c:v>-227.6</c:v>
                </c:pt>
                <c:pt idx="50">
                  <c:v>-231.7</c:v>
                </c:pt>
                <c:pt idx="51">
                  <c:v>-235.5</c:v>
                </c:pt>
                <c:pt idx="52">
                  <c:v>-236.5</c:v>
                </c:pt>
                <c:pt idx="53">
                  <c:v>-236.6</c:v>
                </c:pt>
                <c:pt idx="54">
                  <c:v>-238.2</c:v>
                </c:pt>
                <c:pt idx="55">
                  <c:v>-239.8</c:v>
                </c:pt>
                <c:pt idx="56">
                  <c:v>-240.4</c:v>
                </c:pt>
                <c:pt idx="57">
                  <c:v>-241.1</c:v>
                </c:pt>
                <c:pt idx="58">
                  <c:v>-241.4</c:v>
                </c:pt>
                <c:pt idx="59">
                  <c:v>-240.4</c:v>
                </c:pt>
                <c:pt idx="60">
                  <c:v>-238.6</c:v>
                </c:pt>
                <c:pt idx="61">
                  <c:v>-237.2</c:v>
                </c:pt>
                <c:pt idx="62">
                  <c:v>-236.1</c:v>
                </c:pt>
                <c:pt idx="63">
                  <c:v>-234.7</c:v>
                </c:pt>
                <c:pt idx="64">
                  <c:v>-233.2</c:v>
                </c:pt>
                <c:pt idx="65">
                  <c:v>-232.2</c:v>
                </c:pt>
                <c:pt idx="66">
                  <c:v>-231.8</c:v>
                </c:pt>
                <c:pt idx="67">
                  <c:v>-231.9</c:v>
                </c:pt>
                <c:pt idx="68">
                  <c:v>-231.6</c:v>
                </c:pt>
                <c:pt idx="69">
                  <c:v>-230.8</c:v>
                </c:pt>
                <c:pt idx="70">
                  <c:v>-229.6</c:v>
                </c:pt>
                <c:pt idx="71">
                  <c:v>-228.8</c:v>
                </c:pt>
                <c:pt idx="72">
                  <c:v>-228.7</c:v>
                </c:pt>
                <c:pt idx="73">
                  <c:v>-229.3</c:v>
                </c:pt>
                <c:pt idx="74">
                  <c:v>-229.8</c:v>
                </c:pt>
                <c:pt idx="75">
                  <c:v>-230.1</c:v>
                </c:pt>
                <c:pt idx="76">
                  <c:v>-230.2</c:v>
                </c:pt>
                <c:pt idx="77">
                  <c:v>-230.2</c:v>
                </c:pt>
                <c:pt idx="78">
                  <c:v>-230.4</c:v>
                </c:pt>
                <c:pt idx="79">
                  <c:v>-230.7</c:v>
                </c:pt>
                <c:pt idx="80">
                  <c:v>-230.7</c:v>
                </c:pt>
                <c:pt idx="81">
                  <c:v>-230.3</c:v>
                </c:pt>
                <c:pt idx="82">
                  <c:v>-230</c:v>
                </c:pt>
                <c:pt idx="83">
                  <c:v>-229.5</c:v>
                </c:pt>
                <c:pt idx="84">
                  <c:v>-228.7</c:v>
                </c:pt>
                <c:pt idx="85">
                  <c:v>-228</c:v>
                </c:pt>
                <c:pt idx="86">
                  <c:v>-227.2</c:v>
                </c:pt>
                <c:pt idx="87">
                  <c:v>-226.4</c:v>
                </c:pt>
                <c:pt idx="88">
                  <c:v>-225.3</c:v>
                </c:pt>
                <c:pt idx="89">
                  <c:v>-223.6</c:v>
                </c:pt>
                <c:pt idx="90">
                  <c:v>-221.9</c:v>
                </c:pt>
                <c:pt idx="91">
                  <c:v>-220.2</c:v>
                </c:pt>
                <c:pt idx="92">
                  <c:v>-218.6</c:v>
                </c:pt>
                <c:pt idx="93">
                  <c:v>-217.1</c:v>
                </c:pt>
                <c:pt idx="94">
                  <c:v>-215.8</c:v>
                </c:pt>
                <c:pt idx="95">
                  <c:v>-215</c:v>
                </c:pt>
                <c:pt idx="96">
                  <c:v>-214.3</c:v>
                </c:pt>
                <c:pt idx="97">
                  <c:v>-213.7</c:v>
                </c:pt>
                <c:pt idx="98">
                  <c:v>-213</c:v>
                </c:pt>
                <c:pt idx="99">
                  <c:v>-212.2</c:v>
                </c:pt>
                <c:pt idx="100">
                  <c:v>-211</c:v>
                </c:pt>
                <c:pt idx="101">
                  <c:v>-209.8</c:v>
                </c:pt>
                <c:pt idx="102">
                  <c:v>-209</c:v>
                </c:pt>
                <c:pt idx="103">
                  <c:v>-208.7</c:v>
                </c:pt>
                <c:pt idx="104">
                  <c:v>-208.6</c:v>
                </c:pt>
                <c:pt idx="105">
                  <c:v>-208.3</c:v>
                </c:pt>
                <c:pt idx="106">
                  <c:v>-207.9</c:v>
                </c:pt>
                <c:pt idx="107">
                  <c:v>-207.4</c:v>
                </c:pt>
                <c:pt idx="108">
                  <c:v>-206.7</c:v>
                </c:pt>
                <c:pt idx="109">
                  <c:v>-205.8</c:v>
                </c:pt>
                <c:pt idx="110">
                  <c:v>-204.8</c:v>
                </c:pt>
                <c:pt idx="111">
                  <c:v>-203.7</c:v>
                </c:pt>
                <c:pt idx="112">
                  <c:v>-202.7</c:v>
                </c:pt>
                <c:pt idx="113">
                  <c:v>-201.9</c:v>
                </c:pt>
                <c:pt idx="114">
                  <c:v>-201.2</c:v>
                </c:pt>
                <c:pt idx="115">
                  <c:v>-200.4</c:v>
                </c:pt>
                <c:pt idx="116">
                  <c:v>-199.5</c:v>
                </c:pt>
                <c:pt idx="117">
                  <c:v>-198.3</c:v>
                </c:pt>
                <c:pt idx="118">
                  <c:v>-197.2</c:v>
                </c:pt>
                <c:pt idx="119">
                  <c:v>-196.4</c:v>
                </c:pt>
                <c:pt idx="120">
                  <c:v>-195.9</c:v>
                </c:pt>
                <c:pt idx="121">
                  <c:v>-195.5</c:v>
                </c:pt>
                <c:pt idx="122">
                  <c:v>-195.2</c:v>
                </c:pt>
                <c:pt idx="123">
                  <c:v>-194.5</c:v>
                </c:pt>
                <c:pt idx="124">
                  <c:v>-193.5</c:v>
                </c:pt>
                <c:pt idx="125">
                  <c:v>-192.1</c:v>
                </c:pt>
                <c:pt idx="126">
                  <c:v>-190.3</c:v>
                </c:pt>
                <c:pt idx="127">
                  <c:v>-188.2</c:v>
                </c:pt>
                <c:pt idx="128">
                  <c:v>-186.1</c:v>
                </c:pt>
                <c:pt idx="129">
                  <c:v>-184.2</c:v>
                </c:pt>
                <c:pt idx="130">
                  <c:v>-182.4</c:v>
                </c:pt>
                <c:pt idx="131">
                  <c:v>-180.5</c:v>
                </c:pt>
                <c:pt idx="132">
                  <c:v>-178.5</c:v>
                </c:pt>
                <c:pt idx="133">
                  <c:v>-176.8</c:v>
                </c:pt>
                <c:pt idx="134">
                  <c:v>-175.5</c:v>
                </c:pt>
                <c:pt idx="135">
                  <c:v>-174.2</c:v>
                </c:pt>
                <c:pt idx="136">
                  <c:v>-173</c:v>
                </c:pt>
                <c:pt idx="137">
                  <c:v>-172.1</c:v>
                </c:pt>
                <c:pt idx="138">
                  <c:v>-171.8</c:v>
                </c:pt>
                <c:pt idx="139">
                  <c:v>-171.8</c:v>
                </c:pt>
                <c:pt idx="140">
                  <c:v>-171.9</c:v>
                </c:pt>
                <c:pt idx="141">
                  <c:v>-172.1</c:v>
                </c:pt>
                <c:pt idx="142">
                  <c:v>-172.5</c:v>
                </c:pt>
                <c:pt idx="143">
                  <c:v>-172.6</c:v>
                </c:pt>
                <c:pt idx="144">
                  <c:v>-172.4</c:v>
                </c:pt>
                <c:pt idx="145">
                  <c:v>-172.2</c:v>
                </c:pt>
                <c:pt idx="146">
                  <c:v>-172</c:v>
                </c:pt>
                <c:pt idx="147">
                  <c:v>-171.8</c:v>
                </c:pt>
                <c:pt idx="148">
                  <c:v>-171.5</c:v>
                </c:pt>
                <c:pt idx="149">
                  <c:v>-171.4</c:v>
                </c:pt>
                <c:pt idx="150">
                  <c:v>-171.4</c:v>
                </c:pt>
                <c:pt idx="151">
                  <c:v>-171.5</c:v>
                </c:pt>
                <c:pt idx="152">
                  <c:v>-171.5</c:v>
                </c:pt>
                <c:pt idx="153">
                  <c:v>-171.3</c:v>
                </c:pt>
                <c:pt idx="154">
                  <c:v>-170.8</c:v>
                </c:pt>
                <c:pt idx="155">
                  <c:v>-170.3</c:v>
                </c:pt>
                <c:pt idx="156">
                  <c:v>-169.9</c:v>
                </c:pt>
                <c:pt idx="157">
                  <c:v>-169.7</c:v>
                </c:pt>
                <c:pt idx="158">
                  <c:v>-169.6</c:v>
                </c:pt>
                <c:pt idx="159">
                  <c:v>-169.7</c:v>
                </c:pt>
                <c:pt idx="160">
                  <c:v>-170.1</c:v>
                </c:pt>
                <c:pt idx="161">
                  <c:v>-170.6</c:v>
                </c:pt>
                <c:pt idx="162">
                  <c:v>-171</c:v>
                </c:pt>
                <c:pt idx="163">
                  <c:v>-170.9</c:v>
                </c:pt>
                <c:pt idx="164">
                  <c:v>-170.4</c:v>
                </c:pt>
                <c:pt idx="165">
                  <c:v>-169.4</c:v>
                </c:pt>
                <c:pt idx="166">
                  <c:v>-167.4</c:v>
                </c:pt>
                <c:pt idx="167">
                  <c:v>-164.9</c:v>
                </c:pt>
                <c:pt idx="168">
                  <c:v>-163.30000000000001</c:v>
                </c:pt>
                <c:pt idx="169">
                  <c:v>-162</c:v>
                </c:pt>
                <c:pt idx="170">
                  <c:v>-160.4</c:v>
                </c:pt>
                <c:pt idx="171">
                  <c:v>-158.19999999999999</c:v>
                </c:pt>
                <c:pt idx="172">
                  <c:v>-155.9</c:v>
                </c:pt>
                <c:pt idx="173">
                  <c:v>-153.4</c:v>
                </c:pt>
                <c:pt idx="174">
                  <c:v>-150.6</c:v>
                </c:pt>
                <c:pt idx="175">
                  <c:v>-147.80000000000001</c:v>
                </c:pt>
                <c:pt idx="176">
                  <c:v>-145.1</c:v>
                </c:pt>
                <c:pt idx="177">
                  <c:v>-142.4</c:v>
                </c:pt>
                <c:pt idx="178">
                  <c:v>-139.69999999999999</c:v>
                </c:pt>
                <c:pt idx="179">
                  <c:v>-136.4</c:v>
                </c:pt>
                <c:pt idx="180">
                  <c:v>-132.19999999999999</c:v>
                </c:pt>
                <c:pt idx="181">
                  <c:v>-126.4</c:v>
                </c:pt>
                <c:pt idx="182">
                  <c:v>-118.6</c:v>
                </c:pt>
                <c:pt idx="183">
                  <c:v>-108.5</c:v>
                </c:pt>
                <c:pt idx="184">
                  <c:v>-96.9</c:v>
                </c:pt>
                <c:pt idx="185">
                  <c:v>-84.4</c:v>
                </c:pt>
                <c:pt idx="186">
                  <c:v>-62.1</c:v>
                </c:pt>
                <c:pt idx="187">
                  <c:v>-1.5</c:v>
                </c:pt>
                <c:pt idx="188">
                  <c:v>62.6</c:v>
                </c:pt>
                <c:pt idx="189">
                  <c:v>116.5</c:v>
                </c:pt>
                <c:pt idx="190">
                  <c:v>174.4</c:v>
                </c:pt>
                <c:pt idx="191">
                  <c:v>234.8</c:v>
                </c:pt>
                <c:pt idx="192">
                  <c:v>285.5</c:v>
                </c:pt>
                <c:pt idx="193">
                  <c:v>323.89999999999998</c:v>
                </c:pt>
                <c:pt idx="194">
                  <c:v>358.6</c:v>
                </c:pt>
                <c:pt idx="195">
                  <c:v>398.3</c:v>
                </c:pt>
                <c:pt idx="196">
                  <c:v>443.8</c:v>
                </c:pt>
                <c:pt idx="197">
                  <c:v>487</c:v>
                </c:pt>
                <c:pt idx="198">
                  <c:v>520.6</c:v>
                </c:pt>
                <c:pt idx="199">
                  <c:v>551.4</c:v>
                </c:pt>
                <c:pt idx="200">
                  <c:v>585.79999999999995</c:v>
                </c:pt>
                <c:pt idx="201">
                  <c:v>620.5</c:v>
                </c:pt>
                <c:pt idx="202">
                  <c:v>650.4</c:v>
                </c:pt>
                <c:pt idx="203">
                  <c:v>672.7</c:v>
                </c:pt>
                <c:pt idx="204">
                  <c:v>687.1</c:v>
                </c:pt>
                <c:pt idx="205">
                  <c:v>696.8</c:v>
                </c:pt>
                <c:pt idx="206">
                  <c:v>704.2</c:v>
                </c:pt>
                <c:pt idx="207">
                  <c:v>711.5</c:v>
                </c:pt>
                <c:pt idx="208">
                  <c:v>718.2</c:v>
                </c:pt>
                <c:pt idx="209">
                  <c:v>722.8</c:v>
                </c:pt>
                <c:pt idx="210">
                  <c:v>726.6</c:v>
                </c:pt>
                <c:pt idx="211">
                  <c:v>728.3</c:v>
                </c:pt>
                <c:pt idx="212">
                  <c:v>732.5</c:v>
                </c:pt>
                <c:pt idx="213">
                  <c:v>746.4</c:v>
                </c:pt>
                <c:pt idx="214">
                  <c:v>759</c:v>
                </c:pt>
                <c:pt idx="215">
                  <c:v>765.3</c:v>
                </c:pt>
                <c:pt idx="216">
                  <c:v>775.4</c:v>
                </c:pt>
                <c:pt idx="217">
                  <c:v>784.6</c:v>
                </c:pt>
                <c:pt idx="218">
                  <c:v>789.4</c:v>
                </c:pt>
                <c:pt idx="219">
                  <c:v>792.6</c:v>
                </c:pt>
                <c:pt idx="220">
                  <c:v>779.1</c:v>
                </c:pt>
                <c:pt idx="221">
                  <c:v>734.2</c:v>
                </c:pt>
                <c:pt idx="222">
                  <c:v>657.6</c:v>
                </c:pt>
                <c:pt idx="223">
                  <c:v>573.6</c:v>
                </c:pt>
                <c:pt idx="224">
                  <c:v>492.9</c:v>
                </c:pt>
                <c:pt idx="225">
                  <c:v>414.6</c:v>
                </c:pt>
                <c:pt idx="226">
                  <c:v>339.9</c:v>
                </c:pt>
                <c:pt idx="227">
                  <c:v>270.2</c:v>
                </c:pt>
                <c:pt idx="228">
                  <c:v>200.4</c:v>
                </c:pt>
                <c:pt idx="229">
                  <c:v>116.9</c:v>
                </c:pt>
                <c:pt idx="230">
                  <c:v>39.799999999999997</c:v>
                </c:pt>
                <c:pt idx="231">
                  <c:v>-6.4</c:v>
                </c:pt>
                <c:pt idx="232">
                  <c:v>-27.8</c:v>
                </c:pt>
                <c:pt idx="233">
                  <c:v>-38.700000000000003</c:v>
                </c:pt>
                <c:pt idx="234">
                  <c:v>-43.6</c:v>
                </c:pt>
                <c:pt idx="235">
                  <c:v>-45</c:v>
                </c:pt>
                <c:pt idx="236">
                  <c:v>-45.7</c:v>
                </c:pt>
                <c:pt idx="237">
                  <c:v>-46.1</c:v>
                </c:pt>
                <c:pt idx="238">
                  <c:v>-46.5</c:v>
                </c:pt>
                <c:pt idx="239">
                  <c:v>-46.8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8-4168-9A8B-33BEB44179E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'100ml'!$BB$3:$BB$242</c:f>
              <c:numCache>
                <c:formatCode>General</c:formatCode>
                <c:ptCount val="2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</c:numCache>
            </c:numRef>
          </c:xVal>
          <c:yVal>
            <c:numRef>
              <c:f>'100ml'!$BD$3:$BD$242</c:f>
              <c:numCache>
                <c:formatCode>General</c:formatCode>
                <c:ptCount val="240"/>
                <c:pt idx="0">
                  <c:v>-11.7</c:v>
                </c:pt>
                <c:pt idx="1">
                  <c:v>-12.7</c:v>
                </c:pt>
                <c:pt idx="2">
                  <c:v>-13.5</c:v>
                </c:pt>
                <c:pt idx="3">
                  <c:v>-14.2</c:v>
                </c:pt>
                <c:pt idx="4">
                  <c:v>-14.8</c:v>
                </c:pt>
                <c:pt idx="5">
                  <c:v>-15.3</c:v>
                </c:pt>
                <c:pt idx="6">
                  <c:v>-15.8</c:v>
                </c:pt>
                <c:pt idx="7">
                  <c:v>-16.3</c:v>
                </c:pt>
                <c:pt idx="8">
                  <c:v>-16.7</c:v>
                </c:pt>
                <c:pt idx="9">
                  <c:v>-17</c:v>
                </c:pt>
                <c:pt idx="10">
                  <c:v>-17.399999999999999</c:v>
                </c:pt>
                <c:pt idx="11">
                  <c:v>-17.899999999999999</c:v>
                </c:pt>
                <c:pt idx="12">
                  <c:v>-19.600000000000001</c:v>
                </c:pt>
                <c:pt idx="13">
                  <c:v>-24.6</c:v>
                </c:pt>
                <c:pt idx="14">
                  <c:v>-34.6</c:v>
                </c:pt>
                <c:pt idx="15">
                  <c:v>-47.2</c:v>
                </c:pt>
                <c:pt idx="16">
                  <c:v>-58.7</c:v>
                </c:pt>
                <c:pt idx="17">
                  <c:v>-66.8</c:v>
                </c:pt>
                <c:pt idx="18">
                  <c:v>-72.7</c:v>
                </c:pt>
                <c:pt idx="19">
                  <c:v>-80.8</c:v>
                </c:pt>
                <c:pt idx="20">
                  <c:v>-91.9</c:v>
                </c:pt>
                <c:pt idx="21">
                  <c:v>-103.7</c:v>
                </c:pt>
                <c:pt idx="22">
                  <c:v>-115.4</c:v>
                </c:pt>
                <c:pt idx="23">
                  <c:v>-129.4</c:v>
                </c:pt>
                <c:pt idx="24">
                  <c:v>-157.19999999999999</c:v>
                </c:pt>
                <c:pt idx="25">
                  <c:v>-178.3</c:v>
                </c:pt>
                <c:pt idx="26">
                  <c:v>-188.9</c:v>
                </c:pt>
                <c:pt idx="27">
                  <c:v>-197.9</c:v>
                </c:pt>
                <c:pt idx="28">
                  <c:v>-202.5</c:v>
                </c:pt>
                <c:pt idx="29">
                  <c:v>-204.9</c:v>
                </c:pt>
                <c:pt idx="30">
                  <c:v>-206.4</c:v>
                </c:pt>
                <c:pt idx="31">
                  <c:v>-208.9</c:v>
                </c:pt>
                <c:pt idx="32">
                  <c:v>-211.6</c:v>
                </c:pt>
                <c:pt idx="33">
                  <c:v>-214.2</c:v>
                </c:pt>
                <c:pt idx="34">
                  <c:v>-216.6</c:v>
                </c:pt>
                <c:pt idx="35">
                  <c:v>-218.2</c:v>
                </c:pt>
                <c:pt idx="36">
                  <c:v>-221.1</c:v>
                </c:pt>
                <c:pt idx="37">
                  <c:v>-225</c:v>
                </c:pt>
                <c:pt idx="38">
                  <c:v>-226.9</c:v>
                </c:pt>
                <c:pt idx="39">
                  <c:v>-227.9</c:v>
                </c:pt>
                <c:pt idx="40">
                  <c:v>-227.9</c:v>
                </c:pt>
                <c:pt idx="41">
                  <c:v>-227.5</c:v>
                </c:pt>
                <c:pt idx="42">
                  <c:v>-226.7</c:v>
                </c:pt>
                <c:pt idx="43">
                  <c:v>-225</c:v>
                </c:pt>
                <c:pt idx="44">
                  <c:v>-222.8</c:v>
                </c:pt>
                <c:pt idx="45">
                  <c:v>-221</c:v>
                </c:pt>
                <c:pt idx="46">
                  <c:v>-220.5</c:v>
                </c:pt>
                <c:pt idx="47">
                  <c:v>-221</c:v>
                </c:pt>
                <c:pt idx="48">
                  <c:v>-222</c:v>
                </c:pt>
                <c:pt idx="49">
                  <c:v>-222.2</c:v>
                </c:pt>
                <c:pt idx="50">
                  <c:v>-222.3</c:v>
                </c:pt>
                <c:pt idx="51">
                  <c:v>-222.2</c:v>
                </c:pt>
                <c:pt idx="52">
                  <c:v>-222</c:v>
                </c:pt>
                <c:pt idx="53">
                  <c:v>-222.2</c:v>
                </c:pt>
                <c:pt idx="54">
                  <c:v>-222.8</c:v>
                </c:pt>
                <c:pt idx="55">
                  <c:v>-222.9</c:v>
                </c:pt>
                <c:pt idx="56">
                  <c:v>-222.6</c:v>
                </c:pt>
                <c:pt idx="57">
                  <c:v>-222.2</c:v>
                </c:pt>
                <c:pt idx="58">
                  <c:v>-221.6</c:v>
                </c:pt>
                <c:pt idx="59">
                  <c:v>-220.7</c:v>
                </c:pt>
                <c:pt idx="60">
                  <c:v>-219.5</c:v>
                </c:pt>
                <c:pt idx="61">
                  <c:v>-218.4</c:v>
                </c:pt>
                <c:pt idx="62">
                  <c:v>-217.5</c:v>
                </c:pt>
                <c:pt idx="63">
                  <c:v>-217</c:v>
                </c:pt>
                <c:pt idx="64">
                  <c:v>-216.8</c:v>
                </c:pt>
                <c:pt idx="65">
                  <c:v>-216.7</c:v>
                </c:pt>
                <c:pt idx="66">
                  <c:v>-216.9</c:v>
                </c:pt>
                <c:pt idx="67">
                  <c:v>-217.3</c:v>
                </c:pt>
                <c:pt idx="68">
                  <c:v>-217.3</c:v>
                </c:pt>
                <c:pt idx="69">
                  <c:v>-217</c:v>
                </c:pt>
                <c:pt idx="70">
                  <c:v>-216.3</c:v>
                </c:pt>
                <c:pt idx="71">
                  <c:v>-215.4</c:v>
                </c:pt>
                <c:pt idx="72">
                  <c:v>-214.4</c:v>
                </c:pt>
                <c:pt idx="73">
                  <c:v>-213.1</c:v>
                </c:pt>
                <c:pt idx="74">
                  <c:v>-211.6</c:v>
                </c:pt>
                <c:pt idx="75">
                  <c:v>-210.8</c:v>
                </c:pt>
                <c:pt idx="76">
                  <c:v>-210.5</c:v>
                </c:pt>
                <c:pt idx="77">
                  <c:v>-210.3</c:v>
                </c:pt>
                <c:pt idx="78">
                  <c:v>-210.4</c:v>
                </c:pt>
                <c:pt idx="79">
                  <c:v>-210.7</c:v>
                </c:pt>
                <c:pt idx="80">
                  <c:v>-211.3</c:v>
                </c:pt>
                <c:pt idx="81">
                  <c:v>-212.2</c:v>
                </c:pt>
                <c:pt idx="82">
                  <c:v>-212.9</c:v>
                </c:pt>
                <c:pt idx="83">
                  <c:v>-213.6</c:v>
                </c:pt>
                <c:pt idx="84">
                  <c:v>-214.5</c:v>
                </c:pt>
                <c:pt idx="85">
                  <c:v>-215.1</c:v>
                </c:pt>
                <c:pt idx="86">
                  <c:v>-215.4</c:v>
                </c:pt>
                <c:pt idx="87">
                  <c:v>-215.6</c:v>
                </c:pt>
                <c:pt idx="88">
                  <c:v>-215.5</c:v>
                </c:pt>
                <c:pt idx="89">
                  <c:v>-214.9</c:v>
                </c:pt>
                <c:pt idx="90">
                  <c:v>-214</c:v>
                </c:pt>
                <c:pt idx="91">
                  <c:v>-213</c:v>
                </c:pt>
                <c:pt idx="92">
                  <c:v>-212.3</c:v>
                </c:pt>
                <c:pt idx="93">
                  <c:v>-211.7</c:v>
                </c:pt>
                <c:pt idx="94">
                  <c:v>-210.8</c:v>
                </c:pt>
                <c:pt idx="95">
                  <c:v>-209.9</c:v>
                </c:pt>
                <c:pt idx="96">
                  <c:v>-209.3</c:v>
                </c:pt>
                <c:pt idx="97">
                  <c:v>-208.7</c:v>
                </c:pt>
                <c:pt idx="98">
                  <c:v>-208.2</c:v>
                </c:pt>
                <c:pt idx="99">
                  <c:v>-207.9</c:v>
                </c:pt>
                <c:pt idx="100">
                  <c:v>-208</c:v>
                </c:pt>
                <c:pt idx="101">
                  <c:v>-208.1</c:v>
                </c:pt>
                <c:pt idx="102">
                  <c:v>-208.2</c:v>
                </c:pt>
                <c:pt idx="103">
                  <c:v>-208.5</c:v>
                </c:pt>
                <c:pt idx="104">
                  <c:v>-208.9</c:v>
                </c:pt>
                <c:pt idx="105">
                  <c:v>-209.4</c:v>
                </c:pt>
                <c:pt idx="106">
                  <c:v>-209.8</c:v>
                </c:pt>
                <c:pt idx="107">
                  <c:v>-209.9</c:v>
                </c:pt>
                <c:pt idx="108">
                  <c:v>-209.6</c:v>
                </c:pt>
                <c:pt idx="109">
                  <c:v>-209.1</c:v>
                </c:pt>
                <c:pt idx="110">
                  <c:v>-208.5</c:v>
                </c:pt>
                <c:pt idx="111">
                  <c:v>-207.8</c:v>
                </c:pt>
                <c:pt idx="112">
                  <c:v>-207.1</c:v>
                </c:pt>
                <c:pt idx="113">
                  <c:v>-206.6</c:v>
                </c:pt>
                <c:pt idx="114">
                  <c:v>-206.3</c:v>
                </c:pt>
                <c:pt idx="115">
                  <c:v>-206.1</c:v>
                </c:pt>
                <c:pt idx="116">
                  <c:v>-206</c:v>
                </c:pt>
                <c:pt idx="117">
                  <c:v>-205.8</c:v>
                </c:pt>
                <c:pt idx="118">
                  <c:v>-205.7</c:v>
                </c:pt>
                <c:pt idx="119">
                  <c:v>-205.9</c:v>
                </c:pt>
                <c:pt idx="120">
                  <c:v>-205.9</c:v>
                </c:pt>
                <c:pt idx="121">
                  <c:v>-204.9</c:v>
                </c:pt>
                <c:pt idx="122">
                  <c:v>-203</c:v>
                </c:pt>
                <c:pt idx="123">
                  <c:v>-200.2</c:v>
                </c:pt>
                <c:pt idx="124">
                  <c:v>-195.5</c:v>
                </c:pt>
                <c:pt idx="125">
                  <c:v>-189.5</c:v>
                </c:pt>
                <c:pt idx="126">
                  <c:v>-184.1</c:v>
                </c:pt>
                <c:pt idx="127">
                  <c:v>-179.4</c:v>
                </c:pt>
                <c:pt idx="128">
                  <c:v>-174.7</c:v>
                </c:pt>
                <c:pt idx="129">
                  <c:v>-170.2</c:v>
                </c:pt>
                <c:pt idx="130">
                  <c:v>-165.9</c:v>
                </c:pt>
                <c:pt idx="131">
                  <c:v>-161.80000000000001</c:v>
                </c:pt>
                <c:pt idx="132">
                  <c:v>-157.6</c:v>
                </c:pt>
                <c:pt idx="133">
                  <c:v>-152.9</c:v>
                </c:pt>
                <c:pt idx="134">
                  <c:v>-147.80000000000001</c:v>
                </c:pt>
                <c:pt idx="135">
                  <c:v>-142.30000000000001</c:v>
                </c:pt>
                <c:pt idx="136">
                  <c:v>-136.5</c:v>
                </c:pt>
                <c:pt idx="137">
                  <c:v>-130.19999999999999</c:v>
                </c:pt>
                <c:pt idx="138">
                  <c:v>-124.3</c:v>
                </c:pt>
                <c:pt idx="139">
                  <c:v>-119.4</c:v>
                </c:pt>
                <c:pt idx="140">
                  <c:v>-115</c:v>
                </c:pt>
                <c:pt idx="141">
                  <c:v>-110.5</c:v>
                </c:pt>
                <c:pt idx="142">
                  <c:v>-104.6</c:v>
                </c:pt>
                <c:pt idx="143">
                  <c:v>-96.4</c:v>
                </c:pt>
                <c:pt idx="144">
                  <c:v>-86.4</c:v>
                </c:pt>
                <c:pt idx="145">
                  <c:v>-75.599999999999994</c:v>
                </c:pt>
                <c:pt idx="146">
                  <c:v>-63.8</c:v>
                </c:pt>
                <c:pt idx="147">
                  <c:v>-48.9</c:v>
                </c:pt>
                <c:pt idx="148">
                  <c:v>-32.299999999999997</c:v>
                </c:pt>
                <c:pt idx="149">
                  <c:v>-14.6</c:v>
                </c:pt>
                <c:pt idx="150">
                  <c:v>8.1</c:v>
                </c:pt>
                <c:pt idx="151">
                  <c:v>41.1</c:v>
                </c:pt>
                <c:pt idx="152">
                  <c:v>89.1</c:v>
                </c:pt>
                <c:pt idx="153">
                  <c:v>138.80000000000001</c:v>
                </c:pt>
                <c:pt idx="154">
                  <c:v>176.7</c:v>
                </c:pt>
                <c:pt idx="155">
                  <c:v>203.9</c:v>
                </c:pt>
                <c:pt idx="156">
                  <c:v>226.5</c:v>
                </c:pt>
                <c:pt idx="157">
                  <c:v>248.4</c:v>
                </c:pt>
                <c:pt idx="158">
                  <c:v>270.7</c:v>
                </c:pt>
                <c:pt idx="159">
                  <c:v>292</c:v>
                </c:pt>
                <c:pt idx="160">
                  <c:v>313.60000000000002</c:v>
                </c:pt>
                <c:pt idx="161">
                  <c:v>338.9</c:v>
                </c:pt>
                <c:pt idx="162">
                  <c:v>369</c:v>
                </c:pt>
                <c:pt idx="163">
                  <c:v>401.1</c:v>
                </c:pt>
                <c:pt idx="164">
                  <c:v>432.4</c:v>
                </c:pt>
                <c:pt idx="165">
                  <c:v>456.7</c:v>
                </c:pt>
                <c:pt idx="166">
                  <c:v>475.3</c:v>
                </c:pt>
                <c:pt idx="167">
                  <c:v>494.9</c:v>
                </c:pt>
                <c:pt idx="168">
                  <c:v>518.70000000000005</c:v>
                </c:pt>
                <c:pt idx="169">
                  <c:v>545.4</c:v>
                </c:pt>
                <c:pt idx="170">
                  <c:v>572.70000000000005</c:v>
                </c:pt>
                <c:pt idx="171">
                  <c:v>595.1</c:v>
                </c:pt>
                <c:pt idx="172">
                  <c:v>611.79999999999995</c:v>
                </c:pt>
                <c:pt idx="173">
                  <c:v>627.5</c:v>
                </c:pt>
                <c:pt idx="174">
                  <c:v>646.29999999999995</c:v>
                </c:pt>
                <c:pt idx="175">
                  <c:v>662.3</c:v>
                </c:pt>
                <c:pt idx="176">
                  <c:v>674.9</c:v>
                </c:pt>
                <c:pt idx="177">
                  <c:v>683.3</c:v>
                </c:pt>
                <c:pt idx="178">
                  <c:v>685.6</c:v>
                </c:pt>
                <c:pt idx="179">
                  <c:v>687.2</c:v>
                </c:pt>
                <c:pt idx="180">
                  <c:v>689</c:v>
                </c:pt>
                <c:pt idx="181">
                  <c:v>692.3</c:v>
                </c:pt>
                <c:pt idx="182">
                  <c:v>698</c:v>
                </c:pt>
                <c:pt idx="183">
                  <c:v>704</c:v>
                </c:pt>
                <c:pt idx="184">
                  <c:v>701.3</c:v>
                </c:pt>
                <c:pt idx="185">
                  <c:v>693.2</c:v>
                </c:pt>
                <c:pt idx="186">
                  <c:v>691.2</c:v>
                </c:pt>
                <c:pt idx="187">
                  <c:v>694.6</c:v>
                </c:pt>
                <c:pt idx="188">
                  <c:v>694.7</c:v>
                </c:pt>
                <c:pt idx="189">
                  <c:v>669.7</c:v>
                </c:pt>
                <c:pt idx="190">
                  <c:v>594.5</c:v>
                </c:pt>
                <c:pt idx="191">
                  <c:v>508.6</c:v>
                </c:pt>
                <c:pt idx="192">
                  <c:v>427.3</c:v>
                </c:pt>
                <c:pt idx="193">
                  <c:v>350.2</c:v>
                </c:pt>
                <c:pt idx="194">
                  <c:v>278.60000000000002</c:v>
                </c:pt>
                <c:pt idx="195">
                  <c:v>211.5</c:v>
                </c:pt>
                <c:pt idx="196">
                  <c:v>143.5</c:v>
                </c:pt>
                <c:pt idx="197">
                  <c:v>75.2</c:v>
                </c:pt>
                <c:pt idx="198">
                  <c:v>23.1</c:v>
                </c:pt>
                <c:pt idx="199">
                  <c:v>-4.2</c:v>
                </c:pt>
                <c:pt idx="200">
                  <c:v>-17.5</c:v>
                </c:pt>
                <c:pt idx="201">
                  <c:v>-25.2</c:v>
                </c:pt>
                <c:pt idx="202">
                  <c:v>-29.3</c:v>
                </c:pt>
                <c:pt idx="203">
                  <c:v>-30.7</c:v>
                </c:pt>
                <c:pt idx="204">
                  <c:v>-31.3</c:v>
                </c:pt>
                <c:pt idx="205">
                  <c:v>-31.8</c:v>
                </c:pt>
                <c:pt idx="206">
                  <c:v>-32.200000000000003</c:v>
                </c:pt>
                <c:pt idx="207">
                  <c:v>-32.6</c:v>
                </c:pt>
                <c:pt idx="208">
                  <c:v>-32.799999999999997</c:v>
                </c:pt>
                <c:pt idx="209">
                  <c:v>-32.9</c:v>
                </c:pt>
                <c:pt idx="210">
                  <c:v>-32.9</c:v>
                </c:pt>
                <c:pt idx="211">
                  <c:v>-32.9</c:v>
                </c:pt>
                <c:pt idx="212">
                  <c:v>-32.9</c:v>
                </c:pt>
                <c:pt idx="213">
                  <c:v>-32.799999999999997</c:v>
                </c:pt>
                <c:pt idx="214">
                  <c:v>-32.799999999999997</c:v>
                </c:pt>
                <c:pt idx="215">
                  <c:v>-32.799999999999997</c:v>
                </c:pt>
                <c:pt idx="216">
                  <c:v>-32.700000000000003</c:v>
                </c:pt>
                <c:pt idx="217">
                  <c:v>-32.6</c:v>
                </c:pt>
                <c:pt idx="218">
                  <c:v>-32.5</c:v>
                </c:pt>
                <c:pt idx="219">
                  <c:v>-32.4</c:v>
                </c:pt>
                <c:pt idx="220">
                  <c:v>-32.200000000000003</c:v>
                </c:pt>
                <c:pt idx="221">
                  <c:v>-32.1</c:v>
                </c:pt>
                <c:pt idx="222">
                  <c:v>-32</c:v>
                </c:pt>
                <c:pt idx="223">
                  <c:v>-31.9</c:v>
                </c:pt>
                <c:pt idx="224">
                  <c:v>-31.7</c:v>
                </c:pt>
                <c:pt idx="225">
                  <c:v>-31.6</c:v>
                </c:pt>
                <c:pt idx="226">
                  <c:v>-31.5</c:v>
                </c:pt>
                <c:pt idx="227">
                  <c:v>-31.3</c:v>
                </c:pt>
                <c:pt idx="228">
                  <c:v>-31.2</c:v>
                </c:pt>
                <c:pt idx="229">
                  <c:v>-31.1</c:v>
                </c:pt>
                <c:pt idx="230">
                  <c:v>-30.9</c:v>
                </c:pt>
                <c:pt idx="231">
                  <c:v>-30.8</c:v>
                </c:pt>
                <c:pt idx="232">
                  <c:v>-30.6</c:v>
                </c:pt>
                <c:pt idx="233">
                  <c:v>-30.5</c:v>
                </c:pt>
                <c:pt idx="234">
                  <c:v>-30.4</c:v>
                </c:pt>
                <c:pt idx="235">
                  <c:v>-30.3</c:v>
                </c:pt>
                <c:pt idx="236">
                  <c:v>-30.2</c:v>
                </c:pt>
                <c:pt idx="237">
                  <c:v>-30.1</c:v>
                </c:pt>
                <c:pt idx="238">
                  <c:v>-30</c:v>
                </c:pt>
                <c:pt idx="239">
                  <c:v>-29.9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8-4168-9A8B-33BEB44179E7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'100ml'!$BB$3:$BB$242</c:f>
              <c:numCache>
                <c:formatCode>General</c:formatCode>
                <c:ptCount val="2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</c:numCache>
            </c:numRef>
          </c:xVal>
          <c:yVal>
            <c:numRef>
              <c:f>'100ml'!$BE$3:$BE$242</c:f>
              <c:numCache>
                <c:formatCode>General</c:formatCode>
                <c:ptCount val="240"/>
                <c:pt idx="0">
                  <c:v>-2.7</c:v>
                </c:pt>
                <c:pt idx="1">
                  <c:v>-4.4000000000000004</c:v>
                </c:pt>
                <c:pt idx="2">
                  <c:v>-7.7</c:v>
                </c:pt>
                <c:pt idx="3">
                  <c:v>-13.2</c:v>
                </c:pt>
                <c:pt idx="4">
                  <c:v>-21.9</c:v>
                </c:pt>
                <c:pt idx="5">
                  <c:v>-34.6</c:v>
                </c:pt>
                <c:pt idx="6">
                  <c:v>-49.7</c:v>
                </c:pt>
                <c:pt idx="7">
                  <c:v>-63.7</c:v>
                </c:pt>
                <c:pt idx="8">
                  <c:v>-75.900000000000006</c:v>
                </c:pt>
                <c:pt idx="9">
                  <c:v>-87.2</c:v>
                </c:pt>
                <c:pt idx="10">
                  <c:v>-100.3</c:v>
                </c:pt>
                <c:pt idx="11">
                  <c:v>-116</c:v>
                </c:pt>
                <c:pt idx="12">
                  <c:v>-145</c:v>
                </c:pt>
                <c:pt idx="13">
                  <c:v>-168.3</c:v>
                </c:pt>
                <c:pt idx="14">
                  <c:v>-177.8</c:v>
                </c:pt>
                <c:pt idx="15">
                  <c:v>-185.4</c:v>
                </c:pt>
                <c:pt idx="16">
                  <c:v>-194.4</c:v>
                </c:pt>
                <c:pt idx="17">
                  <c:v>-202.2</c:v>
                </c:pt>
                <c:pt idx="18">
                  <c:v>-207.1</c:v>
                </c:pt>
                <c:pt idx="19">
                  <c:v>-212.8</c:v>
                </c:pt>
                <c:pt idx="20">
                  <c:v>-223.4</c:v>
                </c:pt>
                <c:pt idx="21">
                  <c:v>-238.8</c:v>
                </c:pt>
                <c:pt idx="22">
                  <c:v>-254</c:v>
                </c:pt>
                <c:pt idx="23">
                  <c:v>-266.8</c:v>
                </c:pt>
                <c:pt idx="24">
                  <c:v>-274.39999999999998</c:v>
                </c:pt>
                <c:pt idx="25">
                  <c:v>-278.60000000000002</c:v>
                </c:pt>
                <c:pt idx="26">
                  <c:v>-281.8</c:v>
                </c:pt>
                <c:pt idx="27">
                  <c:v>-285.5</c:v>
                </c:pt>
                <c:pt idx="28">
                  <c:v>-290.10000000000002</c:v>
                </c:pt>
                <c:pt idx="29">
                  <c:v>-295</c:v>
                </c:pt>
                <c:pt idx="30">
                  <c:v>-299.39999999999998</c:v>
                </c:pt>
                <c:pt idx="31">
                  <c:v>-301.8</c:v>
                </c:pt>
                <c:pt idx="32">
                  <c:v>-302.2</c:v>
                </c:pt>
                <c:pt idx="33">
                  <c:v>-301.10000000000002</c:v>
                </c:pt>
                <c:pt idx="34">
                  <c:v>-298.5</c:v>
                </c:pt>
                <c:pt idx="35">
                  <c:v>-294.89999999999998</c:v>
                </c:pt>
                <c:pt idx="36">
                  <c:v>-291.10000000000002</c:v>
                </c:pt>
                <c:pt idx="37">
                  <c:v>-288.60000000000002</c:v>
                </c:pt>
                <c:pt idx="38">
                  <c:v>-287.8</c:v>
                </c:pt>
                <c:pt idx="39">
                  <c:v>-288.8</c:v>
                </c:pt>
                <c:pt idx="40">
                  <c:v>-290</c:v>
                </c:pt>
                <c:pt idx="41">
                  <c:v>-291.10000000000002</c:v>
                </c:pt>
                <c:pt idx="42">
                  <c:v>-291.8</c:v>
                </c:pt>
                <c:pt idx="43">
                  <c:v>-291.89999999999998</c:v>
                </c:pt>
                <c:pt idx="44">
                  <c:v>-291.3</c:v>
                </c:pt>
                <c:pt idx="45">
                  <c:v>-290.60000000000002</c:v>
                </c:pt>
                <c:pt idx="46">
                  <c:v>-290.60000000000002</c:v>
                </c:pt>
                <c:pt idx="47">
                  <c:v>-291.10000000000002</c:v>
                </c:pt>
                <c:pt idx="48">
                  <c:v>-291.2</c:v>
                </c:pt>
                <c:pt idx="49">
                  <c:v>-290.3</c:v>
                </c:pt>
                <c:pt idx="50">
                  <c:v>-288.39999999999998</c:v>
                </c:pt>
                <c:pt idx="51">
                  <c:v>-285.89999999999998</c:v>
                </c:pt>
                <c:pt idx="52">
                  <c:v>-283.39999999999998</c:v>
                </c:pt>
                <c:pt idx="53">
                  <c:v>-280.5</c:v>
                </c:pt>
                <c:pt idx="54">
                  <c:v>-277.10000000000002</c:v>
                </c:pt>
                <c:pt idx="55">
                  <c:v>-274.39999999999998</c:v>
                </c:pt>
                <c:pt idx="56">
                  <c:v>-272.89999999999998</c:v>
                </c:pt>
                <c:pt idx="57">
                  <c:v>-271.7</c:v>
                </c:pt>
                <c:pt idx="58">
                  <c:v>-270.2</c:v>
                </c:pt>
                <c:pt idx="59">
                  <c:v>-268.60000000000002</c:v>
                </c:pt>
                <c:pt idx="60">
                  <c:v>-267.3</c:v>
                </c:pt>
                <c:pt idx="61">
                  <c:v>-266.89999999999998</c:v>
                </c:pt>
                <c:pt idx="62">
                  <c:v>-268</c:v>
                </c:pt>
                <c:pt idx="63">
                  <c:v>-269.89999999999998</c:v>
                </c:pt>
                <c:pt idx="64">
                  <c:v>-271</c:v>
                </c:pt>
                <c:pt idx="65">
                  <c:v>-270.8</c:v>
                </c:pt>
                <c:pt idx="66">
                  <c:v>-269.5</c:v>
                </c:pt>
                <c:pt idx="67">
                  <c:v>-268.60000000000002</c:v>
                </c:pt>
                <c:pt idx="68">
                  <c:v>-269</c:v>
                </c:pt>
                <c:pt idx="69">
                  <c:v>-271.39999999999998</c:v>
                </c:pt>
                <c:pt idx="70">
                  <c:v>-273.39999999999998</c:v>
                </c:pt>
                <c:pt idx="71">
                  <c:v>-270.7</c:v>
                </c:pt>
                <c:pt idx="72">
                  <c:v>-265.10000000000002</c:v>
                </c:pt>
                <c:pt idx="73">
                  <c:v>-263.2</c:v>
                </c:pt>
                <c:pt idx="74">
                  <c:v>-264.3</c:v>
                </c:pt>
                <c:pt idx="75">
                  <c:v>-266.5</c:v>
                </c:pt>
                <c:pt idx="76">
                  <c:v>-268.2</c:v>
                </c:pt>
                <c:pt idx="77">
                  <c:v>-269.39999999999998</c:v>
                </c:pt>
                <c:pt idx="78">
                  <c:v>-270.39999999999998</c:v>
                </c:pt>
                <c:pt idx="79">
                  <c:v>-270.8</c:v>
                </c:pt>
                <c:pt idx="80">
                  <c:v>-270.5</c:v>
                </c:pt>
                <c:pt idx="81">
                  <c:v>-269.10000000000002</c:v>
                </c:pt>
                <c:pt idx="82">
                  <c:v>-265.89999999999998</c:v>
                </c:pt>
                <c:pt idx="83">
                  <c:v>-260.60000000000002</c:v>
                </c:pt>
                <c:pt idx="84">
                  <c:v>-253</c:v>
                </c:pt>
                <c:pt idx="85">
                  <c:v>-243.4</c:v>
                </c:pt>
                <c:pt idx="86">
                  <c:v>-235.3</c:v>
                </c:pt>
                <c:pt idx="87">
                  <c:v>-231</c:v>
                </c:pt>
                <c:pt idx="88">
                  <c:v>-227.8</c:v>
                </c:pt>
                <c:pt idx="89">
                  <c:v>-224.6</c:v>
                </c:pt>
                <c:pt idx="90">
                  <c:v>-220.4</c:v>
                </c:pt>
                <c:pt idx="91">
                  <c:v>-215.1</c:v>
                </c:pt>
                <c:pt idx="92">
                  <c:v>-208.6</c:v>
                </c:pt>
                <c:pt idx="93">
                  <c:v>-201</c:v>
                </c:pt>
                <c:pt idx="94">
                  <c:v>-192.6</c:v>
                </c:pt>
                <c:pt idx="95">
                  <c:v>-183.6</c:v>
                </c:pt>
                <c:pt idx="96">
                  <c:v>-172.4</c:v>
                </c:pt>
                <c:pt idx="97">
                  <c:v>-155.80000000000001</c:v>
                </c:pt>
                <c:pt idx="98">
                  <c:v>-137.30000000000001</c:v>
                </c:pt>
                <c:pt idx="99">
                  <c:v>-122.4</c:v>
                </c:pt>
                <c:pt idx="100">
                  <c:v>-111.2</c:v>
                </c:pt>
                <c:pt idx="101">
                  <c:v>-102.9</c:v>
                </c:pt>
                <c:pt idx="102">
                  <c:v>-96.1</c:v>
                </c:pt>
                <c:pt idx="103">
                  <c:v>-90.2</c:v>
                </c:pt>
                <c:pt idx="104">
                  <c:v>-84.8</c:v>
                </c:pt>
                <c:pt idx="105">
                  <c:v>-80.3</c:v>
                </c:pt>
                <c:pt idx="106">
                  <c:v>-76.3</c:v>
                </c:pt>
                <c:pt idx="107">
                  <c:v>-72.400000000000006</c:v>
                </c:pt>
                <c:pt idx="108">
                  <c:v>-68.099999999999994</c:v>
                </c:pt>
                <c:pt idx="109">
                  <c:v>-62.8</c:v>
                </c:pt>
                <c:pt idx="110">
                  <c:v>-56</c:v>
                </c:pt>
                <c:pt idx="111">
                  <c:v>-46.1</c:v>
                </c:pt>
                <c:pt idx="112">
                  <c:v>-31.6</c:v>
                </c:pt>
                <c:pt idx="113">
                  <c:v>-12.9</c:v>
                </c:pt>
                <c:pt idx="114">
                  <c:v>6.7</c:v>
                </c:pt>
                <c:pt idx="115">
                  <c:v>27.7</c:v>
                </c:pt>
                <c:pt idx="116">
                  <c:v>62.9</c:v>
                </c:pt>
                <c:pt idx="117">
                  <c:v>131.19999999999999</c:v>
                </c:pt>
                <c:pt idx="118">
                  <c:v>227.9</c:v>
                </c:pt>
                <c:pt idx="119">
                  <c:v>330</c:v>
                </c:pt>
                <c:pt idx="120">
                  <c:v>411.7</c:v>
                </c:pt>
                <c:pt idx="121">
                  <c:v>472.6</c:v>
                </c:pt>
                <c:pt idx="122">
                  <c:v>516.6</c:v>
                </c:pt>
                <c:pt idx="123">
                  <c:v>551.9</c:v>
                </c:pt>
                <c:pt idx="124">
                  <c:v>583.6</c:v>
                </c:pt>
                <c:pt idx="125">
                  <c:v>620.9</c:v>
                </c:pt>
                <c:pt idx="126">
                  <c:v>655.9</c:v>
                </c:pt>
                <c:pt idx="127">
                  <c:v>689.6</c:v>
                </c:pt>
                <c:pt idx="128">
                  <c:v>719.4</c:v>
                </c:pt>
                <c:pt idx="129">
                  <c:v>739.5</c:v>
                </c:pt>
                <c:pt idx="130">
                  <c:v>754.6</c:v>
                </c:pt>
                <c:pt idx="131">
                  <c:v>761.2</c:v>
                </c:pt>
                <c:pt idx="132">
                  <c:v>765.1</c:v>
                </c:pt>
                <c:pt idx="133">
                  <c:v>777.8</c:v>
                </c:pt>
                <c:pt idx="134">
                  <c:v>792.4</c:v>
                </c:pt>
                <c:pt idx="135">
                  <c:v>805</c:v>
                </c:pt>
                <c:pt idx="136">
                  <c:v>815.9</c:v>
                </c:pt>
                <c:pt idx="137">
                  <c:v>821.8</c:v>
                </c:pt>
                <c:pt idx="138">
                  <c:v>824.9</c:v>
                </c:pt>
                <c:pt idx="139">
                  <c:v>844.8</c:v>
                </c:pt>
                <c:pt idx="140">
                  <c:v>872.3</c:v>
                </c:pt>
                <c:pt idx="141">
                  <c:v>896.2</c:v>
                </c:pt>
                <c:pt idx="142">
                  <c:v>905.7</c:v>
                </c:pt>
                <c:pt idx="143">
                  <c:v>885.1</c:v>
                </c:pt>
                <c:pt idx="144">
                  <c:v>826.4</c:v>
                </c:pt>
                <c:pt idx="145">
                  <c:v>736.9</c:v>
                </c:pt>
                <c:pt idx="146">
                  <c:v>651.9</c:v>
                </c:pt>
                <c:pt idx="147">
                  <c:v>571.29999999999995</c:v>
                </c:pt>
                <c:pt idx="148">
                  <c:v>493.3</c:v>
                </c:pt>
                <c:pt idx="149">
                  <c:v>419.4</c:v>
                </c:pt>
                <c:pt idx="150">
                  <c:v>350.6</c:v>
                </c:pt>
                <c:pt idx="151">
                  <c:v>287.8</c:v>
                </c:pt>
                <c:pt idx="152">
                  <c:v>231.1</c:v>
                </c:pt>
                <c:pt idx="153">
                  <c:v>179.8</c:v>
                </c:pt>
                <c:pt idx="154">
                  <c:v>133.1</c:v>
                </c:pt>
                <c:pt idx="155">
                  <c:v>84.6</c:v>
                </c:pt>
                <c:pt idx="156">
                  <c:v>41.9</c:v>
                </c:pt>
                <c:pt idx="157">
                  <c:v>17.899999999999999</c:v>
                </c:pt>
                <c:pt idx="158">
                  <c:v>5.6</c:v>
                </c:pt>
                <c:pt idx="159">
                  <c:v>-1.9</c:v>
                </c:pt>
                <c:pt idx="160">
                  <c:v>-6.6</c:v>
                </c:pt>
                <c:pt idx="161">
                  <c:v>-9.1</c:v>
                </c:pt>
                <c:pt idx="162">
                  <c:v>-10.1</c:v>
                </c:pt>
                <c:pt idx="163">
                  <c:v>-10.6</c:v>
                </c:pt>
                <c:pt idx="164">
                  <c:v>-11</c:v>
                </c:pt>
                <c:pt idx="165">
                  <c:v>-11.2</c:v>
                </c:pt>
                <c:pt idx="166">
                  <c:v>-11.5</c:v>
                </c:pt>
                <c:pt idx="167">
                  <c:v>-11.7</c:v>
                </c:pt>
                <c:pt idx="168">
                  <c:v>-11.8</c:v>
                </c:pt>
                <c:pt idx="169">
                  <c:v>-11.8</c:v>
                </c:pt>
                <c:pt idx="170">
                  <c:v>-11.8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-10.7</c:v>
                </c:pt>
                <c:pt idx="182">
                  <c:v>-10.6</c:v>
                </c:pt>
                <c:pt idx="183">
                  <c:v>-10.5</c:v>
                </c:pt>
                <c:pt idx="184">
                  <c:v>-10.4</c:v>
                </c:pt>
                <c:pt idx="185">
                  <c:v>-10.3</c:v>
                </c:pt>
                <c:pt idx="186">
                  <c:v>-10.1</c:v>
                </c:pt>
                <c:pt idx="187">
                  <c:v>-10</c:v>
                </c:pt>
                <c:pt idx="188">
                  <c:v>-9.9</c:v>
                </c:pt>
                <c:pt idx="189">
                  <c:v>-9.8000000000000007</c:v>
                </c:pt>
                <c:pt idx="190">
                  <c:v>-9.6999999999999993</c:v>
                </c:pt>
                <c:pt idx="191">
                  <c:v>-9.5</c:v>
                </c:pt>
                <c:pt idx="192">
                  <c:v>-9.4</c:v>
                </c:pt>
                <c:pt idx="193">
                  <c:v>-9.3000000000000007</c:v>
                </c:pt>
                <c:pt idx="194">
                  <c:v>-9.1999999999999993</c:v>
                </c:pt>
                <c:pt idx="195">
                  <c:v>-9</c:v>
                </c:pt>
                <c:pt idx="196">
                  <c:v>-8.9</c:v>
                </c:pt>
                <c:pt idx="197">
                  <c:v>-8.8000000000000007</c:v>
                </c:pt>
                <c:pt idx="198">
                  <c:v>-8.6999999999999993</c:v>
                </c:pt>
                <c:pt idx="199">
                  <c:v>-8.6</c:v>
                </c:pt>
                <c:pt idx="200">
                  <c:v>-8.5</c:v>
                </c:pt>
                <c:pt idx="201">
                  <c:v>-8.4</c:v>
                </c:pt>
                <c:pt idx="202">
                  <c:v>-8.1999999999999993</c:v>
                </c:pt>
                <c:pt idx="203">
                  <c:v>-8.1</c:v>
                </c:pt>
                <c:pt idx="204">
                  <c:v>-8</c:v>
                </c:pt>
                <c:pt idx="205">
                  <c:v>-7.9</c:v>
                </c:pt>
                <c:pt idx="206">
                  <c:v>-7.8</c:v>
                </c:pt>
                <c:pt idx="207">
                  <c:v>-7.7</c:v>
                </c:pt>
                <c:pt idx="208">
                  <c:v>-7.6</c:v>
                </c:pt>
                <c:pt idx="209">
                  <c:v>-7.5</c:v>
                </c:pt>
                <c:pt idx="210">
                  <c:v>-7.4</c:v>
                </c:pt>
                <c:pt idx="211">
                  <c:v>-7.3</c:v>
                </c:pt>
                <c:pt idx="212">
                  <c:v>-7.2</c:v>
                </c:pt>
                <c:pt idx="213">
                  <c:v>-7.1</c:v>
                </c:pt>
                <c:pt idx="214">
                  <c:v>-7</c:v>
                </c:pt>
                <c:pt idx="215">
                  <c:v>-6.9</c:v>
                </c:pt>
                <c:pt idx="216">
                  <c:v>-6.8</c:v>
                </c:pt>
                <c:pt idx="217">
                  <c:v>-6.7</c:v>
                </c:pt>
                <c:pt idx="218">
                  <c:v>-6.7</c:v>
                </c:pt>
                <c:pt idx="219">
                  <c:v>-6.6</c:v>
                </c:pt>
                <c:pt idx="220">
                  <c:v>-6.5</c:v>
                </c:pt>
                <c:pt idx="221">
                  <c:v>-6.4</c:v>
                </c:pt>
                <c:pt idx="222">
                  <c:v>-6.3</c:v>
                </c:pt>
                <c:pt idx="223">
                  <c:v>-6.3</c:v>
                </c:pt>
                <c:pt idx="224">
                  <c:v>-6.2</c:v>
                </c:pt>
                <c:pt idx="225">
                  <c:v>-6.1</c:v>
                </c:pt>
                <c:pt idx="226">
                  <c:v>-6</c:v>
                </c:pt>
                <c:pt idx="227">
                  <c:v>-5.9</c:v>
                </c:pt>
                <c:pt idx="228">
                  <c:v>-5.8</c:v>
                </c:pt>
                <c:pt idx="229">
                  <c:v>-5.8</c:v>
                </c:pt>
                <c:pt idx="230">
                  <c:v>-5.7</c:v>
                </c:pt>
                <c:pt idx="231">
                  <c:v>-5.6</c:v>
                </c:pt>
                <c:pt idx="232">
                  <c:v>-5.6</c:v>
                </c:pt>
                <c:pt idx="233">
                  <c:v>-5.5</c:v>
                </c:pt>
                <c:pt idx="234">
                  <c:v>-5.4</c:v>
                </c:pt>
                <c:pt idx="235">
                  <c:v>-5.3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08-4168-9A8B-33BEB44179E7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'100ml'!$BB$3:$BB$242</c:f>
              <c:numCache>
                <c:formatCode>General</c:formatCode>
                <c:ptCount val="2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</c:numCache>
            </c:numRef>
          </c:xVal>
          <c:yVal>
            <c:numRef>
              <c:f>'100ml'!$BF$3:$BF$242</c:f>
              <c:numCache>
                <c:formatCode>General</c:formatCode>
                <c:ptCount val="240"/>
                <c:pt idx="0">
                  <c:v>-1.7</c:v>
                </c:pt>
                <c:pt idx="1">
                  <c:v>-1.9</c:v>
                </c:pt>
                <c:pt idx="2">
                  <c:v>-2</c:v>
                </c:pt>
                <c:pt idx="3">
                  <c:v>-2.1</c:v>
                </c:pt>
                <c:pt idx="4">
                  <c:v>-2.2000000000000002</c:v>
                </c:pt>
                <c:pt idx="5">
                  <c:v>-2.5</c:v>
                </c:pt>
                <c:pt idx="6">
                  <c:v>-3.2</c:v>
                </c:pt>
                <c:pt idx="7">
                  <c:v>-4.0999999999999996</c:v>
                </c:pt>
                <c:pt idx="8">
                  <c:v>-4.8</c:v>
                </c:pt>
                <c:pt idx="9">
                  <c:v>-5.2</c:v>
                </c:pt>
                <c:pt idx="10">
                  <c:v>-5.3</c:v>
                </c:pt>
                <c:pt idx="11">
                  <c:v>-6.2</c:v>
                </c:pt>
                <c:pt idx="12">
                  <c:v>-11.7</c:v>
                </c:pt>
                <c:pt idx="13">
                  <c:v>-24.5</c:v>
                </c:pt>
                <c:pt idx="14">
                  <c:v>-41.7</c:v>
                </c:pt>
                <c:pt idx="15">
                  <c:v>-61.7</c:v>
                </c:pt>
                <c:pt idx="16">
                  <c:v>-86.2</c:v>
                </c:pt>
                <c:pt idx="17">
                  <c:v>-109.2</c:v>
                </c:pt>
                <c:pt idx="18">
                  <c:v>-126.7</c:v>
                </c:pt>
                <c:pt idx="19">
                  <c:v>-142</c:v>
                </c:pt>
                <c:pt idx="20">
                  <c:v>-163.5</c:v>
                </c:pt>
                <c:pt idx="21">
                  <c:v>-195.8</c:v>
                </c:pt>
                <c:pt idx="22">
                  <c:v>-221.2</c:v>
                </c:pt>
                <c:pt idx="23">
                  <c:v>-239.6</c:v>
                </c:pt>
                <c:pt idx="24">
                  <c:v>-254.1</c:v>
                </c:pt>
                <c:pt idx="25">
                  <c:v>-262.60000000000002</c:v>
                </c:pt>
                <c:pt idx="26">
                  <c:v>-266.7</c:v>
                </c:pt>
                <c:pt idx="27">
                  <c:v>-269.7</c:v>
                </c:pt>
                <c:pt idx="28">
                  <c:v>-272.89999999999998</c:v>
                </c:pt>
                <c:pt idx="29">
                  <c:v>-274.60000000000002</c:v>
                </c:pt>
                <c:pt idx="30">
                  <c:v>-277.10000000000002</c:v>
                </c:pt>
                <c:pt idx="31">
                  <c:v>-282.89999999999998</c:v>
                </c:pt>
                <c:pt idx="32">
                  <c:v>-289.39999999999998</c:v>
                </c:pt>
                <c:pt idx="33">
                  <c:v>-294.7</c:v>
                </c:pt>
                <c:pt idx="34">
                  <c:v>-297.39999999999998</c:v>
                </c:pt>
                <c:pt idx="35">
                  <c:v>-298.60000000000002</c:v>
                </c:pt>
                <c:pt idx="36">
                  <c:v>-298.8</c:v>
                </c:pt>
                <c:pt idx="37">
                  <c:v>-299.5</c:v>
                </c:pt>
                <c:pt idx="38">
                  <c:v>-301.3</c:v>
                </c:pt>
                <c:pt idx="39">
                  <c:v>-302.2</c:v>
                </c:pt>
                <c:pt idx="40">
                  <c:v>-300.8</c:v>
                </c:pt>
                <c:pt idx="41">
                  <c:v>-299.39999999999998</c:v>
                </c:pt>
                <c:pt idx="42">
                  <c:v>-298.39999999999998</c:v>
                </c:pt>
                <c:pt idx="43">
                  <c:v>-297.7</c:v>
                </c:pt>
                <c:pt idx="44">
                  <c:v>-295.3</c:v>
                </c:pt>
                <c:pt idx="45">
                  <c:v>-290.39999999999998</c:v>
                </c:pt>
                <c:pt idx="46">
                  <c:v>-284.3</c:v>
                </c:pt>
                <c:pt idx="47">
                  <c:v>-278.89999999999998</c:v>
                </c:pt>
                <c:pt idx="48">
                  <c:v>-274.60000000000002</c:v>
                </c:pt>
                <c:pt idx="49">
                  <c:v>-272.3</c:v>
                </c:pt>
                <c:pt idx="50">
                  <c:v>-271.5</c:v>
                </c:pt>
                <c:pt idx="51">
                  <c:v>-271.7</c:v>
                </c:pt>
                <c:pt idx="52">
                  <c:v>-271.60000000000002</c:v>
                </c:pt>
                <c:pt idx="53">
                  <c:v>-269.8</c:v>
                </c:pt>
                <c:pt idx="54">
                  <c:v>-266.2</c:v>
                </c:pt>
                <c:pt idx="55">
                  <c:v>-262.3</c:v>
                </c:pt>
                <c:pt idx="56">
                  <c:v>-259.3</c:v>
                </c:pt>
                <c:pt idx="57">
                  <c:v>-256.39999999999998</c:v>
                </c:pt>
                <c:pt idx="58">
                  <c:v>-253</c:v>
                </c:pt>
                <c:pt idx="59">
                  <c:v>-249.4</c:v>
                </c:pt>
                <c:pt idx="60">
                  <c:v>-246.1</c:v>
                </c:pt>
                <c:pt idx="61">
                  <c:v>-243.1</c:v>
                </c:pt>
                <c:pt idx="62">
                  <c:v>-240.2</c:v>
                </c:pt>
                <c:pt idx="63">
                  <c:v>-237.8</c:v>
                </c:pt>
                <c:pt idx="64">
                  <c:v>-235.7</c:v>
                </c:pt>
                <c:pt idx="65">
                  <c:v>-234.2</c:v>
                </c:pt>
                <c:pt idx="66">
                  <c:v>-232.9</c:v>
                </c:pt>
                <c:pt idx="67">
                  <c:v>-231</c:v>
                </c:pt>
                <c:pt idx="68">
                  <c:v>-228.4</c:v>
                </c:pt>
                <c:pt idx="69">
                  <c:v>-225.9</c:v>
                </c:pt>
                <c:pt idx="70">
                  <c:v>-224.4</c:v>
                </c:pt>
                <c:pt idx="71">
                  <c:v>-223.2</c:v>
                </c:pt>
                <c:pt idx="72">
                  <c:v>-221.4</c:v>
                </c:pt>
                <c:pt idx="73">
                  <c:v>-218.8</c:v>
                </c:pt>
                <c:pt idx="74">
                  <c:v>-215.5</c:v>
                </c:pt>
                <c:pt idx="75">
                  <c:v>-211.9</c:v>
                </c:pt>
                <c:pt idx="76">
                  <c:v>-208.4</c:v>
                </c:pt>
                <c:pt idx="77">
                  <c:v>-204.7</c:v>
                </c:pt>
                <c:pt idx="78">
                  <c:v>-201.6</c:v>
                </c:pt>
                <c:pt idx="79">
                  <c:v>-199</c:v>
                </c:pt>
                <c:pt idx="80">
                  <c:v>-196.6</c:v>
                </c:pt>
                <c:pt idx="81">
                  <c:v>-193.9</c:v>
                </c:pt>
                <c:pt idx="82">
                  <c:v>-190.9</c:v>
                </c:pt>
                <c:pt idx="83">
                  <c:v>-187.6</c:v>
                </c:pt>
                <c:pt idx="84">
                  <c:v>-184.5</c:v>
                </c:pt>
                <c:pt idx="85">
                  <c:v>-181.9</c:v>
                </c:pt>
                <c:pt idx="86">
                  <c:v>-179.5</c:v>
                </c:pt>
                <c:pt idx="87">
                  <c:v>-177.2</c:v>
                </c:pt>
                <c:pt idx="88">
                  <c:v>-175.2</c:v>
                </c:pt>
                <c:pt idx="89">
                  <c:v>-173.5</c:v>
                </c:pt>
                <c:pt idx="90">
                  <c:v>-171.8</c:v>
                </c:pt>
                <c:pt idx="91">
                  <c:v>-170.1</c:v>
                </c:pt>
                <c:pt idx="92">
                  <c:v>-168.3</c:v>
                </c:pt>
                <c:pt idx="93">
                  <c:v>-166.5</c:v>
                </c:pt>
                <c:pt idx="94">
                  <c:v>-164.7</c:v>
                </c:pt>
                <c:pt idx="95">
                  <c:v>-163.19999999999999</c:v>
                </c:pt>
                <c:pt idx="96">
                  <c:v>-162.1</c:v>
                </c:pt>
                <c:pt idx="97">
                  <c:v>-160.80000000000001</c:v>
                </c:pt>
                <c:pt idx="98">
                  <c:v>-159.30000000000001</c:v>
                </c:pt>
                <c:pt idx="99">
                  <c:v>-158</c:v>
                </c:pt>
                <c:pt idx="100">
                  <c:v>-156.9</c:v>
                </c:pt>
                <c:pt idx="101">
                  <c:v>-155.80000000000001</c:v>
                </c:pt>
                <c:pt idx="102">
                  <c:v>-155</c:v>
                </c:pt>
                <c:pt idx="103">
                  <c:v>-154.5</c:v>
                </c:pt>
                <c:pt idx="104">
                  <c:v>-154</c:v>
                </c:pt>
                <c:pt idx="105">
                  <c:v>-153.30000000000001</c:v>
                </c:pt>
                <c:pt idx="106">
                  <c:v>-152.30000000000001</c:v>
                </c:pt>
                <c:pt idx="107">
                  <c:v>-151.6</c:v>
                </c:pt>
                <c:pt idx="108">
                  <c:v>-150.80000000000001</c:v>
                </c:pt>
                <c:pt idx="109">
                  <c:v>-149.9</c:v>
                </c:pt>
                <c:pt idx="110">
                  <c:v>-149.1</c:v>
                </c:pt>
                <c:pt idx="111">
                  <c:v>-148.5</c:v>
                </c:pt>
                <c:pt idx="112">
                  <c:v>-148.19999999999999</c:v>
                </c:pt>
                <c:pt idx="113">
                  <c:v>-148.1</c:v>
                </c:pt>
                <c:pt idx="114">
                  <c:v>-148</c:v>
                </c:pt>
                <c:pt idx="115">
                  <c:v>-147.69999999999999</c:v>
                </c:pt>
                <c:pt idx="116">
                  <c:v>-147.4</c:v>
                </c:pt>
                <c:pt idx="117">
                  <c:v>-147.19999999999999</c:v>
                </c:pt>
                <c:pt idx="118">
                  <c:v>-147.1</c:v>
                </c:pt>
                <c:pt idx="119">
                  <c:v>-146.69999999999999</c:v>
                </c:pt>
                <c:pt idx="120">
                  <c:v>-145.80000000000001</c:v>
                </c:pt>
                <c:pt idx="121">
                  <c:v>-144.30000000000001</c:v>
                </c:pt>
                <c:pt idx="122">
                  <c:v>-142.69999999999999</c:v>
                </c:pt>
                <c:pt idx="123">
                  <c:v>-141.5</c:v>
                </c:pt>
                <c:pt idx="124">
                  <c:v>-140.4</c:v>
                </c:pt>
                <c:pt idx="125">
                  <c:v>-139</c:v>
                </c:pt>
                <c:pt idx="126">
                  <c:v>-137.4</c:v>
                </c:pt>
                <c:pt idx="127">
                  <c:v>-135.1</c:v>
                </c:pt>
                <c:pt idx="128">
                  <c:v>-131.30000000000001</c:v>
                </c:pt>
                <c:pt idx="129">
                  <c:v>-126.1</c:v>
                </c:pt>
                <c:pt idx="130">
                  <c:v>-120.2</c:v>
                </c:pt>
                <c:pt idx="131">
                  <c:v>-114.3</c:v>
                </c:pt>
                <c:pt idx="132">
                  <c:v>-108.6</c:v>
                </c:pt>
                <c:pt idx="133">
                  <c:v>-103.4</c:v>
                </c:pt>
                <c:pt idx="134">
                  <c:v>-98.5</c:v>
                </c:pt>
                <c:pt idx="135">
                  <c:v>-93.6</c:v>
                </c:pt>
                <c:pt idx="136">
                  <c:v>-88.5</c:v>
                </c:pt>
                <c:pt idx="137">
                  <c:v>-84.3</c:v>
                </c:pt>
                <c:pt idx="138">
                  <c:v>-80.7</c:v>
                </c:pt>
                <c:pt idx="139">
                  <c:v>-77.8</c:v>
                </c:pt>
                <c:pt idx="140">
                  <c:v>-75.2</c:v>
                </c:pt>
                <c:pt idx="141">
                  <c:v>-73</c:v>
                </c:pt>
                <c:pt idx="142">
                  <c:v>-70.5</c:v>
                </c:pt>
                <c:pt idx="143">
                  <c:v>-66.099999999999994</c:v>
                </c:pt>
                <c:pt idx="144">
                  <c:v>-58.3</c:v>
                </c:pt>
                <c:pt idx="145">
                  <c:v>-48.1</c:v>
                </c:pt>
                <c:pt idx="146">
                  <c:v>-35.4</c:v>
                </c:pt>
                <c:pt idx="147">
                  <c:v>-20.8</c:v>
                </c:pt>
                <c:pt idx="148">
                  <c:v>-6.1</c:v>
                </c:pt>
                <c:pt idx="149">
                  <c:v>9.6</c:v>
                </c:pt>
                <c:pt idx="150">
                  <c:v>30.9</c:v>
                </c:pt>
                <c:pt idx="151">
                  <c:v>55.2</c:v>
                </c:pt>
                <c:pt idx="152">
                  <c:v>87.3</c:v>
                </c:pt>
                <c:pt idx="153">
                  <c:v>130.9</c:v>
                </c:pt>
                <c:pt idx="154">
                  <c:v>185.3</c:v>
                </c:pt>
                <c:pt idx="155">
                  <c:v>246.6</c:v>
                </c:pt>
                <c:pt idx="156">
                  <c:v>302.7</c:v>
                </c:pt>
                <c:pt idx="157">
                  <c:v>348.4</c:v>
                </c:pt>
                <c:pt idx="158">
                  <c:v>387.9</c:v>
                </c:pt>
                <c:pt idx="159">
                  <c:v>422.4</c:v>
                </c:pt>
                <c:pt idx="160">
                  <c:v>457.1</c:v>
                </c:pt>
                <c:pt idx="161">
                  <c:v>489.8</c:v>
                </c:pt>
                <c:pt idx="162">
                  <c:v>518.1</c:v>
                </c:pt>
                <c:pt idx="163">
                  <c:v>544.1</c:v>
                </c:pt>
                <c:pt idx="164">
                  <c:v>574.70000000000005</c:v>
                </c:pt>
                <c:pt idx="165">
                  <c:v>607.1</c:v>
                </c:pt>
                <c:pt idx="166">
                  <c:v>637.6</c:v>
                </c:pt>
                <c:pt idx="167">
                  <c:v>666.6</c:v>
                </c:pt>
                <c:pt idx="168">
                  <c:v>690.3</c:v>
                </c:pt>
                <c:pt idx="169">
                  <c:v>711.5</c:v>
                </c:pt>
                <c:pt idx="170">
                  <c:v>738.7</c:v>
                </c:pt>
                <c:pt idx="171">
                  <c:v>766.1</c:v>
                </c:pt>
                <c:pt idx="172">
                  <c:v>787.3</c:v>
                </c:pt>
                <c:pt idx="173">
                  <c:v>805.2</c:v>
                </c:pt>
                <c:pt idx="174">
                  <c:v>825</c:v>
                </c:pt>
                <c:pt idx="175">
                  <c:v>851.9</c:v>
                </c:pt>
                <c:pt idx="176">
                  <c:v>887.6</c:v>
                </c:pt>
                <c:pt idx="177">
                  <c:v>922.1</c:v>
                </c:pt>
                <c:pt idx="178">
                  <c:v>944.4</c:v>
                </c:pt>
                <c:pt idx="179">
                  <c:v>957.3</c:v>
                </c:pt>
                <c:pt idx="180">
                  <c:v>972.1</c:v>
                </c:pt>
                <c:pt idx="181">
                  <c:v>970.4</c:v>
                </c:pt>
                <c:pt idx="182">
                  <c:v>919.4</c:v>
                </c:pt>
                <c:pt idx="183">
                  <c:v>826.6</c:v>
                </c:pt>
                <c:pt idx="184">
                  <c:v>741.9</c:v>
                </c:pt>
                <c:pt idx="185">
                  <c:v>665.6</c:v>
                </c:pt>
                <c:pt idx="186">
                  <c:v>592.6</c:v>
                </c:pt>
                <c:pt idx="187">
                  <c:v>520.5</c:v>
                </c:pt>
                <c:pt idx="188">
                  <c:v>449.6</c:v>
                </c:pt>
                <c:pt idx="189">
                  <c:v>380.2</c:v>
                </c:pt>
                <c:pt idx="190">
                  <c:v>309.7</c:v>
                </c:pt>
                <c:pt idx="191">
                  <c:v>219.7</c:v>
                </c:pt>
                <c:pt idx="192">
                  <c:v>117.1</c:v>
                </c:pt>
                <c:pt idx="193">
                  <c:v>53.4</c:v>
                </c:pt>
                <c:pt idx="194">
                  <c:v>25.5</c:v>
                </c:pt>
                <c:pt idx="195">
                  <c:v>12.1</c:v>
                </c:pt>
                <c:pt idx="196">
                  <c:v>6.7</c:v>
                </c:pt>
                <c:pt idx="197">
                  <c:v>4.5999999999999996</c:v>
                </c:pt>
                <c:pt idx="198">
                  <c:v>3.2</c:v>
                </c:pt>
                <c:pt idx="199">
                  <c:v>2.1</c:v>
                </c:pt>
                <c:pt idx="200">
                  <c:v>1.2</c:v>
                </c:pt>
                <c:pt idx="201">
                  <c:v>0.7</c:v>
                </c:pt>
                <c:pt idx="202">
                  <c:v>0.3</c:v>
                </c:pt>
                <c:pt idx="203">
                  <c:v>-0.1</c:v>
                </c:pt>
                <c:pt idx="204">
                  <c:v>-0.3</c:v>
                </c:pt>
                <c:pt idx="205">
                  <c:v>-0.6</c:v>
                </c:pt>
                <c:pt idx="206">
                  <c:v>-0.8</c:v>
                </c:pt>
                <c:pt idx="207">
                  <c:v>-0.9</c:v>
                </c:pt>
                <c:pt idx="208">
                  <c:v>-0.9</c:v>
                </c:pt>
                <c:pt idx="209">
                  <c:v>-0.9</c:v>
                </c:pt>
                <c:pt idx="210">
                  <c:v>-0.9</c:v>
                </c:pt>
                <c:pt idx="211">
                  <c:v>-0.9</c:v>
                </c:pt>
                <c:pt idx="212">
                  <c:v>-0.9</c:v>
                </c:pt>
                <c:pt idx="213">
                  <c:v>-0.8</c:v>
                </c:pt>
                <c:pt idx="214">
                  <c:v>-0.8</c:v>
                </c:pt>
                <c:pt idx="215">
                  <c:v>-0.7</c:v>
                </c:pt>
                <c:pt idx="216">
                  <c:v>-0.6</c:v>
                </c:pt>
                <c:pt idx="217">
                  <c:v>-0.6</c:v>
                </c:pt>
                <c:pt idx="218">
                  <c:v>-0.5</c:v>
                </c:pt>
                <c:pt idx="219">
                  <c:v>-0.4</c:v>
                </c:pt>
                <c:pt idx="220">
                  <c:v>-0.3</c:v>
                </c:pt>
                <c:pt idx="221">
                  <c:v>-0.2</c:v>
                </c:pt>
                <c:pt idx="222">
                  <c:v>-0.1</c:v>
                </c:pt>
                <c:pt idx="223">
                  <c:v>0</c:v>
                </c:pt>
                <c:pt idx="224">
                  <c:v>0.1</c:v>
                </c:pt>
                <c:pt idx="225">
                  <c:v>0.2</c:v>
                </c:pt>
                <c:pt idx="226">
                  <c:v>0.3</c:v>
                </c:pt>
                <c:pt idx="227">
                  <c:v>0.4</c:v>
                </c:pt>
                <c:pt idx="228">
                  <c:v>0.5</c:v>
                </c:pt>
                <c:pt idx="229">
                  <c:v>0.6</c:v>
                </c:pt>
                <c:pt idx="230">
                  <c:v>0.7</c:v>
                </c:pt>
                <c:pt idx="231">
                  <c:v>0.8</c:v>
                </c:pt>
                <c:pt idx="232">
                  <c:v>0.9</c:v>
                </c:pt>
                <c:pt idx="233">
                  <c:v>1</c:v>
                </c:pt>
                <c:pt idx="234">
                  <c:v>1.1000000000000001</c:v>
                </c:pt>
                <c:pt idx="235">
                  <c:v>1.2</c:v>
                </c:pt>
                <c:pt idx="236">
                  <c:v>1.3</c:v>
                </c:pt>
                <c:pt idx="237">
                  <c:v>1.3</c:v>
                </c:pt>
                <c:pt idx="238">
                  <c:v>1.4</c:v>
                </c:pt>
                <c:pt idx="239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08-4168-9A8B-33BEB44179E7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'100ml'!$BB$3:$BB$242</c:f>
              <c:numCache>
                <c:formatCode>General</c:formatCode>
                <c:ptCount val="2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</c:numCache>
            </c:numRef>
          </c:xVal>
          <c:yVal>
            <c:numRef>
              <c:f>'100ml'!$BG$3:$BG$242</c:f>
              <c:numCache>
                <c:formatCode>General</c:formatCode>
                <c:ptCount val="240"/>
                <c:pt idx="0">
                  <c:v>-20.399999999999999</c:v>
                </c:pt>
                <c:pt idx="1">
                  <c:v>-22.8</c:v>
                </c:pt>
                <c:pt idx="2">
                  <c:v>-24.8</c:v>
                </c:pt>
                <c:pt idx="3">
                  <c:v>-26.5</c:v>
                </c:pt>
                <c:pt idx="4">
                  <c:v>-27.9</c:v>
                </c:pt>
                <c:pt idx="5">
                  <c:v>-29.1</c:v>
                </c:pt>
                <c:pt idx="6">
                  <c:v>-30.6</c:v>
                </c:pt>
                <c:pt idx="7">
                  <c:v>-32</c:v>
                </c:pt>
                <c:pt idx="8">
                  <c:v>-33.5</c:v>
                </c:pt>
                <c:pt idx="9">
                  <c:v>-36.1</c:v>
                </c:pt>
                <c:pt idx="10">
                  <c:v>-41.5</c:v>
                </c:pt>
                <c:pt idx="11">
                  <c:v>-49</c:v>
                </c:pt>
                <c:pt idx="12">
                  <c:v>-57.8</c:v>
                </c:pt>
                <c:pt idx="13">
                  <c:v>-68.400000000000006</c:v>
                </c:pt>
                <c:pt idx="14">
                  <c:v>-79.8</c:v>
                </c:pt>
                <c:pt idx="15">
                  <c:v>-91</c:v>
                </c:pt>
                <c:pt idx="16">
                  <c:v>-103.3</c:v>
                </c:pt>
                <c:pt idx="17">
                  <c:v>-117.9</c:v>
                </c:pt>
                <c:pt idx="18">
                  <c:v>-128.6</c:v>
                </c:pt>
                <c:pt idx="19">
                  <c:v>-132.30000000000001</c:v>
                </c:pt>
                <c:pt idx="20">
                  <c:v>-135.30000000000001</c:v>
                </c:pt>
                <c:pt idx="21">
                  <c:v>-139</c:v>
                </c:pt>
                <c:pt idx="22">
                  <c:v>-145.5</c:v>
                </c:pt>
                <c:pt idx="23">
                  <c:v>-155.1</c:v>
                </c:pt>
                <c:pt idx="24">
                  <c:v>-163.1</c:v>
                </c:pt>
                <c:pt idx="25">
                  <c:v>-174.2</c:v>
                </c:pt>
                <c:pt idx="26">
                  <c:v>-195.6</c:v>
                </c:pt>
                <c:pt idx="27">
                  <c:v>-208.2</c:v>
                </c:pt>
                <c:pt idx="28">
                  <c:v>-215.5</c:v>
                </c:pt>
                <c:pt idx="29">
                  <c:v>-221.9</c:v>
                </c:pt>
                <c:pt idx="30">
                  <c:v>-228.3</c:v>
                </c:pt>
                <c:pt idx="31">
                  <c:v>-234.9</c:v>
                </c:pt>
                <c:pt idx="32">
                  <c:v>-239.1</c:v>
                </c:pt>
                <c:pt idx="33">
                  <c:v>-242.3</c:v>
                </c:pt>
                <c:pt idx="34">
                  <c:v>-247.5</c:v>
                </c:pt>
                <c:pt idx="35">
                  <c:v>-254.1</c:v>
                </c:pt>
                <c:pt idx="36">
                  <c:v>-261.3</c:v>
                </c:pt>
                <c:pt idx="37">
                  <c:v>-268</c:v>
                </c:pt>
                <c:pt idx="38">
                  <c:v>-273.10000000000002</c:v>
                </c:pt>
                <c:pt idx="39">
                  <c:v>-276.10000000000002</c:v>
                </c:pt>
                <c:pt idx="40">
                  <c:v>-277.10000000000002</c:v>
                </c:pt>
                <c:pt idx="41">
                  <c:v>-278.8</c:v>
                </c:pt>
                <c:pt idx="42">
                  <c:v>-280.8</c:v>
                </c:pt>
                <c:pt idx="43">
                  <c:v>-282.7</c:v>
                </c:pt>
                <c:pt idx="44">
                  <c:v>-284.60000000000002</c:v>
                </c:pt>
                <c:pt idx="45">
                  <c:v>-286.2</c:v>
                </c:pt>
                <c:pt idx="46">
                  <c:v>-286.89999999999998</c:v>
                </c:pt>
                <c:pt idx="47">
                  <c:v>-288</c:v>
                </c:pt>
                <c:pt idx="48">
                  <c:v>-290.10000000000002</c:v>
                </c:pt>
                <c:pt idx="49">
                  <c:v>-292.5</c:v>
                </c:pt>
                <c:pt idx="50">
                  <c:v>-294.60000000000002</c:v>
                </c:pt>
                <c:pt idx="51">
                  <c:v>-296.5</c:v>
                </c:pt>
                <c:pt idx="52">
                  <c:v>-298</c:v>
                </c:pt>
                <c:pt idx="53">
                  <c:v>-299.8</c:v>
                </c:pt>
                <c:pt idx="54">
                  <c:v>-301.7</c:v>
                </c:pt>
                <c:pt idx="55">
                  <c:v>-302.5</c:v>
                </c:pt>
                <c:pt idx="56">
                  <c:v>-302</c:v>
                </c:pt>
                <c:pt idx="57">
                  <c:v>-300.8</c:v>
                </c:pt>
                <c:pt idx="58">
                  <c:v>-299.89999999999998</c:v>
                </c:pt>
                <c:pt idx="59">
                  <c:v>-299.2</c:v>
                </c:pt>
                <c:pt idx="60">
                  <c:v>-298.2</c:v>
                </c:pt>
                <c:pt idx="61">
                  <c:v>-296.89999999999998</c:v>
                </c:pt>
                <c:pt idx="62">
                  <c:v>-294.8</c:v>
                </c:pt>
                <c:pt idx="63">
                  <c:v>-291.5</c:v>
                </c:pt>
                <c:pt idx="64">
                  <c:v>-287.60000000000002</c:v>
                </c:pt>
                <c:pt idx="65">
                  <c:v>-284.3</c:v>
                </c:pt>
                <c:pt idx="66">
                  <c:v>-281.5</c:v>
                </c:pt>
                <c:pt idx="67">
                  <c:v>-278.60000000000002</c:v>
                </c:pt>
                <c:pt idx="68">
                  <c:v>-275.2</c:v>
                </c:pt>
                <c:pt idx="69">
                  <c:v>-271.60000000000002</c:v>
                </c:pt>
                <c:pt idx="70">
                  <c:v>-268.39999999999998</c:v>
                </c:pt>
                <c:pt idx="71">
                  <c:v>-266.2</c:v>
                </c:pt>
                <c:pt idx="72">
                  <c:v>-264.5</c:v>
                </c:pt>
                <c:pt idx="73">
                  <c:v>-262.89999999999998</c:v>
                </c:pt>
                <c:pt idx="74">
                  <c:v>-261.39999999999998</c:v>
                </c:pt>
                <c:pt idx="75">
                  <c:v>-260</c:v>
                </c:pt>
                <c:pt idx="76">
                  <c:v>-259.2</c:v>
                </c:pt>
                <c:pt idx="77">
                  <c:v>-259.39999999999998</c:v>
                </c:pt>
                <c:pt idx="78">
                  <c:v>-260.89999999999998</c:v>
                </c:pt>
                <c:pt idx="79">
                  <c:v>-262.89999999999998</c:v>
                </c:pt>
                <c:pt idx="80">
                  <c:v>-263.7</c:v>
                </c:pt>
                <c:pt idx="81">
                  <c:v>-263</c:v>
                </c:pt>
                <c:pt idx="82">
                  <c:v>-262.39999999999998</c:v>
                </c:pt>
                <c:pt idx="83">
                  <c:v>-262.39999999999998</c:v>
                </c:pt>
                <c:pt idx="84">
                  <c:v>-262.5</c:v>
                </c:pt>
                <c:pt idx="85">
                  <c:v>-262.3</c:v>
                </c:pt>
                <c:pt idx="86">
                  <c:v>-261.60000000000002</c:v>
                </c:pt>
                <c:pt idx="87">
                  <c:v>-260.3</c:v>
                </c:pt>
                <c:pt idx="88">
                  <c:v>-258.8</c:v>
                </c:pt>
                <c:pt idx="89">
                  <c:v>-257.3</c:v>
                </c:pt>
                <c:pt idx="90">
                  <c:v>-254.9</c:v>
                </c:pt>
                <c:pt idx="91">
                  <c:v>-251.7</c:v>
                </c:pt>
                <c:pt idx="92">
                  <c:v>-249.2</c:v>
                </c:pt>
                <c:pt idx="93">
                  <c:v>-248.4</c:v>
                </c:pt>
                <c:pt idx="94">
                  <c:v>-248.3</c:v>
                </c:pt>
                <c:pt idx="95">
                  <c:v>-248.2</c:v>
                </c:pt>
                <c:pt idx="96">
                  <c:v>-247.8</c:v>
                </c:pt>
                <c:pt idx="97">
                  <c:v>-247</c:v>
                </c:pt>
                <c:pt idx="98">
                  <c:v>-246</c:v>
                </c:pt>
                <c:pt idx="99">
                  <c:v>-245</c:v>
                </c:pt>
                <c:pt idx="100">
                  <c:v>-244.3</c:v>
                </c:pt>
                <c:pt idx="101">
                  <c:v>-243.3</c:v>
                </c:pt>
                <c:pt idx="102">
                  <c:v>-242.5</c:v>
                </c:pt>
                <c:pt idx="103">
                  <c:v>-242</c:v>
                </c:pt>
                <c:pt idx="104">
                  <c:v>-241.4</c:v>
                </c:pt>
                <c:pt idx="105">
                  <c:v>-240.5</c:v>
                </c:pt>
                <c:pt idx="106">
                  <c:v>-239.4</c:v>
                </c:pt>
                <c:pt idx="107">
                  <c:v>-238.3</c:v>
                </c:pt>
                <c:pt idx="108">
                  <c:v>-237.1</c:v>
                </c:pt>
                <c:pt idx="109">
                  <c:v>-235.9</c:v>
                </c:pt>
                <c:pt idx="110">
                  <c:v>-234.8</c:v>
                </c:pt>
                <c:pt idx="111">
                  <c:v>-233.6</c:v>
                </c:pt>
                <c:pt idx="112">
                  <c:v>-232.5</c:v>
                </c:pt>
                <c:pt idx="113">
                  <c:v>-230.9</c:v>
                </c:pt>
                <c:pt idx="114">
                  <c:v>-228.7</c:v>
                </c:pt>
                <c:pt idx="115">
                  <c:v>-225.8</c:v>
                </c:pt>
                <c:pt idx="116">
                  <c:v>-222.4</c:v>
                </c:pt>
                <c:pt idx="117">
                  <c:v>-218.6</c:v>
                </c:pt>
                <c:pt idx="118">
                  <c:v>-213.3</c:v>
                </c:pt>
                <c:pt idx="119">
                  <c:v>-206.7</c:v>
                </c:pt>
                <c:pt idx="120">
                  <c:v>-199.7</c:v>
                </c:pt>
                <c:pt idx="121">
                  <c:v>-192.6</c:v>
                </c:pt>
                <c:pt idx="122">
                  <c:v>-185.8</c:v>
                </c:pt>
                <c:pt idx="123">
                  <c:v>-179.4</c:v>
                </c:pt>
                <c:pt idx="124">
                  <c:v>-173.8</c:v>
                </c:pt>
                <c:pt idx="125">
                  <c:v>-168.8</c:v>
                </c:pt>
                <c:pt idx="126">
                  <c:v>-164.3</c:v>
                </c:pt>
                <c:pt idx="127">
                  <c:v>-160.69999999999999</c:v>
                </c:pt>
                <c:pt idx="128">
                  <c:v>-158.9</c:v>
                </c:pt>
                <c:pt idx="129">
                  <c:v>-159.30000000000001</c:v>
                </c:pt>
                <c:pt idx="130">
                  <c:v>-161.1</c:v>
                </c:pt>
                <c:pt idx="131">
                  <c:v>-161.80000000000001</c:v>
                </c:pt>
                <c:pt idx="132">
                  <c:v>-160.30000000000001</c:v>
                </c:pt>
                <c:pt idx="133">
                  <c:v>-157.4</c:v>
                </c:pt>
                <c:pt idx="134">
                  <c:v>-154.4</c:v>
                </c:pt>
                <c:pt idx="135">
                  <c:v>-151.6</c:v>
                </c:pt>
                <c:pt idx="136">
                  <c:v>-149</c:v>
                </c:pt>
                <c:pt idx="137">
                  <c:v>-146.5</c:v>
                </c:pt>
                <c:pt idx="138">
                  <c:v>-143.9</c:v>
                </c:pt>
                <c:pt idx="139">
                  <c:v>-141.19999999999999</c:v>
                </c:pt>
                <c:pt idx="140">
                  <c:v>-137.5</c:v>
                </c:pt>
                <c:pt idx="141">
                  <c:v>-131.1</c:v>
                </c:pt>
                <c:pt idx="142">
                  <c:v>-119.5</c:v>
                </c:pt>
                <c:pt idx="143">
                  <c:v>-100.8</c:v>
                </c:pt>
                <c:pt idx="144">
                  <c:v>-77.5</c:v>
                </c:pt>
                <c:pt idx="145">
                  <c:v>-53.1</c:v>
                </c:pt>
                <c:pt idx="146">
                  <c:v>-25.2</c:v>
                </c:pt>
                <c:pt idx="147">
                  <c:v>17.399999999999999</c:v>
                </c:pt>
                <c:pt idx="148">
                  <c:v>68.3</c:v>
                </c:pt>
                <c:pt idx="149">
                  <c:v>126.8</c:v>
                </c:pt>
                <c:pt idx="150">
                  <c:v>198.5</c:v>
                </c:pt>
                <c:pt idx="151">
                  <c:v>280.3</c:v>
                </c:pt>
                <c:pt idx="152">
                  <c:v>350.9</c:v>
                </c:pt>
                <c:pt idx="153">
                  <c:v>404.3</c:v>
                </c:pt>
                <c:pt idx="154">
                  <c:v>447.5</c:v>
                </c:pt>
                <c:pt idx="155">
                  <c:v>487</c:v>
                </c:pt>
                <c:pt idx="156">
                  <c:v>519.4</c:v>
                </c:pt>
                <c:pt idx="157">
                  <c:v>540.70000000000005</c:v>
                </c:pt>
                <c:pt idx="158">
                  <c:v>562.4</c:v>
                </c:pt>
                <c:pt idx="159">
                  <c:v>590</c:v>
                </c:pt>
                <c:pt idx="160">
                  <c:v>622.70000000000005</c:v>
                </c:pt>
                <c:pt idx="161">
                  <c:v>654.4</c:v>
                </c:pt>
                <c:pt idx="162">
                  <c:v>682.6</c:v>
                </c:pt>
                <c:pt idx="163">
                  <c:v>711.9</c:v>
                </c:pt>
                <c:pt idx="164">
                  <c:v>743.3</c:v>
                </c:pt>
                <c:pt idx="165">
                  <c:v>775.4</c:v>
                </c:pt>
                <c:pt idx="166">
                  <c:v>803</c:v>
                </c:pt>
                <c:pt idx="167">
                  <c:v>824.1</c:v>
                </c:pt>
                <c:pt idx="168">
                  <c:v>840</c:v>
                </c:pt>
                <c:pt idx="169">
                  <c:v>852.7</c:v>
                </c:pt>
                <c:pt idx="170">
                  <c:v>864.7</c:v>
                </c:pt>
                <c:pt idx="171">
                  <c:v>872.9</c:v>
                </c:pt>
                <c:pt idx="172">
                  <c:v>886</c:v>
                </c:pt>
                <c:pt idx="173">
                  <c:v>904</c:v>
                </c:pt>
                <c:pt idx="174">
                  <c:v>924.9</c:v>
                </c:pt>
                <c:pt idx="175">
                  <c:v>932.8</c:v>
                </c:pt>
                <c:pt idx="176">
                  <c:v>885.7</c:v>
                </c:pt>
                <c:pt idx="177">
                  <c:v>792.5</c:v>
                </c:pt>
                <c:pt idx="178">
                  <c:v>707.1</c:v>
                </c:pt>
                <c:pt idx="179">
                  <c:v>630.6</c:v>
                </c:pt>
                <c:pt idx="180">
                  <c:v>557.9</c:v>
                </c:pt>
                <c:pt idx="181">
                  <c:v>486.2</c:v>
                </c:pt>
                <c:pt idx="182">
                  <c:v>415.5</c:v>
                </c:pt>
                <c:pt idx="183">
                  <c:v>347.3</c:v>
                </c:pt>
                <c:pt idx="184">
                  <c:v>283.5</c:v>
                </c:pt>
                <c:pt idx="185">
                  <c:v>225.9</c:v>
                </c:pt>
                <c:pt idx="186">
                  <c:v>175.5</c:v>
                </c:pt>
                <c:pt idx="187">
                  <c:v>132.6</c:v>
                </c:pt>
                <c:pt idx="188">
                  <c:v>96.9</c:v>
                </c:pt>
                <c:pt idx="189">
                  <c:v>67.5</c:v>
                </c:pt>
                <c:pt idx="190">
                  <c:v>44.4</c:v>
                </c:pt>
                <c:pt idx="191">
                  <c:v>30.3</c:v>
                </c:pt>
                <c:pt idx="192">
                  <c:v>23.7</c:v>
                </c:pt>
                <c:pt idx="193">
                  <c:v>18.5</c:v>
                </c:pt>
                <c:pt idx="194">
                  <c:v>13.7</c:v>
                </c:pt>
                <c:pt idx="195">
                  <c:v>9.4</c:v>
                </c:pt>
                <c:pt idx="196">
                  <c:v>5.8</c:v>
                </c:pt>
                <c:pt idx="197">
                  <c:v>2.7</c:v>
                </c:pt>
                <c:pt idx="198">
                  <c:v>-0.1</c:v>
                </c:pt>
                <c:pt idx="199">
                  <c:v>-2.6</c:v>
                </c:pt>
                <c:pt idx="200">
                  <c:v>-5.0999999999999996</c:v>
                </c:pt>
                <c:pt idx="201">
                  <c:v>-7.5</c:v>
                </c:pt>
                <c:pt idx="202">
                  <c:v>-9.5</c:v>
                </c:pt>
                <c:pt idx="203">
                  <c:v>-11.1</c:v>
                </c:pt>
                <c:pt idx="204">
                  <c:v>-12.5</c:v>
                </c:pt>
                <c:pt idx="205">
                  <c:v>-13.5</c:v>
                </c:pt>
                <c:pt idx="206">
                  <c:v>-14.1</c:v>
                </c:pt>
                <c:pt idx="207">
                  <c:v>-14.7</c:v>
                </c:pt>
                <c:pt idx="208">
                  <c:v>-15</c:v>
                </c:pt>
                <c:pt idx="209">
                  <c:v>-14.9</c:v>
                </c:pt>
                <c:pt idx="210">
                  <c:v>-14.7</c:v>
                </c:pt>
                <c:pt idx="211">
                  <c:v>-14.5</c:v>
                </c:pt>
                <c:pt idx="212">
                  <c:v>-14.3</c:v>
                </c:pt>
                <c:pt idx="213">
                  <c:v>-14.2</c:v>
                </c:pt>
                <c:pt idx="214">
                  <c:v>-14.1</c:v>
                </c:pt>
                <c:pt idx="215">
                  <c:v>-14</c:v>
                </c:pt>
                <c:pt idx="216">
                  <c:v>-14</c:v>
                </c:pt>
                <c:pt idx="217">
                  <c:v>-13.9</c:v>
                </c:pt>
                <c:pt idx="218">
                  <c:v>-14</c:v>
                </c:pt>
                <c:pt idx="219">
                  <c:v>-14</c:v>
                </c:pt>
                <c:pt idx="220">
                  <c:v>-14</c:v>
                </c:pt>
                <c:pt idx="221">
                  <c:v>-13.9</c:v>
                </c:pt>
                <c:pt idx="222">
                  <c:v>-13.8</c:v>
                </c:pt>
                <c:pt idx="223">
                  <c:v>-13.8</c:v>
                </c:pt>
                <c:pt idx="224">
                  <c:v>-13.7</c:v>
                </c:pt>
                <c:pt idx="225">
                  <c:v>-13.5</c:v>
                </c:pt>
                <c:pt idx="226">
                  <c:v>-13.4</c:v>
                </c:pt>
                <c:pt idx="227">
                  <c:v>-13.3</c:v>
                </c:pt>
                <c:pt idx="228">
                  <c:v>-13.2</c:v>
                </c:pt>
                <c:pt idx="229">
                  <c:v>-13.2</c:v>
                </c:pt>
                <c:pt idx="230">
                  <c:v>-13.1</c:v>
                </c:pt>
                <c:pt idx="231">
                  <c:v>-13</c:v>
                </c:pt>
                <c:pt idx="232">
                  <c:v>-13</c:v>
                </c:pt>
                <c:pt idx="233">
                  <c:v>-12.9</c:v>
                </c:pt>
                <c:pt idx="234">
                  <c:v>-12.8</c:v>
                </c:pt>
                <c:pt idx="235">
                  <c:v>-12.8</c:v>
                </c:pt>
                <c:pt idx="236">
                  <c:v>-12.7</c:v>
                </c:pt>
                <c:pt idx="237">
                  <c:v>-12.7</c:v>
                </c:pt>
                <c:pt idx="238">
                  <c:v>-12.6</c:v>
                </c:pt>
                <c:pt idx="239">
                  <c:v>-12.6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08-4168-9A8B-33BEB4417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647520"/>
        <c:axId val="719646080"/>
      </c:scatterChart>
      <c:valAx>
        <c:axId val="7196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46080"/>
        <c:crosses val="autoZero"/>
        <c:crossBetween val="midCat"/>
      </c:valAx>
      <c:valAx>
        <c:axId val="71964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4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HX711 Pressure Measurements - Ripper Left Pressure 100ml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'100ml'!$BI$3:$BI$173</c:f>
              <c:numCache>
                <c:formatCode>General</c:formatCode>
                <c:ptCount val="1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</c:numCache>
            </c:numRef>
          </c:xVal>
          <c:yVal>
            <c:numRef>
              <c:f>'100ml'!$BJ$3:$BJ$173</c:f>
              <c:numCache>
                <c:formatCode>General</c:formatCode>
                <c:ptCount val="171"/>
                <c:pt idx="0">
                  <c:v>3.5</c:v>
                </c:pt>
                <c:pt idx="1">
                  <c:v>4.2</c:v>
                </c:pt>
                <c:pt idx="2">
                  <c:v>4.7</c:v>
                </c:pt>
                <c:pt idx="3">
                  <c:v>5.2</c:v>
                </c:pt>
                <c:pt idx="4">
                  <c:v>5.6</c:v>
                </c:pt>
                <c:pt idx="5">
                  <c:v>6</c:v>
                </c:pt>
                <c:pt idx="6">
                  <c:v>6.4</c:v>
                </c:pt>
                <c:pt idx="7">
                  <c:v>6.8</c:v>
                </c:pt>
                <c:pt idx="8">
                  <c:v>7.1</c:v>
                </c:pt>
                <c:pt idx="9">
                  <c:v>7.6</c:v>
                </c:pt>
                <c:pt idx="10">
                  <c:v>8.1</c:v>
                </c:pt>
                <c:pt idx="11">
                  <c:v>8.6999999999999993</c:v>
                </c:pt>
                <c:pt idx="12">
                  <c:v>9.6</c:v>
                </c:pt>
                <c:pt idx="13">
                  <c:v>10.6</c:v>
                </c:pt>
                <c:pt idx="14">
                  <c:v>12.5</c:v>
                </c:pt>
                <c:pt idx="15">
                  <c:v>16.100000000000001</c:v>
                </c:pt>
                <c:pt idx="16">
                  <c:v>22.1</c:v>
                </c:pt>
                <c:pt idx="17">
                  <c:v>29.3</c:v>
                </c:pt>
                <c:pt idx="18">
                  <c:v>37.6</c:v>
                </c:pt>
                <c:pt idx="19">
                  <c:v>47.1</c:v>
                </c:pt>
                <c:pt idx="20">
                  <c:v>58.4</c:v>
                </c:pt>
                <c:pt idx="21">
                  <c:v>77.599999999999994</c:v>
                </c:pt>
                <c:pt idx="22">
                  <c:v>133.5</c:v>
                </c:pt>
                <c:pt idx="23">
                  <c:v>193.2</c:v>
                </c:pt>
                <c:pt idx="24">
                  <c:v>236.6</c:v>
                </c:pt>
                <c:pt idx="25">
                  <c:v>276.3</c:v>
                </c:pt>
                <c:pt idx="26">
                  <c:v>310.3</c:v>
                </c:pt>
                <c:pt idx="27">
                  <c:v>338.3</c:v>
                </c:pt>
                <c:pt idx="28">
                  <c:v>364.1</c:v>
                </c:pt>
                <c:pt idx="29">
                  <c:v>389.9</c:v>
                </c:pt>
                <c:pt idx="30">
                  <c:v>415.9</c:v>
                </c:pt>
                <c:pt idx="31">
                  <c:v>441.6</c:v>
                </c:pt>
                <c:pt idx="32">
                  <c:v>469.2</c:v>
                </c:pt>
                <c:pt idx="33">
                  <c:v>495.4</c:v>
                </c:pt>
                <c:pt idx="34">
                  <c:v>514.4</c:v>
                </c:pt>
                <c:pt idx="35">
                  <c:v>524.79999999999995</c:v>
                </c:pt>
                <c:pt idx="36">
                  <c:v>531.29999999999995</c:v>
                </c:pt>
                <c:pt idx="37">
                  <c:v>535.5</c:v>
                </c:pt>
                <c:pt idx="38">
                  <c:v>540.6</c:v>
                </c:pt>
                <c:pt idx="39">
                  <c:v>555.4</c:v>
                </c:pt>
                <c:pt idx="40">
                  <c:v>578.70000000000005</c:v>
                </c:pt>
                <c:pt idx="41">
                  <c:v>600.29999999999995</c:v>
                </c:pt>
                <c:pt idx="42">
                  <c:v>622.29999999999995</c:v>
                </c:pt>
                <c:pt idx="43">
                  <c:v>643.29999999999995</c:v>
                </c:pt>
                <c:pt idx="44">
                  <c:v>664.9</c:v>
                </c:pt>
                <c:pt idx="45">
                  <c:v>687.4</c:v>
                </c:pt>
                <c:pt idx="46">
                  <c:v>703.2</c:v>
                </c:pt>
                <c:pt idx="47">
                  <c:v>712.1</c:v>
                </c:pt>
                <c:pt idx="48">
                  <c:v>716.1</c:v>
                </c:pt>
                <c:pt idx="49">
                  <c:v>718</c:v>
                </c:pt>
                <c:pt idx="50">
                  <c:v>714.1</c:v>
                </c:pt>
                <c:pt idx="51">
                  <c:v>706.3</c:v>
                </c:pt>
                <c:pt idx="52">
                  <c:v>701.8</c:v>
                </c:pt>
                <c:pt idx="53">
                  <c:v>696</c:v>
                </c:pt>
                <c:pt idx="54">
                  <c:v>696.6</c:v>
                </c:pt>
                <c:pt idx="55">
                  <c:v>703.9</c:v>
                </c:pt>
                <c:pt idx="56">
                  <c:v>719.1</c:v>
                </c:pt>
                <c:pt idx="57">
                  <c:v>744.8</c:v>
                </c:pt>
                <c:pt idx="58">
                  <c:v>771.9</c:v>
                </c:pt>
                <c:pt idx="59">
                  <c:v>787</c:v>
                </c:pt>
                <c:pt idx="60">
                  <c:v>789.4</c:v>
                </c:pt>
                <c:pt idx="61">
                  <c:v>794</c:v>
                </c:pt>
                <c:pt idx="62">
                  <c:v>807.6</c:v>
                </c:pt>
                <c:pt idx="63">
                  <c:v>802.7</c:v>
                </c:pt>
                <c:pt idx="64">
                  <c:v>735.2</c:v>
                </c:pt>
                <c:pt idx="65">
                  <c:v>650</c:v>
                </c:pt>
                <c:pt idx="66">
                  <c:v>567.4</c:v>
                </c:pt>
                <c:pt idx="67">
                  <c:v>476.4</c:v>
                </c:pt>
                <c:pt idx="68">
                  <c:v>352.7</c:v>
                </c:pt>
                <c:pt idx="69">
                  <c:v>223.2</c:v>
                </c:pt>
                <c:pt idx="70">
                  <c:v>154.30000000000001</c:v>
                </c:pt>
                <c:pt idx="71">
                  <c:v>134</c:v>
                </c:pt>
                <c:pt idx="72">
                  <c:v>125.2</c:v>
                </c:pt>
                <c:pt idx="73">
                  <c:v>119.4</c:v>
                </c:pt>
                <c:pt idx="74">
                  <c:v>115.6</c:v>
                </c:pt>
                <c:pt idx="75">
                  <c:v>112.9</c:v>
                </c:pt>
                <c:pt idx="76">
                  <c:v>110.9</c:v>
                </c:pt>
                <c:pt idx="77">
                  <c:v>109.3</c:v>
                </c:pt>
                <c:pt idx="78">
                  <c:v>108.1</c:v>
                </c:pt>
                <c:pt idx="79">
                  <c:v>107.2</c:v>
                </c:pt>
                <c:pt idx="80">
                  <c:v>106.4</c:v>
                </c:pt>
                <c:pt idx="81">
                  <c:v>105.8</c:v>
                </c:pt>
                <c:pt idx="82">
                  <c:v>105.3</c:v>
                </c:pt>
                <c:pt idx="83">
                  <c:v>104.8</c:v>
                </c:pt>
                <c:pt idx="84">
                  <c:v>104.4</c:v>
                </c:pt>
                <c:pt idx="85">
                  <c:v>104</c:v>
                </c:pt>
                <c:pt idx="86">
                  <c:v>103.7</c:v>
                </c:pt>
                <c:pt idx="87">
                  <c:v>103.4</c:v>
                </c:pt>
                <c:pt idx="88">
                  <c:v>103.2</c:v>
                </c:pt>
                <c:pt idx="89">
                  <c:v>103</c:v>
                </c:pt>
                <c:pt idx="90">
                  <c:v>102.8</c:v>
                </c:pt>
                <c:pt idx="91">
                  <c:v>102.7</c:v>
                </c:pt>
                <c:pt idx="92">
                  <c:v>102.6</c:v>
                </c:pt>
                <c:pt idx="93">
                  <c:v>102.5</c:v>
                </c:pt>
                <c:pt idx="94">
                  <c:v>102.4</c:v>
                </c:pt>
                <c:pt idx="95">
                  <c:v>102.3</c:v>
                </c:pt>
                <c:pt idx="96">
                  <c:v>102.2</c:v>
                </c:pt>
                <c:pt idx="97">
                  <c:v>102.2</c:v>
                </c:pt>
                <c:pt idx="98">
                  <c:v>102.1</c:v>
                </c:pt>
                <c:pt idx="99">
                  <c:v>102.1</c:v>
                </c:pt>
                <c:pt idx="100">
                  <c:v>102.1</c:v>
                </c:pt>
                <c:pt idx="101">
                  <c:v>102.1</c:v>
                </c:pt>
                <c:pt idx="102">
                  <c:v>102</c:v>
                </c:pt>
                <c:pt idx="103">
                  <c:v>102</c:v>
                </c:pt>
                <c:pt idx="104">
                  <c:v>102</c:v>
                </c:pt>
                <c:pt idx="105">
                  <c:v>102</c:v>
                </c:pt>
                <c:pt idx="106">
                  <c:v>102</c:v>
                </c:pt>
                <c:pt idx="107">
                  <c:v>102</c:v>
                </c:pt>
                <c:pt idx="108">
                  <c:v>102</c:v>
                </c:pt>
                <c:pt idx="109">
                  <c:v>102</c:v>
                </c:pt>
                <c:pt idx="110">
                  <c:v>102</c:v>
                </c:pt>
                <c:pt idx="111">
                  <c:v>102</c:v>
                </c:pt>
                <c:pt idx="112">
                  <c:v>102</c:v>
                </c:pt>
                <c:pt idx="113">
                  <c:v>102</c:v>
                </c:pt>
                <c:pt idx="114">
                  <c:v>102</c:v>
                </c:pt>
                <c:pt idx="115">
                  <c:v>102</c:v>
                </c:pt>
                <c:pt idx="116">
                  <c:v>102</c:v>
                </c:pt>
                <c:pt idx="117">
                  <c:v>102</c:v>
                </c:pt>
                <c:pt idx="118">
                  <c:v>102</c:v>
                </c:pt>
                <c:pt idx="119">
                  <c:v>102.1</c:v>
                </c:pt>
                <c:pt idx="120">
                  <c:v>102.1</c:v>
                </c:pt>
                <c:pt idx="121">
                  <c:v>102.1</c:v>
                </c:pt>
                <c:pt idx="122">
                  <c:v>102.1</c:v>
                </c:pt>
                <c:pt idx="123">
                  <c:v>102.1</c:v>
                </c:pt>
                <c:pt idx="124">
                  <c:v>102.2</c:v>
                </c:pt>
                <c:pt idx="125">
                  <c:v>102.2</c:v>
                </c:pt>
                <c:pt idx="126">
                  <c:v>102.2</c:v>
                </c:pt>
                <c:pt idx="127">
                  <c:v>102.2</c:v>
                </c:pt>
                <c:pt idx="128">
                  <c:v>102.2</c:v>
                </c:pt>
                <c:pt idx="129">
                  <c:v>102.2</c:v>
                </c:pt>
                <c:pt idx="130">
                  <c:v>102.2</c:v>
                </c:pt>
                <c:pt idx="131">
                  <c:v>102.2</c:v>
                </c:pt>
                <c:pt idx="132">
                  <c:v>102.3</c:v>
                </c:pt>
                <c:pt idx="133">
                  <c:v>102.3</c:v>
                </c:pt>
                <c:pt idx="134">
                  <c:v>102.3</c:v>
                </c:pt>
                <c:pt idx="135">
                  <c:v>102.3</c:v>
                </c:pt>
                <c:pt idx="136">
                  <c:v>102.3</c:v>
                </c:pt>
                <c:pt idx="137">
                  <c:v>102.3</c:v>
                </c:pt>
                <c:pt idx="138">
                  <c:v>102.3</c:v>
                </c:pt>
                <c:pt idx="139">
                  <c:v>102.4</c:v>
                </c:pt>
                <c:pt idx="140">
                  <c:v>102.4</c:v>
                </c:pt>
                <c:pt idx="141">
                  <c:v>102.4</c:v>
                </c:pt>
                <c:pt idx="142">
                  <c:v>102.4</c:v>
                </c:pt>
                <c:pt idx="143">
                  <c:v>102.4</c:v>
                </c:pt>
                <c:pt idx="144">
                  <c:v>102.4</c:v>
                </c:pt>
                <c:pt idx="145">
                  <c:v>102.4</c:v>
                </c:pt>
                <c:pt idx="146">
                  <c:v>102.5</c:v>
                </c:pt>
                <c:pt idx="147">
                  <c:v>102.5</c:v>
                </c:pt>
                <c:pt idx="148">
                  <c:v>102.5</c:v>
                </c:pt>
                <c:pt idx="149">
                  <c:v>102.5</c:v>
                </c:pt>
                <c:pt idx="150">
                  <c:v>102.5</c:v>
                </c:pt>
                <c:pt idx="151">
                  <c:v>102.5</c:v>
                </c:pt>
                <c:pt idx="152">
                  <c:v>102.5</c:v>
                </c:pt>
                <c:pt idx="153">
                  <c:v>102.5</c:v>
                </c:pt>
                <c:pt idx="154">
                  <c:v>102.6</c:v>
                </c:pt>
                <c:pt idx="155">
                  <c:v>102.6</c:v>
                </c:pt>
                <c:pt idx="156">
                  <c:v>102.6</c:v>
                </c:pt>
                <c:pt idx="157">
                  <c:v>102.6</c:v>
                </c:pt>
                <c:pt idx="158">
                  <c:v>102.6</c:v>
                </c:pt>
                <c:pt idx="159">
                  <c:v>102.6</c:v>
                </c:pt>
                <c:pt idx="160">
                  <c:v>102.6</c:v>
                </c:pt>
                <c:pt idx="161">
                  <c:v>102.6</c:v>
                </c:pt>
                <c:pt idx="162">
                  <c:v>102.6</c:v>
                </c:pt>
                <c:pt idx="163">
                  <c:v>102.6</c:v>
                </c:pt>
                <c:pt idx="164">
                  <c:v>102.7</c:v>
                </c:pt>
                <c:pt idx="165">
                  <c:v>102.7</c:v>
                </c:pt>
                <c:pt idx="166">
                  <c:v>102.7</c:v>
                </c:pt>
                <c:pt idx="167">
                  <c:v>102.7</c:v>
                </c:pt>
                <c:pt idx="168">
                  <c:v>102.7</c:v>
                </c:pt>
                <c:pt idx="169">
                  <c:v>102.7</c:v>
                </c:pt>
                <c:pt idx="170">
                  <c:v>102.7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3-4416-8BAA-183844AB7FD4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'100ml'!$BI$3:$BI$173</c:f>
              <c:numCache>
                <c:formatCode>General</c:formatCode>
                <c:ptCount val="1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</c:numCache>
            </c:numRef>
          </c:xVal>
          <c:yVal>
            <c:numRef>
              <c:f>'100ml'!$BK$3:$BK$173</c:f>
              <c:numCache>
                <c:formatCode>General</c:formatCode>
                <c:ptCount val="171"/>
                <c:pt idx="0">
                  <c:v>2.2999999999999998</c:v>
                </c:pt>
                <c:pt idx="1">
                  <c:v>2.7</c:v>
                </c:pt>
                <c:pt idx="2">
                  <c:v>3</c:v>
                </c:pt>
                <c:pt idx="3">
                  <c:v>3.4</c:v>
                </c:pt>
                <c:pt idx="4">
                  <c:v>3.7</c:v>
                </c:pt>
                <c:pt idx="5">
                  <c:v>4.0999999999999996</c:v>
                </c:pt>
                <c:pt idx="6">
                  <c:v>4.5999999999999996</c:v>
                </c:pt>
                <c:pt idx="7">
                  <c:v>5</c:v>
                </c:pt>
                <c:pt idx="8">
                  <c:v>5.3</c:v>
                </c:pt>
                <c:pt idx="9">
                  <c:v>5.6</c:v>
                </c:pt>
                <c:pt idx="10">
                  <c:v>5.9</c:v>
                </c:pt>
                <c:pt idx="11">
                  <c:v>6.2</c:v>
                </c:pt>
                <c:pt idx="12">
                  <c:v>6.6</c:v>
                </c:pt>
                <c:pt idx="13">
                  <c:v>6.9</c:v>
                </c:pt>
                <c:pt idx="14">
                  <c:v>7.2</c:v>
                </c:pt>
                <c:pt idx="15">
                  <c:v>7.6</c:v>
                </c:pt>
                <c:pt idx="16">
                  <c:v>8.5</c:v>
                </c:pt>
                <c:pt idx="17">
                  <c:v>10.6</c:v>
                </c:pt>
                <c:pt idx="18">
                  <c:v>15.1</c:v>
                </c:pt>
                <c:pt idx="19">
                  <c:v>22.1</c:v>
                </c:pt>
                <c:pt idx="20">
                  <c:v>31</c:v>
                </c:pt>
                <c:pt idx="21">
                  <c:v>41</c:v>
                </c:pt>
                <c:pt idx="22">
                  <c:v>52.7</c:v>
                </c:pt>
                <c:pt idx="23">
                  <c:v>66.2</c:v>
                </c:pt>
                <c:pt idx="24">
                  <c:v>83.7</c:v>
                </c:pt>
                <c:pt idx="25">
                  <c:v>123.9</c:v>
                </c:pt>
                <c:pt idx="26">
                  <c:v>182.4</c:v>
                </c:pt>
                <c:pt idx="27">
                  <c:v>250.7</c:v>
                </c:pt>
                <c:pt idx="28">
                  <c:v>323.7</c:v>
                </c:pt>
                <c:pt idx="29">
                  <c:v>394.7</c:v>
                </c:pt>
                <c:pt idx="30">
                  <c:v>454.4</c:v>
                </c:pt>
                <c:pt idx="31">
                  <c:v>506.2</c:v>
                </c:pt>
                <c:pt idx="32">
                  <c:v>548.4</c:v>
                </c:pt>
                <c:pt idx="33">
                  <c:v>578.6</c:v>
                </c:pt>
                <c:pt idx="34">
                  <c:v>601.70000000000005</c:v>
                </c:pt>
                <c:pt idx="35">
                  <c:v>621.20000000000005</c:v>
                </c:pt>
                <c:pt idx="36">
                  <c:v>638.6</c:v>
                </c:pt>
                <c:pt idx="37">
                  <c:v>657.3</c:v>
                </c:pt>
                <c:pt idx="38">
                  <c:v>674.7</c:v>
                </c:pt>
                <c:pt idx="39">
                  <c:v>689.8</c:v>
                </c:pt>
                <c:pt idx="40">
                  <c:v>704.4</c:v>
                </c:pt>
                <c:pt idx="41">
                  <c:v>720.2</c:v>
                </c:pt>
                <c:pt idx="42">
                  <c:v>736.9</c:v>
                </c:pt>
                <c:pt idx="43">
                  <c:v>750.9</c:v>
                </c:pt>
                <c:pt idx="44">
                  <c:v>764.9</c:v>
                </c:pt>
                <c:pt idx="45">
                  <c:v>782</c:v>
                </c:pt>
                <c:pt idx="46">
                  <c:v>795.8</c:v>
                </c:pt>
                <c:pt idx="47">
                  <c:v>796.9</c:v>
                </c:pt>
                <c:pt idx="48">
                  <c:v>795</c:v>
                </c:pt>
                <c:pt idx="49">
                  <c:v>799.8</c:v>
                </c:pt>
                <c:pt idx="50">
                  <c:v>814.1</c:v>
                </c:pt>
                <c:pt idx="51">
                  <c:v>827.6</c:v>
                </c:pt>
                <c:pt idx="52">
                  <c:v>830.1</c:v>
                </c:pt>
                <c:pt idx="53">
                  <c:v>832</c:v>
                </c:pt>
                <c:pt idx="54">
                  <c:v>840.1</c:v>
                </c:pt>
                <c:pt idx="55">
                  <c:v>853.7</c:v>
                </c:pt>
                <c:pt idx="56">
                  <c:v>865.9</c:v>
                </c:pt>
                <c:pt idx="57">
                  <c:v>885.7</c:v>
                </c:pt>
                <c:pt idx="58">
                  <c:v>909.3</c:v>
                </c:pt>
                <c:pt idx="59">
                  <c:v>864.5</c:v>
                </c:pt>
                <c:pt idx="60">
                  <c:v>775.8</c:v>
                </c:pt>
                <c:pt idx="61">
                  <c:v>692.4</c:v>
                </c:pt>
                <c:pt idx="62">
                  <c:v>613.4</c:v>
                </c:pt>
                <c:pt idx="63">
                  <c:v>537.5</c:v>
                </c:pt>
                <c:pt idx="64">
                  <c:v>465</c:v>
                </c:pt>
                <c:pt idx="65">
                  <c:v>397.4</c:v>
                </c:pt>
                <c:pt idx="66">
                  <c:v>336.5</c:v>
                </c:pt>
                <c:pt idx="67">
                  <c:v>283.3</c:v>
                </c:pt>
                <c:pt idx="68">
                  <c:v>238.4</c:v>
                </c:pt>
                <c:pt idx="69">
                  <c:v>200.9</c:v>
                </c:pt>
                <c:pt idx="70">
                  <c:v>170</c:v>
                </c:pt>
                <c:pt idx="71">
                  <c:v>149</c:v>
                </c:pt>
                <c:pt idx="72">
                  <c:v>137.19999999999999</c:v>
                </c:pt>
                <c:pt idx="73">
                  <c:v>127.8</c:v>
                </c:pt>
                <c:pt idx="74">
                  <c:v>120.2</c:v>
                </c:pt>
                <c:pt idx="75">
                  <c:v>115</c:v>
                </c:pt>
                <c:pt idx="76">
                  <c:v>111.6</c:v>
                </c:pt>
                <c:pt idx="77">
                  <c:v>109.2</c:v>
                </c:pt>
                <c:pt idx="78">
                  <c:v>107.6</c:v>
                </c:pt>
                <c:pt idx="79">
                  <c:v>106.3</c:v>
                </c:pt>
                <c:pt idx="80">
                  <c:v>105.4</c:v>
                </c:pt>
                <c:pt idx="81">
                  <c:v>104.6</c:v>
                </c:pt>
                <c:pt idx="82">
                  <c:v>103.8</c:v>
                </c:pt>
                <c:pt idx="83">
                  <c:v>102.9</c:v>
                </c:pt>
                <c:pt idx="84">
                  <c:v>101.9</c:v>
                </c:pt>
                <c:pt idx="85">
                  <c:v>101.2</c:v>
                </c:pt>
                <c:pt idx="86">
                  <c:v>100.7</c:v>
                </c:pt>
                <c:pt idx="87">
                  <c:v>100.2</c:v>
                </c:pt>
                <c:pt idx="88">
                  <c:v>99.7</c:v>
                </c:pt>
                <c:pt idx="89">
                  <c:v>99.3</c:v>
                </c:pt>
                <c:pt idx="90">
                  <c:v>99</c:v>
                </c:pt>
                <c:pt idx="91">
                  <c:v>98.8</c:v>
                </c:pt>
                <c:pt idx="92">
                  <c:v>98.6</c:v>
                </c:pt>
                <c:pt idx="93">
                  <c:v>98.5</c:v>
                </c:pt>
                <c:pt idx="94">
                  <c:v>98.4</c:v>
                </c:pt>
                <c:pt idx="95">
                  <c:v>98.4</c:v>
                </c:pt>
                <c:pt idx="96">
                  <c:v>98.3</c:v>
                </c:pt>
                <c:pt idx="97">
                  <c:v>98.2</c:v>
                </c:pt>
                <c:pt idx="98">
                  <c:v>98.2</c:v>
                </c:pt>
                <c:pt idx="99">
                  <c:v>98.2</c:v>
                </c:pt>
                <c:pt idx="100">
                  <c:v>98.2</c:v>
                </c:pt>
                <c:pt idx="101">
                  <c:v>98.2</c:v>
                </c:pt>
                <c:pt idx="102">
                  <c:v>98.2</c:v>
                </c:pt>
                <c:pt idx="103">
                  <c:v>98.2</c:v>
                </c:pt>
                <c:pt idx="104">
                  <c:v>98.2</c:v>
                </c:pt>
                <c:pt idx="105">
                  <c:v>98.2</c:v>
                </c:pt>
                <c:pt idx="106">
                  <c:v>98.2</c:v>
                </c:pt>
                <c:pt idx="107">
                  <c:v>98.3</c:v>
                </c:pt>
                <c:pt idx="108">
                  <c:v>98.3</c:v>
                </c:pt>
                <c:pt idx="109">
                  <c:v>98.3</c:v>
                </c:pt>
                <c:pt idx="110">
                  <c:v>98.4</c:v>
                </c:pt>
                <c:pt idx="111">
                  <c:v>98.4</c:v>
                </c:pt>
                <c:pt idx="112">
                  <c:v>98.5</c:v>
                </c:pt>
                <c:pt idx="113">
                  <c:v>98.5</c:v>
                </c:pt>
                <c:pt idx="114">
                  <c:v>98.5</c:v>
                </c:pt>
                <c:pt idx="115">
                  <c:v>98.5</c:v>
                </c:pt>
                <c:pt idx="116">
                  <c:v>98.6</c:v>
                </c:pt>
                <c:pt idx="117">
                  <c:v>98.6</c:v>
                </c:pt>
                <c:pt idx="118">
                  <c:v>98.6</c:v>
                </c:pt>
                <c:pt idx="119">
                  <c:v>98.7</c:v>
                </c:pt>
                <c:pt idx="120">
                  <c:v>98.7</c:v>
                </c:pt>
                <c:pt idx="121">
                  <c:v>98.7</c:v>
                </c:pt>
                <c:pt idx="122">
                  <c:v>98.8</c:v>
                </c:pt>
                <c:pt idx="123">
                  <c:v>98.8</c:v>
                </c:pt>
                <c:pt idx="124">
                  <c:v>98.8</c:v>
                </c:pt>
                <c:pt idx="125">
                  <c:v>98.9</c:v>
                </c:pt>
                <c:pt idx="126">
                  <c:v>98.9</c:v>
                </c:pt>
                <c:pt idx="127">
                  <c:v>98.9</c:v>
                </c:pt>
                <c:pt idx="128">
                  <c:v>99</c:v>
                </c:pt>
                <c:pt idx="129">
                  <c:v>99</c:v>
                </c:pt>
                <c:pt idx="130">
                  <c:v>99</c:v>
                </c:pt>
                <c:pt idx="131">
                  <c:v>99.1</c:v>
                </c:pt>
                <c:pt idx="132">
                  <c:v>99.1</c:v>
                </c:pt>
                <c:pt idx="133">
                  <c:v>99.2</c:v>
                </c:pt>
                <c:pt idx="134">
                  <c:v>99.2</c:v>
                </c:pt>
                <c:pt idx="135">
                  <c:v>99.2</c:v>
                </c:pt>
                <c:pt idx="136">
                  <c:v>99.3</c:v>
                </c:pt>
                <c:pt idx="137">
                  <c:v>99.3</c:v>
                </c:pt>
                <c:pt idx="138">
                  <c:v>99.3</c:v>
                </c:pt>
                <c:pt idx="139">
                  <c:v>99.4</c:v>
                </c:pt>
                <c:pt idx="140">
                  <c:v>99.4</c:v>
                </c:pt>
                <c:pt idx="141">
                  <c:v>99.4</c:v>
                </c:pt>
                <c:pt idx="142">
                  <c:v>99.5</c:v>
                </c:pt>
                <c:pt idx="143">
                  <c:v>99.5</c:v>
                </c:pt>
                <c:pt idx="144">
                  <c:v>99.5</c:v>
                </c:pt>
                <c:pt idx="145">
                  <c:v>99.6</c:v>
                </c:pt>
                <c:pt idx="146">
                  <c:v>99.6</c:v>
                </c:pt>
                <c:pt idx="147">
                  <c:v>99.7</c:v>
                </c:pt>
                <c:pt idx="148">
                  <c:v>99.7</c:v>
                </c:pt>
                <c:pt idx="149">
                  <c:v>99.7</c:v>
                </c:pt>
                <c:pt idx="150">
                  <c:v>99.7</c:v>
                </c:pt>
                <c:pt idx="151">
                  <c:v>99.7</c:v>
                </c:pt>
                <c:pt idx="152">
                  <c:v>99.8</c:v>
                </c:pt>
                <c:pt idx="153">
                  <c:v>99.8</c:v>
                </c:pt>
                <c:pt idx="154">
                  <c:v>99.9</c:v>
                </c:pt>
                <c:pt idx="155">
                  <c:v>99.9</c:v>
                </c:pt>
                <c:pt idx="156">
                  <c:v>99.9</c:v>
                </c:pt>
                <c:pt idx="157">
                  <c:v>99.9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100.1</c:v>
                </c:pt>
                <c:pt idx="163">
                  <c:v>100.1</c:v>
                </c:pt>
                <c:pt idx="164">
                  <c:v>100.1</c:v>
                </c:pt>
                <c:pt idx="165">
                  <c:v>100.1</c:v>
                </c:pt>
                <c:pt idx="166">
                  <c:v>100.2</c:v>
                </c:pt>
                <c:pt idx="167">
                  <c:v>100.2</c:v>
                </c:pt>
                <c:pt idx="168">
                  <c:v>100.2</c:v>
                </c:pt>
                <c:pt idx="169">
                  <c:v>100.2</c:v>
                </c:pt>
                <c:pt idx="170">
                  <c:v>100.3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43-4416-8BAA-183844AB7FD4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'100ml'!$BI$3:$BI$173</c:f>
              <c:numCache>
                <c:formatCode>General</c:formatCode>
                <c:ptCount val="1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</c:numCache>
            </c:numRef>
          </c:xVal>
          <c:yVal>
            <c:numRef>
              <c:f>'100ml'!$BL$3:$BL$173</c:f>
              <c:numCache>
                <c:formatCode>General</c:formatCode>
                <c:ptCount val="171"/>
                <c:pt idx="0">
                  <c:v>-19.7</c:v>
                </c:pt>
                <c:pt idx="1">
                  <c:v>-19.3</c:v>
                </c:pt>
                <c:pt idx="2">
                  <c:v>-19</c:v>
                </c:pt>
                <c:pt idx="3">
                  <c:v>-18.600000000000001</c:v>
                </c:pt>
                <c:pt idx="4">
                  <c:v>-18.3</c:v>
                </c:pt>
                <c:pt idx="5">
                  <c:v>-18.100000000000001</c:v>
                </c:pt>
                <c:pt idx="6">
                  <c:v>-18</c:v>
                </c:pt>
                <c:pt idx="7">
                  <c:v>-17.5</c:v>
                </c:pt>
                <c:pt idx="8">
                  <c:v>-16.3</c:v>
                </c:pt>
                <c:pt idx="9">
                  <c:v>-13.9</c:v>
                </c:pt>
                <c:pt idx="10">
                  <c:v>-10.4</c:v>
                </c:pt>
                <c:pt idx="11">
                  <c:v>-5.9</c:v>
                </c:pt>
                <c:pt idx="12">
                  <c:v>0.4</c:v>
                </c:pt>
                <c:pt idx="13">
                  <c:v>10</c:v>
                </c:pt>
                <c:pt idx="14">
                  <c:v>24.3</c:v>
                </c:pt>
                <c:pt idx="15">
                  <c:v>47.2</c:v>
                </c:pt>
                <c:pt idx="16">
                  <c:v>132.4</c:v>
                </c:pt>
                <c:pt idx="17">
                  <c:v>249.6</c:v>
                </c:pt>
                <c:pt idx="18">
                  <c:v>309.89999999999998</c:v>
                </c:pt>
                <c:pt idx="19">
                  <c:v>353.3</c:v>
                </c:pt>
                <c:pt idx="20">
                  <c:v>391.8</c:v>
                </c:pt>
                <c:pt idx="21">
                  <c:v>427.9</c:v>
                </c:pt>
                <c:pt idx="22">
                  <c:v>465.5</c:v>
                </c:pt>
                <c:pt idx="23">
                  <c:v>505.1</c:v>
                </c:pt>
                <c:pt idx="24">
                  <c:v>540.9</c:v>
                </c:pt>
                <c:pt idx="25">
                  <c:v>569.5</c:v>
                </c:pt>
                <c:pt idx="26">
                  <c:v>592.4</c:v>
                </c:pt>
                <c:pt idx="27">
                  <c:v>613.29999999999995</c:v>
                </c:pt>
                <c:pt idx="28">
                  <c:v>634.79999999999995</c:v>
                </c:pt>
                <c:pt idx="29">
                  <c:v>656</c:v>
                </c:pt>
                <c:pt idx="30">
                  <c:v>675.4</c:v>
                </c:pt>
                <c:pt idx="31">
                  <c:v>694.5</c:v>
                </c:pt>
                <c:pt idx="32">
                  <c:v>711.8</c:v>
                </c:pt>
                <c:pt idx="33">
                  <c:v>724.8</c:v>
                </c:pt>
                <c:pt idx="34">
                  <c:v>735.2</c:v>
                </c:pt>
                <c:pt idx="35">
                  <c:v>746.7</c:v>
                </c:pt>
                <c:pt idx="36">
                  <c:v>760</c:v>
                </c:pt>
                <c:pt idx="37">
                  <c:v>770.4</c:v>
                </c:pt>
                <c:pt idx="38">
                  <c:v>776.8</c:v>
                </c:pt>
                <c:pt idx="39">
                  <c:v>775</c:v>
                </c:pt>
                <c:pt idx="40">
                  <c:v>771.5</c:v>
                </c:pt>
                <c:pt idx="41">
                  <c:v>772.7</c:v>
                </c:pt>
                <c:pt idx="42">
                  <c:v>775</c:v>
                </c:pt>
                <c:pt idx="43">
                  <c:v>774.3</c:v>
                </c:pt>
                <c:pt idx="44">
                  <c:v>771.6</c:v>
                </c:pt>
                <c:pt idx="45">
                  <c:v>771.5</c:v>
                </c:pt>
                <c:pt idx="46">
                  <c:v>774.1</c:v>
                </c:pt>
                <c:pt idx="47">
                  <c:v>779.8</c:v>
                </c:pt>
                <c:pt idx="48">
                  <c:v>786.2</c:v>
                </c:pt>
                <c:pt idx="49">
                  <c:v>793.2</c:v>
                </c:pt>
                <c:pt idx="50">
                  <c:v>798.5</c:v>
                </c:pt>
                <c:pt idx="51">
                  <c:v>789.1</c:v>
                </c:pt>
                <c:pt idx="52">
                  <c:v>763.2</c:v>
                </c:pt>
                <c:pt idx="53">
                  <c:v>734.3</c:v>
                </c:pt>
                <c:pt idx="54">
                  <c:v>701.5</c:v>
                </c:pt>
                <c:pt idx="55">
                  <c:v>657</c:v>
                </c:pt>
                <c:pt idx="56">
                  <c:v>579.1</c:v>
                </c:pt>
                <c:pt idx="57">
                  <c:v>484.5</c:v>
                </c:pt>
                <c:pt idx="58">
                  <c:v>433.4</c:v>
                </c:pt>
                <c:pt idx="59">
                  <c:v>354.1</c:v>
                </c:pt>
                <c:pt idx="60">
                  <c:v>280</c:v>
                </c:pt>
                <c:pt idx="61">
                  <c:v>251.1</c:v>
                </c:pt>
                <c:pt idx="62">
                  <c:v>224.4</c:v>
                </c:pt>
                <c:pt idx="63">
                  <c:v>172.1</c:v>
                </c:pt>
                <c:pt idx="64">
                  <c:v>140.6</c:v>
                </c:pt>
                <c:pt idx="65">
                  <c:v>134.6</c:v>
                </c:pt>
                <c:pt idx="66">
                  <c:v>130.5</c:v>
                </c:pt>
                <c:pt idx="67">
                  <c:v>127</c:v>
                </c:pt>
                <c:pt idx="68">
                  <c:v>123.9</c:v>
                </c:pt>
                <c:pt idx="69">
                  <c:v>121.2</c:v>
                </c:pt>
                <c:pt idx="70">
                  <c:v>118.6</c:v>
                </c:pt>
                <c:pt idx="71">
                  <c:v>116</c:v>
                </c:pt>
                <c:pt idx="72">
                  <c:v>113.6</c:v>
                </c:pt>
                <c:pt idx="73">
                  <c:v>111.7</c:v>
                </c:pt>
                <c:pt idx="74">
                  <c:v>110.4</c:v>
                </c:pt>
                <c:pt idx="75">
                  <c:v>109.5</c:v>
                </c:pt>
                <c:pt idx="76">
                  <c:v>108.7</c:v>
                </c:pt>
                <c:pt idx="77">
                  <c:v>108.1</c:v>
                </c:pt>
                <c:pt idx="78">
                  <c:v>107.5</c:v>
                </c:pt>
                <c:pt idx="79">
                  <c:v>107</c:v>
                </c:pt>
                <c:pt idx="80">
                  <c:v>106.6</c:v>
                </c:pt>
                <c:pt idx="81">
                  <c:v>106.2</c:v>
                </c:pt>
                <c:pt idx="82">
                  <c:v>105.9</c:v>
                </c:pt>
                <c:pt idx="83">
                  <c:v>105.6</c:v>
                </c:pt>
                <c:pt idx="84">
                  <c:v>105.3</c:v>
                </c:pt>
                <c:pt idx="85">
                  <c:v>105.1</c:v>
                </c:pt>
                <c:pt idx="86">
                  <c:v>104.9</c:v>
                </c:pt>
                <c:pt idx="87">
                  <c:v>104.6</c:v>
                </c:pt>
                <c:pt idx="88">
                  <c:v>103</c:v>
                </c:pt>
                <c:pt idx="89">
                  <c:v>80.2</c:v>
                </c:pt>
                <c:pt idx="90">
                  <c:v>51.8</c:v>
                </c:pt>
                <c:pt idx="91">
                  <c:v>49.7</c:v>
                </c:pt>
                <c:pt idx="92">
                  <c:v>50.7</c:v>
                </c:pt>
                <c:pt idx="93">
                  <c:v>51.4</c:v>
                </c:pt>
                <c:pt idx="94">
                  <c:v>51.9</c:v>
                </c:pt>
                <c:pt idx="95">
                  <c:v>52.3</c:v>
                </c:pt>
                <c:pt idx="96">
                  <c:v>52.9</c:v>
                </c:pt>
                <c:pt idx="97">
                  <c:v>53.4</c:v>
                </c:pt>
                <c:pt idx="98">
                  <c:v>53.3</c:v>
                </c:pt>
                <c:pt idx="99">
                  <c:v>53.5</c:v>
                </c:pt>
                <c:pt idx="100">
                  <c:v>53.8</c:v>
                </c:pt>
                <c:pt idx="101">
                  <c:v>54.1</c:v>
                </c:pt>
                <c:pt idx="102">
                  <c:v>54.3</c:v>
                </c:pt>
                <c:pt idx="103">
                  <c:v>54.5</c:v>
                </c:pt>
                <c:pt idx="104">
                  <c:v>54.6</c:v>
                </c:pt>
                <c:pt idx="105">
                  <c:v>54.8</c:v>
                </c:pt>
                <c:pt idx="106">
                  <c:v>54.9</c:v>
                </c:pt>
                <c:pt idx="107">
                  <c:v>55</c:v>
                </c:pt>
                <c:pt idx="108">
                  <c:v>55.1</c:v>
                </c:pt>
                <c:pt idx="109">
                  <c:v>55.3</c:v>
                </c:pt>
                <c:pt idx="110">
                  <c:v>55.4</c:v>
                </c:pt>
                <c:pt idx="111">
                  <c:v>55.5</c:v>
                </c:pt>
                <c:pt idx="112">
                  <c:v>55.6</c:v>
                </c:pt>
                <c:pt idx="113">
                  <c:v>55.8</c:v>
                </c:pt>
                <c:pt idx="114">
                  <c:v>55.9</c:v>
                </c:pt>
                <c:pt idx="115">
                  <c:v>56</c:v>
                </c:pt>
                <c:pt idx="116">
                  <c:v>56.1</c:v>
                </c:pt>
                <c:pt idx="117">
                  <c:v>56.2</c:v>
                </c:pt>
                <c:pt idx="118">
                  <c:v>56.3</c:v>
                </c:pt>
                <c:pt idx="119">
                  <c:v>56.4</c:v>
                </c:pt>
                <c:pt idx="120">
                  <c:v>56.5</c:v>
                </c:pt>
                <c:pt idx="121">
                  <c:v>56.6</c:v>
                </c:pt>
                <c:pt idx="122">
                  <c:v>56.7</c:v>
                </c:pt>
                <c:pt idx="123">
                  <c:v>56.7</c:v>
                </c:pt>
                <c:pt idx="124">
                  <c:v>56.8</c:v>
                </c:pt>
                <c:pt idx="125">
                  <c:v>56.9</c:v>
                </c:pt>
                <c:pt idx="126">
                  <c:v>57</c:v>
                </c:pt>
                <c:pt idx="127">
                  <c:v>57.1</c:v>
                </c:pt>
                <c:pt idx="128">
                  <c:v>57.1</c:v>
                </c:pt>
                <c:pt idx="129">
                  <c:v>57.2</c:v>
                </c:pt>
                <c:pt idx="130">
                  <c:v>57.3</c:v>
                </c:pt>
                <c:pt idx="131">
                  <c:v>57.4</c:v>
                </c:pt>
                <c:pt idx="132">
                  <c:v>57.4</c:v>
                </c:pt>
                <c:pt idx="133">
                  <c:v>57.5</c:v>
                </c:pt>
                <c:pt idx="134">
                  <c:v>57.5</c:v>
                </c:pt>
                <c:pt idx="135">
                  <c:v>57.6</c:v>
                </c:pt>
                <c:pt idx="136">
                  <c:v>57.7</c:v>
                </c:pt>
                <c:pt idx="137">
                  <c:v>57.7</c:v>
                </c:pt>
                <c:pt idx="138">
                  <c:v>57.8</c:v>
                </c:pt>
                <c:pt idx="139">
                  <c:v>57.9</c:v>
                </c:pt>
                <c:pt idx="140">
                  <c:v>57.9</c:v>
                </c:pt>
                <c:pt idx="141">
                  <c:v>58</c:v>
                </c:pt>
                <c:pt idx="142">
                  <c:v>58</c:v>
                </c:pt>
                <c:pt idx="143">
                  <c:v>58.1</c:v>
                </c:pt>
                <c:pt idx="144">
                  <c:v>58.1</c:v>
                </c:pt>
                <c:pt idx="145">
                  <c:v>58.2</c:v>
                </c:pt>
                <c:pt idx="146">
                  <c:v>58.2</c:v>
                </c:pt>
                <c:pt idx="147">
                  <c:v>58.3</c:v>
                </c:pt>
                <c:pt idx="148">
                  <c:v>58.3</c:v>
                </c:pt>
                <c:pt idx="149">
                  <c:v>58.4</c:v>
                </c:pt>
                <c:pt idx="150">
                  <c:v>58.4</c:v>
                </c:pt>
                <c:pt idx="151">
                  <c:v>58.5</c:v>
                </c:pt>
                <c:pt idx="152">
                  <c:v>58.6</c:v>
                </c:pt>
                <c:pt idx="153">
                  <c:v>58.6</c:v>
                </c:pt>
                <c:pt idx="154">
                  <c:v>58.6</c:v>
                </c:pt>
                <c:pt idx="155">
                  <c:v>58.7</c:v>
                </c:pt>
                <c:pt idx="156">
                  <c:v>58.7</c:v>
                </c:pt>
                <c:pt idx="157">
                  <c:v>58.8</c:v>
                </c:pt>
                <c:pt idx="158">
                  <c:v>58.8</c:v>
                </c:pt>
                <c:pt idx="159">
                  <c:v>58.9</c:v>
                </c:pt>
                <c:pt idx="160">
                  <c:v>58.9</c:v>
                </c:pt>
                <c:pt idx="161">
                  <c:v>58.9</c:v>
                </c:pt>
                <c:pt idx="162">
                  <c:v>59</c:v>
                </c:pt>
                <c:pt idx="163">
                  <c:v>59</c:v>
                </c:pt>
                <c:pt idx="164">
                  <c:v>59.1</c:v>
                </c:pt>
                <c:pt idx="165">
                  <c:v>59.1</c:v>
                </c:pt>
                <c:pt idx="166">
                  <c:v>59.1</c:v>
                </c:pt>
                <c:pt idx="167">
                  <c:v>59.2</c:v>
                </c:pt>
                <c:pt idx="168">
                  <c:v>59.2</c:v>
                </c:pt>
                <c:pt idx="169">
                  <c:v>59.3</c:v>
                </c:pt>
                <c:pt idx="170">
                  <c:v>59.3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43-4416-8BAA-183844AB7FD4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'100ml'!$BI$3:$BI$173</c:f>
              <c:numCache>
                <c:formatCode>General</c:formatCode>
                <c:ptCount val="1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</c:numCache>
            </c:numRef>
          </c:xVal>
          <c:yVal>
            <c:numRef>
              <c:f>'100ml'!$BM$3:$BM$173</c:f>
              <c:numCache>
                <c:formatCode>General</c:formatCode>
                <c:ptCount val="171"/>
                <c:pt idx="0">
                  <c:v>1.2</c:v>
                </c:pt>
                <c:pt idx="1">
                  <c:v>1.5</c:v>
                </c:pt>
                <c:pt idx="2">
                  <c:v>1.9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2.6</c:v>
                </c:pt>
                <c:pt idx="6">
                  <c:v>3.3</c:v>
                </c:pt>
                <c:pt idx="7">
                  <c:v>5.2</c:v>
                </c:pt>
                <c:pt idx="8">
                  <c:v>9.5</c:v>
                </c:pt>
                <c:pt idx="9">
                  <c:v>17.899999999999999</c:v>
                </c:pt>
                <c:pt idx="10">
                  <c:v>30</c:v>
                </c:pt>
                <c:pt idx="11">
                  <c:v>43.7</c:v>
                </c:pt>
                <c:pt idx="12">
                  <c:v>60.7</c:v>
                </c:pt>
                <c:pt idx="13">
                  <c:v>102.5</c:v>
                </c:pt>
                <c:pt idx="14">
                  <c:v>204.2</c:v>
                </c:pt>
                <c:pt idx="15">
                  <c:v>316.5</c:v>
                </c:pt>
                <c:pt idx="16">
                  <c:v>411.6</c:v>
                </c:pt>
                <c:pt idx="17">
                  <c:v>485.2</c:v>
                </c:pt>
                <c:pt idx="18">
                  <c:v>541.70000000000005</c:v>
                </c:pt>
                <c:pt idx="19">
                  <c:v>591.79999999999995</c:v>
                </c:pt>
                <c:pt idx="20">
                  <c:v>637.79999999999995</c:v>
                </c:pt>
                <c:pt idx="21">
                  <c:v>672.5</c:v>
                </c:pt>
                <c:pt idx="22">
                  <c:v>697.6</c:v>
                </c:pt>
                <c:pt idx="23">
                  <c:v>714.6</c:v>
                </c:pt>
                <c:pt idx="24">
                  <c:v>729.7</c:v>
                </c:pt>
                <c:pt idx="25">
                  <c:v>739.6</c:v>
                </c:pt>
                <c:pt idx="26">
                  <c:v>741.2</c:v>
                </c:pt>
                <c:pt idx="27">
                  <c:v>749</c:v>
                </c:pt>
                <c:pt idx="28">
                  <c:v>763.9</c:v>
                </c:pt>
                <c:pt idx="29">
                  <c:v>781.9</c:v>
                </c:pt>
                <c:pt idx="30">
                  <c:v>807.3</c:v>
                </c:pt>
                <c:pt idx="31">
                  <c:v>839.9</c:v>
                </c:pt>
                <c:pt idx="32">
                  <c:v>867</c:v>
                </c:pt>
                <c:pt idx="33">
                  <c:v>895.4</c:v>
                </c:pt>
                <c:pt idx="34">
                  <c:v>930.8</c:v>
                </c:pt>
                <c:pt idx="35">
                  <c:v>957.3</c:v>
                </c:pt>
                <c:pt idx="36">
                  <c:v>979.5</c:v>
                </c:pt>
                <c:pt idx="37">
                  <c:v>1003.9</c:v>
                </c:pt>
                <c:pt idx="38">
                  <c:v>1021.6</c:v>
                </c:pt>
                <c:pt idx="39">
                  <c:v>1027.9000000000001</c:v>
                </c:pt>
                <c:pt idx="40">
                  <c:v>1043.5</c:v>
                </c:pt>
                <c:pt idx="41">
                  <c:v>1036.7</c:v>
                </c:pt>
                <c:pt idx="42">
                  <c:v>970.1</c:v>
                </c:pt>
                <c:pt idx="43">
                  <c:v>876.3</c:v>
                </c:pt>
                <c:pt idx="44">
                  <c:v>792.9</c:v>
                </c:pt>
                <c:pt idx="45">
                  <c:v>717</c:v>
                </c:pt>
                <c:pt idx="46">
                  <c:v>643.5</c:v>
                </c:pt>
                <c:pt idx="47">
                  <c:v>569.9</c:v>
                </c:pt>
                <c:pt idx="48">
                  <c:v>495.9</c:v>
                </c:pt>
                <c:pt idx="49">
                  <c:v>423.8</c:v>
                </c:pt>
                <c:pt idx="50">
                  <c:v>354.7</c:v>
                </c:pt>
                <c:pt idx="51">
                  <c:v>286.7</c:v>
                </c:pt>
                <c:pt idx="52">
                  <c:v>227.8</c:v>
                </c:pt>
                <c:pt idx="53">
                  <c:v>193.8</c:v>
                </c:pt>
                <c:pt idx="54">
                  <c:v>177.2</c:v>
                </c:pt>
                <c:pt idx="55">
                  <c:v>163.5</c:v>
                </c:pt>
                <c:pt idx="56">
                  <c:v>153.30000000000001</c:v>
                </c:pt>
                <c:pt idx="57">
                  <c:v>146.19999999999999</c:v>
                </c:pt>
                <c:pt idx="58">
                  <c:v>140.80000000000001</c:v>
                </c:pt>
                <c:pt idx="59">
                  <c:v>136.4</c:v>
                </c:pt>
                <c:pt idx="60">
                  <c:v>132.9</c:v>
                </c:pt>
                <c:pt idx="61">
                  <c:v>129.9</c:v>
                </c:pt>
                <c:pt idx="62">
                  <c:v>127.2</c:v>
                </c:pt>
                <c:pt idx="63">
                  <c:v>124.7</c:v>
                </c:pt>
                <c:pt idx="64">
                  <c:v>122.4</c:v>
                </c:pt>
                <c:pt idx="65">
                  <c:v>120.4</c:v>
                </c:pt>
                <c:pt idx="66">
                  <c:v>118.8</c:v>
                </c:pt>
                <c:pt idx="67">
                  <c:v>117.5</c:v>
                </c:pt>
                <c:pt idx="68">
                  <c:v>116.6</c:v>
                </c:pt>
                <c:pt idx="69">
                  <c:v>115.9</c:v>
                </c:pt>
                <c:pt idx="70">
                  <c:v>115.3</c:v>
                </c:pt>
                <c:pt idx="71">
                  <c:v>114.8</c:v>
                </c:pt>
                <c:pt idx="72">
                  <c:v>114.3</c:v>
                </c:pt>
                <c:pt idx="73">
                  <c:v>113.9</c:v>
                </c:pt>
                <c:pt idx="74">
                  <c:v>113.5</c:v>
                </c:pt>
                <c:pt idx="75">
                  <c:v>113.2</c:v>
                </c:pt>
                <c:pt idx="76">
                  <c:v>112.9</c:v>
                </c:pt>
                <c:pt idx="77">
                  <c:v>112.7</c:v>
                </c:pt>
                <c:pt idx="78">
                  <c:v>112.5</c:v>
                </c:pt>
                <c:pt idx="79">
                  <c:v>112.3</c:v>
                </c:pt>
                <c:pt idx="80">
                  <c:v>112.2</c:v>
                </c:pt>
                <c:pt idx="81">
                  <c:v>112.1</c:v>
                </c:pt>
                <c:pt idx="82">
                  <c:v>112</c:v>
                </c:pt>
                <c:pt idx="83">
                  <c:v>111.9</c:v>
                </c:pt>
                <c:pt idx="84">
                  <c:v>111.7</c:v>
                </c:pt>
                <c:pt idx="85">
                  <c:v>111.6</c:v>
                </c:pt>
                <c:pt idx="86">
                  <c:v>111.5</c:v>
                </c:pt>
                <c:pt idx="87">
                  <c:v>111.5</c:v>
                </c:pt>
                <c:pt idx="88">
                  <c:v>111.4</c:v>
                </c:pt>
                <c:pt idx="89">
                  <c:v>111.3</c:v>
                </c:pt>
                <c:pt idx="90">
                  <c:v>111.3</c:v>
                </c:pt>
                <c:pt idx="91">
                  <c:v>111.2</c:v>
                </c:pt>
                <c:pt idx="92">
                  <c:v>111.1</c:v>
                </c:pt>
                <c:pt idx="93">
                  <c:v>111.1</c:v>
                </c:pt>
                <c:pt idx="94">
                  <c:v>111.1</c:v>
                </c:pt>
                <c:pt idx="95">
                  <c:v>111.1</c:v>
                </c:pt>
                <c:pt idx="96">
                  <c:v>111</c:v>
                </c:pt>
                <c:pt idx="97">
                  <c:v>111</c:v>
                </c:pt>
                <c:pt idx="98">
                  <c:v>111</c:v>
                </c:pt>
                <c:pt idx="99">
                  <c:v>111</c:v>
                </c:pt>
                <c:pt idx="100">
                  <c:v>111</c:v>
                </c:pt>
                <c:pt idx="101">
                  <c:v>110.9</c:v>
                </c:pt>
                <c:pt idx="102">
                  <c:v>110.9</c:v>
                </c:pt>
                <c:pt idx="103">
                  <c:v>110.9</c:v>
                </c:pt>
                <c:pt idx="104">
                  <c:v>110.9</c:v>
                </c:pt>
                <c:pt idx="105">
                  <c:v>110.9</c:v>
                </c:pt>
                <c:pt idx="106">
                  <c:v>110.9</c:v>
                </c:pt>
                <c:pt idx="107">
                  <c:v>110.9</c:v>
                </c:pt>
                <c:pt idx="108">
                  <c:v>110.9</c:v>
                </c:pt>
                <c:pt idx="109">
                  <c:v>110.8</c:v>
                </c:pt>
                <c:pt idx="110">
                  <c:v>110.9</c:v>
                </c:pt>
                <c:pt idx="111">
                  <c:v>110.9</c:v>
                </c:pt>
                <c:pt idx="112">
                  <c:v>110.9</c:v>
                </c:pt>
                <c:pt idx="113">
                  <c:v>110.9</c:v>
                </c:pt>
                <c:pt idx="114">
                  <c:v>110.8</c:v>
                </c:pt>
                <c:pt idx="115">
                  <c:v>110.8</c:v>
                </c:pt>
                <c:pt idx="116">
                  <c:v>110.9</c:v>
                </c:pt>
                <c:pt idx="117">
                  <c:v>110.8</c:v>
                </c:pt>
                <c:pt idx="118">
                  <c:v>110.8</c:v>
                </c:pt>
                <c:pt idx="119">
                  <c:v>110.8</c:v>
                </c:pt>
                <c:pt idx="120">
                  <c:v>110.8</c:v>
                </c:pt>
                <c:pt idx="121">
                  <c:v>110.8</c:v>
                </c:pt>
                <c:pt idx="122">
                  <c:v>110.9</c:v>
                </c:pt>
                <c:pt idx="123">
                  <c:v>110.9</c:v>
                </c:pt>
                <c:pt idx="124">
                  <c:v>110.8</c:v>
                </c:pt>
                <c:pt idx="125">
                  <c:v>110.8</c:v>
                </c:pt>
                <c:pt idx="126">
                  <c:v>110.8</c:v>
                </c:pt>
                <c:pt idx="127">
                  <c:v>110.8</c:v>
                </c:pt>
                <c:pt idx="128">
                  <c:v>110.8</c:v>
                </c:pt>
                <c:pt idx="129">
                  <c:v>110.9</c:v>
                </c:pt>
                <c:pt idx="130">
                  <c:v>110.9</c:v>
                </c:pt>
                <c:pt idx="131">
                  <c:v>110.9</c:v>
                </c:pt>
                <c:pt idx="132">
                  <c:v>110.8</c:v>
                </c:pt>
                <c:pt idx="133">
                  <c:v>110.8</c:v>
                </c:pt>
                <c:pt idx="134">
                  <c:v>110.8</c:v>
                </c:pt>
                <c:pt idx="135">
                  <c:v>110.8</c:v>
                </c:pt>
                <c:pt idx="136">
                  <c:v>110.8</c:v>
                </c:pt>
                <c:pt idx="137">
                  <c:v>110.8</c:v>
                </c:pt>
                <c:pt idx="138">
                  <c:v>110.8</c:v>
                </c:pt>
                <c:pt idx="139">
                  <c:v>110.8</c:v>
                </c:pt>
                <c:pt idx="140">
                  <c:v>110.8</c:v>
                </c:pt>
                <c:pt idx="141">
                  <c:v>110.9</c:v>
                </c:pt>
                <c:pt idx="142">
                  <c:v>110.8</c:v>
                </c:pt>
                <c:pt idx="143">
                  <c:v>110.8</c:v>
                </c:pt>
                <c:pt idx="144">
                  <c:v>110.8</c:v>
                </c:pt>
                <c:pt idx="145">
                  <c:v>110.8</c:v>
                </c:pt>
                <c:pt idx="146">
                  <c:v>110.8</c:v>
                </c:pt>
                <c:pt idx="147">
                  <c:v>110.8</c:v>
                </c:pt>
                <c:pt idx="148">
                  <c:v>110.8</c:v>
                </c:pt>
                <c:pt idx="149">
                  <c:v>110.8</c:v>
                </c:pt>
                <c:pt idx="150">
                  <c:v>110.8</c:v>
                </c:pt>
                <c:pt idx="151">
                  <c:v>110.8</c:v>
                </c:pt>
                <c:pt idx="152">
                  <c:v>110.8</c:v>
                </c:pt>
                <c:pt idx="153">
                  <c:v>110.8</c:v>
                </c:pt>
                <c:pt idx="154">
                  <c:v>110.8</c:v>
                </c:pt>
                <c:pt idx="155">
                  <c:v>110.8</c:v>
                </c:pt>
                <c:pt idx="156">
                  <c:v>110.8</c:v>
                </c:pt>
                <c:pt idx="157">
                  <c:v>110.8</c:v>
                </c:pt>
                <c:pt idx="158">
                  <c:v>110.8</c:v>
                </c:pt>
                <c:pt idx="159">
                  <c:v>110.8</c:v>
                </c:pt>
                <c:pt idx="160">
                  <c:v>110.8</c:v>
                </c:pt>
                <c:pt idx="161">
                  <c:v>110.8</c:v>
                </c:pt>
                <c:pt idx="162">
                  <c:v>110.8</c:v>
                </c:pt>
                <c:pt idx="163">
                  <c:v>110.8</c:v>
                </c:pt>
                <c:pt idx="164">
                  <c:v>110.8</c:v>
                </c:pt>
                <c:pt idx="165">
                  <c:v>110.8</c:v>
                </c:pt>
                <c:pt idx="166">
                  <c:v>110.8</c:v>
                </c:pt>
                <c:pt idx="167">
                  <c:v>110.8</c:v>
                </c:pt>
                <c:pt idx="168">
                  <c:v>110.8</c:v>
                </c:pt>
                <c:pt idx="169">
                  <c:v>110.8</c:v>
                </c:pt>
                <c:pt idx="170">
                  <c:v>110.8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43-4416-8BAA-183844AB7FD4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'100ml'!$BI$3:$BI$173</c:f>
              <c:numCache>
                <c:formatCode>General</c:formatCode>
                <c:ptCount val="1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</c:numCache>
            </c:numRef>
          </c:xVal>
          <c:yVal>
            <c:numRef>
              <c:f>'100ml'!$BN$3:$BN$173</c:f>
              <c:numCache>
                <c:formatCode>General</c:formatCode>
                <c:ptCount val="171"/>
                <c:pt idx="0">
                  <c:v>7.1</c:v>
                </c:pt>
                <c:pt idx="1">
                  <c:v>8</c:v>
                </c:pt>
                <c:pt idx="2">
                  <c:v>8.8000000000000007</c:v>
                </c:pt>
                <c:pt idx="3">
                  <c:v>9.6</c:v>
                </c:pt>
                <c:pt idx="4">
                  <c:v>10.3</c:v>
                </c:pt>
                <c:pt idx="5">
                  <c:v>10.9</c:v>
                </c:pt>
                <c:pt idx="6">
                  <c:v>11.6</c:v>
                </c:pt>
                <c:pt idx="7">
                  <c:v>13</c:v>
                </c:pt>
                <c:pt idx="8">
                  <c:v>16.399999999999999</c:v>
                </c:pt>
                <c:pt idx="9">
                  <c:v>23.2</c:v>
                </c:pt>
                <c:pt idx="10">
                  <c:v>32.5</c:v>
                </c:pt>
                <c:pt idx="11">
                  <c:v>42.2</c:v>
                </c:pt>
                <c:pt idx="12">
                  <c:v>52</c:v>
                </c:pt>
                <c:pt idx="13">
                  <c:v>60.7</c:v>
                </c:pt>
                <c:pt idx="14">
                  <c:v>68.5</c:v>
                </c:pt>
                <c:pt idx="15">
                  <c:v>75.7</c:v>
                </c:pt>
                <c:pt idx="16">
                  <c:v>83.7</c:v>
                </c:pt>
                <c:pt idx="17">
                  <c:v>93.8</c:v>
                </c:pt>
                <c:pt idx="18">
                  <c:v>106.9</c:v>
                </c:pt>
                <c:pt idx="19">
                  <c:v>125.8</c:v>
                </c:pt>
                <c:pt idx="20">
                  <c:v>156.5</c:v>
                </c:pt>
                <c:pt idx="21">
                  <c:v>215.1</c:v>
                </c:pt>
                <c:pt idx="22">
                  <c:v>303.8</c:v>
                </c:pt>
                <c:pt idx="23">
                  <c:v>405</c:v>
                </c:pt>
                <c:pt idx="24">
                  <c:v>510.4</c:v>
                </c:pt>
                <c:pt idx="25">
                  <c:v>597.79999999999995</c:v>
                </c:pt>
                <c:pt idx="26">
                  <c:v>661</c:v>
                </c:pt>
                <c:pt idx="27">
                  <c:v>713.4</c:v>
                </c:pt>
                <c:pt idx="28">
                  <c:v>759</c:v>
                </c:pt>
                <c:pt idx="29">
                  <c:v>800.5</c:v>
                </c:pt>
                <c:pt idx="30">
                  <c:v>834.1</c:v>
                </c:pt>
                <c:pt idx="31">
                  <c:v>862.8</c:v>
                </c:pt>
                <c:pt idx="32">
                  <c:v>895.6</c:v>
                </c:pt>
                <c:pt idx="33">
                  <c:v>921.3</c:v>
                </c:pt>
                <c:pt idx="34">
                  <c:v>944.6</c:v>
                </c:pt>
                <c:pt idx="35">
                  <c:v>968.4</c:v>
                </c:pt>
                <c:pt idx="36">
                  <c:v>994.1</c:v>
                </c:pt>
                <c:pt idx="37">
                  <c:v>1018.8</c:v>
                </c:pt>
                <c:pt idx="38">
                  <c:v>1038.0999999999999</c:v>
                </c:pt>
                <c:pt idx="39">
                  <c:v>1047</c:v>
                </c:pt>
                <c:pt idx="40">
                  <c:v>1053.5</c:v>
                </c:pt>
                <c:pt idx="41">
                  <c:v>1058</c:v>
                </c:pt>
                <c:pt idx="42">
                  <c:v>1059.0999999999999</c:v>
                </c:pt>
                <c:pt idx="43">
                  <c:v>1069.5</c:v>
                </c:pt>
                <c:pt idx="44">
                  <c:v>1073.2</c:v>
                </c:pt>
                <c:pt idx="45">
                  <c:v>1029.5999999999999</c:v>
                </c:pt>
                <c:pt idx="46">
                  <c:v>940.2</c:v>
                </c:pt>
                <c:pt idx="47">
                  <c:v>852.8</c:v>
                </c:pt>
                <c:pt idx="48">
                  <c:v>776.2</c:v>
                </c:pt>
                <c:pt idx="49">
                  <c:v>703.6</c:v>
                </c:pt>
                <c:pt idx="50">
                  <c:v>632</c:v>
                </c:pt>
                <c:pt idx="51">
                  <c:v>560.29999999999995</c:v>
                </c:pt>
                <c:pt idx="52">
                  <c:v>489.6</c:v>
                </c:pt>
                <c:pt idx="53">
                  <c:v>422.2</c:v>
                </c:pt>
                <c:pt idx="54">
                  <c:v>360.3</c:v>
                </c:pt>
                <c:pt idx="55">
                  <c:v>305.5</c:v>
                </c:pt>
                <c:pt idx="56">
                  <c:v>258.60000000000002</c:v>
                </c:pt>
                <c:pt idx="57">
                  <c:v>219.4</c:v>
                </c:pt>
                <c:pt idx="58">
                  <c:v>186.9</c:v>
                </c:pt>
                <c:pt idx="59">
                  <c:v>159.4</c:v>
                </c:pt>
                <c:pt idx="60">
                  <c:v>135.80000000000001</c:v>
                </c:pt>
                <c:pt idx="61">
                  <c:v>117.5</c:v>
                </c:pt>
                <c:pt idx="62">
                  <c:v>106.3</c:v>
                </c:pt>
                <c:pt idx="63">
                  <c:v>101</c:v>
                </c:pt>
                <c:pt idx="64">
                  <c:v>97.6</c:v>
                </c:pt>
                <c:pt idx="65">
                  <c:v>94.8</c:v>
                </c:pt>
                <c:pt idx="66">
                  <c:v>92.4</c:v>
                </c:pt>
                <c:pt idx="67">
                  <c:v>90.4</c:v>
                </c:pt>
                <c:pt idx="68">
                  <c:v>88.5</c:v>
                </c:pt>
                <c:pt idx="69">
                  <c:v>86.8</c:v>
                </c:pt>
                <c:pt idx="70">
                  <c:v>85.2</c:v>
                </c:pt>
                <c:pt idx="71">
                  <c:v>83.9</c:v>
                </c:pt>
                <c:pt idx="72">
                  <c:v>82.6</c:v>
                </c:pt>
                <c:pt idx="73">
                  <c:v>81.7</c:v>
                </c:pt>
                <c:pt idx="74">
                  <c:v>81.099999999999994</c:v>
                </c:pt>
                <c:pt idx="75">
                  <c:v>80.900000000000006</c:v>
                </c:pt>
                <c:pt idx="76">
                  <c:v>80.7</c:v>
                </c:pt>
                <c:pt idx="77">
                  <c:v>80.599999999999994</c:v>
                </c:pt>
                <c:pt idx="78">
                  <c:v>80.599999999999994</c:v>
                </c:pt>
                <c:pt idx="79">
                  <c:v>80.599999999999994</c:v>
                </c:pt>
                <c:pt idx="80">
                  <c:v>80.599999999999994</c:v>
                </c:pt>
                <c:pt idx="81">
                  <c:v>80.599999999999994</c:v>
                </c:pt>
                <c:pt idx="82">
                  <c:v>80.599999999999994</c:v>
                </c:pt>
                <c:pt idx="83">
                  <c:v>80.7</c:v>
                </c:pt>
                <c:pt idx="84">
                  <c:v>80.7</c:v>
                </c:pt>
                <c:pt idx="85">
                  <c:v>80.8</c:v>
                </c:pt>
                <c:pt idx="86">
                  <c:v>80.8</c:v>
                </c:pt>
                <c:pt idx="87">
                  <c:v>80.900000000000006</c:v>
                </c:pt>
                <c:pt idx="88">
                  <c:v>81</c:v>
                </c:pt>
                <c:pt idx="89">
                  <c:v>81.099999999999994</c:v>
                </c:pt>
                <c:pt idx="90">
                  <c:v>81.099999999999994</c:v>
                </c:pt>
                <c:pt idx="91">
                  <c:v>81.2</c:v>
                </c:pt>
                <c:pt idx="92">
                  <c:v>81.2</c:v>
                </c:pt>
                <c:pt idx="93">
                  <c:v>81.3</c:v>
                </c:pt>
                <c:pt idx="94">
                  <c:v>81.400000000000006</c:v>
                </c:pt>
                <c:pt idx="95">
                  <c:v>81.5</c:v>
                </c:pt>
                <c:pt idx="96">
                  <c:v>81.599999999999994</c:v>
                </c:pt>
                <c:pt idx="97">
                  <c:v>81.7</c:v>
                </c:pt>
                <c:pt idx="98">
                  <c:v>81.7</c:v>
                </c:pt>
                <c:pt idx="99">
                  <c:v>81.8</c:v>
                </c:pt>
                <c:pt idx="100">
                  <c:v>81.900000000000006</c:v>
                </c:pt>
                <c:pt idx="101">
                  <c:v>82</c:v>
                </c:pt>
                <c:pt idx="102">
                  <c:v>82.1</c:v>
                </c:pt>
                <c:pt idx="103">
                  <c:v>82.1</c:v>
                </c:pt>
                <c:pt idx="104">
                  <c:v>82.2</c:v>
                </c:pt>
                <c:pt idx="105">
                  <c:v>82.3</c:v>
                </c:pt>
                <c:pt idx="106">
                  <c:v>82.4</c:v>
                </c:pt>
                <c:pt idx="107">
                  <c:v>82.5</c:v>
                </c:pt>
                <c:pt idx="108">
                  <c:v>82.6</c:v>
                </c:pt>
                <c:pt idx="109">
                  <c:v>82.7</c:v>
                </c:pt>
                <c:pt idx="110">
                  <c:v>82.7</c:v>
                </c:pt>
                <c:pt idx="111">
                  <c:v>82.8</c:v>
                </c:pt>
                <c:pt idx="112">
                  <c:v>82.9</c:v>
                </c:pt>
                <c:pt idx="113">
                  <c:v>83</c:v>
                </c:pt>
                <c:pt idx="114">
                  <c:v>83.1</c:v>
                </c:pt>
                <c:pt idx="115">
                  <c:v>83.1</c:v>
                </c:pt>
                <c:pt idx="116">
                  <c:v>83.2</c:v>
                </c:pt>
                <c:pt idx="117">
                  <c:v>83.3</c:v>
                </c:pt>
                <c:pt idx="118">
                  <c:v>83.4</c:v>
                </c:pt>
                <c:pt idx="119">
                  <c:v>83.5</c:v>
                </c:pt>
                <c:pt idx="120">
                  <c:v>83.5</c:v>
                </c:pt>
                <c:pt idx="121">
                  <c:v>83.6</c:v>
                </c:pt>
                <c:pt idx="122">
                  <c:v>83.7</c:v>
                </c:pt>
                <c:pt idx="123">
                  <c:v>83.8</c:v>
                </c:pt>
                <c:pt idx="124">
                  <c:v>83.9</c:v>
                </c:pt>
                <c:pt idx="125">
                  <c:v>83.9</c:v>
                </c:pt>
                <c:pt idx="126">
                  <c:v>84</c:v>
                </c:pt>
                <c:pt idx="127">
                  <c:v>84.1</c:v>
                </c:pt>
                <c:pt idx="128">
                  <c:v>84.1</c:v>
                </c:pt>
                <c:pt idx="129">
                  <c:v>84.2</c:v>
                </c:pt>
                <c:pt idx="130">
                  <c:v>84.3</c:v>
                </c:pt>
                <c:pt idx="131">
                  <c:v>84.4</c:v>
                </c:pt>
                <c:pt idx="132">
                  <c:v>84.4</c:v>
                </c:pt>
                <c:pt idx="133">
                  <c:v>84.5</c:v>
                </c:pt>
                <c:pt idx="134">
                  <c:v>84.6</c:v>
                </c:pt>
                <c:pt idx="135">
                  <c:v>84.6</c:v>
                </c:pt>
                <c:pt idx="136">
                  <c:v>84.7</c:v>
                </c:pt>
                <c:pt idx="137">
                  <c:v>84.8</c:v>
                </c:pt>
                <c:pt idx="138">
                  <c:v>84.8</c:v>
                </c:pt>
                <c:pt idx="139">
                  <c:v>84.9</c:v>
                </c:pt>
                <c:pt idx="140">
                  <c:v>85</c:v>
                </c:pt>
                <c:pt idx="141">
                  <c:v>85</c:v>
                </c:pt>
                <c:pt idx="142">
                  <c:v>85.1</c:v>
                </c:pt>
                <c:pt idx="143">
                  <c:v>85.2</c:v>
                </c:pt>
                <c:pt idx="144">
                  <c:v>85.2</c:v>
                </c:pt>
                <c:pt idx="145">
                  <c:v>85.3</c:v>
                </c:pt>
                <c:pt idx="146">
                  <c:v>85.4</c:v>
                </c:pt>
                <c:pt idx="147">
                  <c:v>85.4</c:v>
                </c:pt>
                <c:pt idx="148">
                  <c:v>85.5</c:v>
                </c:pt>
                <c:pt idx="149">
                  <c:v>85.5</c:v>
                </c:pt>
                <c:pt idx="150">
                  <c:v>85.6</c:v>
                </c:pt>
                <c:pt idx="151">
                  <c:v>85.6</c:v>
                </c:pt>
                <c:pt idx="152">
                  <c:v>85.7</c:v>
                </c:pt>
                <c:pt idx="153">
                  <c:v>85.8</c:v>
                </c:pt>
                <c:pt idx="154">
                  <c:v>85.8</c:v>
                </c:pt>
                <c:pt idx="155">
                  <c:v>85.9</c:v>
                </c:pt>
                <c:pt idx="156">
                  <c:v>85.9</c:v>
                </c:pt>
                <c:pt idx="157">
                  <c:v>86</c:v>
                </c:pt>
                <c:pt idx="158">
                  <c:v>86</c:v>
                </c:pt>
                <c:pt idx="159">
                  <c:v>86.1</c:v>
                </c:pt>
                <c:pt idx="160">
                  <c:v>86.2</c:v>
                </c:pt>
                <c:pt idx="161">
                  <c:v>86.2</c:v>
                </c:pt>
                <c:pt idx="162">
                  <c:v>86.3</c:v>
                </c:pt>
                <c:pt idx="163">
                  <c:v>86.3</c:v>
                </c:pt>
                <c:pt idx="164">
                  <c:v>86.4</c:v>
                </c:pt>
                <c:pt idx="165">
                  <c:v>86.4</c:v>
                </c:pt>
                <c:pt idx="166">
                  <c:v>86.5</c:v>
                </c:pt>
                <c:pt idx="167">
                  <c:v>86.5</c:v>
                </c:pt>
                <c:pt idx="168">
                  <c:v>86.6</c:v>
                </c:pt>
                <c:pt idx="169">
                  <c:v>86.6</c:v>
                </c:pt>
                <c:pt idx="170">
                  <c:v>86.7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43-4416-8BAA-183844AB7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672000"/>
        <c:axId val="719672360"/>
      </c:scatterChart>
      <c:valAx>
        <c:axId val="71967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72360"/>
        <c:crosses val="autoZero"/>
        <c:crossBetween val="midCat"/>
      </c:valAx>
      <c:valAx>
        <c:axId val="71967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7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HX711 Pressure Measurements - Ripper Right Pressure and vacuum </a:t>
            </a:r>
            <a:r>
              <a:rPr lang="en-GB" sz="1400" b="0" i="0" u="none" strike="noStrike" baseline="0"/>
              <a:t>100ml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'100ml'!$BZ$3:$BZ$232</c:f>
              <c:numCache>
                <c:formatCode>General</c:formatCode>
                <c:ptCount val="2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</c:numCache>
            </c:numRef>
          </c:xVal>
          <c:yVal>
            <c:numRef>
              <c:f>'100ml'!$CA$3:$CA$232</c:f>
              <c:numCache>
                <c:formatCode>General</c:formatCode>
                <c:ptCount val="230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0.6</c:v>
                </c:pt>
                <c:pt idx="6">
                  <c:v>-2.6</c:v>
                </c:pt>
                <c:pt idx="7">
                  <c:v>-19.899999999999999</c:v>
                </c:pt>
                <c:pt idx="8">
                  <c:v>-68.8</c:v>
                </c:pt>
                <c:pt idx="9">
                  <c:v>-123.4</c:v>
                </c:pt>
                <c:pt idx="10">
                  <c:v>-154.80000000000001</c:v>
                </c:pt>
                <c:pt idx="11">
                  <c:v>-180.1</c:v>
                </c:pt>
                <c:pt idx="12">
                  <c:v>-214.8</c:v>
                </c:pt>
                <c:pt idx="13">
                  <c:v>-246.7</c:v>
                </c:pt>
                <c:pt idx="14">
                  <c:v>-268.60000000000002</c:v>
                </c:pt>
                <c:pt idx="15">
                  <c:v>-284.89999999999998</c:v>
                </c:pt>
                <c:pt idx="16">
                  <c:v>-299</c:v>
                </c:pt>
                <c:pt idx="17">
                  <c:v>-313.89999999999998</c:v>
                </c:pt>
                <c:pt idx="18">
                  <c:v>-335.5</c:v>
                </c:pt>
                <c:pt idx="19">
                  <c:v>-359.5</c:v>
                </c:pt>
                <c:pt idx="20">
                  <c:v>-382.4</c:v>
                </c:pt>
                <c:pt idx="21">
                  <c:v>-401.7</c:v>
                </c:pt>
                <c:pt idx="22">
                  <c:v>-414</c:v>
                </c:pt>
                <c:pt idx="23">
                  <c:v>-421.1</c:v>
                </c:pt>
                <c:pt idx="24">
                  <c:v>-425.7</c:v>
                </c:pt>
                <c:pt idx="25">
                  <c:v>-429</c:v>
                </c:pt>
                <c:pt idx="26">
                  <c:v>-436.3</c:v>
                </c:pt>
                <c:pt idx="27">
                  <c:v>-444.3</c:v>
                </c:pt>
                <c:pt idx="28">
                  <c:v>-455.8</c:v>
                </c:pt>
                <c:pt idx="29">
                  <c:v>-469.5</c:v>
                </c:pt>
                <c:pt idx="30">
                  <c:v>-480.1</c:v>
                </c:pt>
                <c:pt idx="31">
                  <c:v>-484.7</c:v>
                </c:pt>
                <c:pt idx="32">
                  <c:v>-486.9</c:v>
                </c:pt>
                <c:pt idx="33">
                  <c:v>-489.1</c:v>
                </c:pt>
                <c:pt idx="34">
                  <c:v>-487.3</c:v>
                </c:pt>
                <c:pt idx="35">
                  <c:v>-481.6</c:v>
                </c:pt>
                <c:pt idx="36">
                  <c:v>-473.6</c:v>
                </c:pt>
                <c:pt idx="37">
                  <c:v>-462.2</c:v>
                </c:pt>
                <c:pt idx="38">
                  <c:v>-440.9</c:v>
                </c:pt>
                <c:pt idx="39">
                  <c:v>-411.5</c:v>
                </c:pt>
                <c:pt idx="40">
                  <c:v>-382</c:v>
                </c:pt>
                <c:pt idx="41">
                  <c:v>-356.9</c:v>
                </c:pt>
                <c:pt idx="42">
                  <c:v>-342.1</c:v>
                </c:pt>
                <c:pt idx="43">
                  <c:v>-342.5</c:v>
                </c:pt>
                <c:pt idx="44">
                  <c:v>-348.2</c:v>
                </c:pt>
                <c:pt idx="45">
                  <c:v>-353.8</c:v>
                </c:pt>
                <c:pt idx="46">
                  <c:v>-360.8</c:v>
                </c:pt>
                <c:pt idx="47">
                  <c:v>-367.1</c:v>
                </c:pt>
                <c:pt idx="48">
                  <c:v>-370.9</c:v>
                </c:pt>
                <c:pt idx="49">
                  <c:v>-371.9</c:v>
                </c:pt>
                <c:pt idx="50">
                  <c:v>-369.9</c:v>
                </c:pt>
                <c:pt idx="51">
                  <c:v>-366</c:v>
                </c:pt>
                <c:pt idx="52">
                  <c:v>-362.1</c:v>
                </c:pt>
                <c:pt idx="53">
                  <c:v>-358.8</c:v>
                </c:pt>
                <c:pt idx="54">
                  <c:v>-356</c:v>
                </c:pt>
                <c:pt idx="55">
                  <c:v>-353</c:v>
                </c:pt>
                <c:pt idx="56">
                  <c:v>-349.3</c:v>
                </c:pt>
                <c:pt idx="57">
                  <c:v>-345.3</c:v>
                </c:pt>
                <c:pt idx="58">
                  <c:v>-341.6</c:v>
                </c:pt>
                <c:pt idx="59">
                  <c:v>-338.7</c:v>
                </c:pt>
                <c:pt idx="60">
                  <c:v>-336</c:v>
                </c:pt>
                <c:pt idx="61">
                  <c:v>-333.2</c:v>
                </c:pt>
                <c:pt idx="62">
                  <c:v>-330.6</c:v>
                </c:pt>
                <c:pt idx="63">
                  <c:v>-327.9</c:v>
                </c:pt>
                <c:pt idx="64">
                  <c:v>-324.8</c:v>
                </c:pt>
                <c:pt idx="65">
                  <c:v>-321.3</c:v>
                </c:pt>
                <c:pt idx="66">
                  <c:v>-316.8</c:v>
                </c:pt>
                <c:pt idx="67">
                  <c:v>-311.60000000000002</c:v>
                </c:pt>
                <c:pt idx="68">
                  <c:v>-306.39999999999998</c:v>
                </c:pt>
                <c:pt idx="69">
                  <c:v>-302</c:v>
                </c:pt>
                <c:pt idx="70">
                  <c:v>-298.7</c:v>
                </c:pt>
                <c:pt idx="71">
                  <c:v>-296.60000000000002</c:v>
                </c:pt>
                <c:pt idx="72">
                  <c:v>-294.8</c:v>
                </c:pt>
                <c:pt idx="73">
                  <c:v>-292</c:v>
                </c:pt>
                <c:pt idx="74">
                  <c:v>-287.89999999999998</c:v>
                </c:pt>
                <c:pt idx="75">
                  <c:v>-283.39999999999998</c:v>
                </c:pt>
                <c:pt idx="76">
                  <c:v>-279.89999999999998</c:v>
                </c:pt>
                <c:pt idx="77">
                  <c:v>-277.5</c:v>
                </c:pt>
                <c:pt idx="78">
                  <c:v>-275.7</c:v>
                </c:pt>
                <c:pt idx="79">
                  <c:v>-273.5</c:v>
                </c:pt>
                <c:pt idx="80">
                  <c:v>-270.39999999999998</c:v>
                </c:pt>
                <c:pt idx="81">
                  <c:v>-267.10000000000002</c:v>
                </c:pt>
                <c:pt idx="82">
                  <c:v>-263.89999999999998</c:v>
                </c:pt>
                <c:pt idx="83">
                  <c:v>-260.8</c:v>
                </c:pt>
                <c:pt idx="84">
                  <c:v>-258.60000000000002</c:v>
                </c:pt>
                <c:pt idx="85">
                  <c:v>-257</c:v>
                </c:pt>
                <c:pt idx="86">
                  <c:v>-255.4</c:v>
                </c:pt>
                <c:pt idx="87">
                  <c:v>-252.8</c:v>
                </c:pt>
                <c:pt idx="88">
                  <c:v>-249.5</c:v>
                </c:pt>
                <c:pt idx="89">
                  <c:v>-247</c:v>
                </c:pt>
                <c:pt idx="90">
                  <c:v>-245.3</c:v>
                </c:pt>
                <c:pt idx="91">
                  <c:v>-243.9</c:v>
                </c:pt>
                <c:pt idx="92">
                  <c:v>-242.3</c:v>
                </c:pt>
                <c:pt idx="93">
                  <c:v>-240.6</c:v>
                </c:pt>
                <c:pt idx="94">
                  <c:v>-239.1</c:v>
                </c:pt>
                <c:pt idx="95">
                  <c:v>-237.7</c:v>
                </c:pt>
                <c:pt idx="96">
                  <c:v>-236.2</c:v>
                </c:pt>
                <c:pt idx="97">
                  <c:v>-234.1</c:v>
                </c:pt>
                <c:pt idx="98">
                  <c:v>-231.3</c:v>
                </c:pt>
                <c:pt idx="99">
                  <c:v>-227.8</c:v>
                </c:pt>
                <c:pt idx="100">
                  <c:v>-224</c:v>
                </c:pt>
                <c:pt idx="101">
                  <c:v>-220.3</c:v>
                </c:pt>
                <c:pt idx="102">
                  <c:v>-216.4</c:v>
                </c:pt>
                <c:pt idx="103">
                  <c:v>-211.4</c:v>
                </c:pt>
                <c:pt idx="104">
                  <c:v>-204.6</c:v>
                </c:pt>
                <c:pt idx="105">
                  <c:v>-196.8</c:v>
                </c:pt>
                <c:pt idx="106">
                  <c:v>-188.5</c:v>
                </c:pt>
                <c:pt idx="107">
                  <c:v>-179.2</c:v>
                </c:pt>
                <c:pt idx="108">
                  <c:v>-170</c:v>
                </c:pt>
                <c:pt idx="109">
                  <c:v>-161.6</c:v>
                </c:pt>
                <c:pt idx="110">
                  <c:v>-153.9</c:v>
                </c:pt>
                <c:pt idx="111">
                  <c:v>-146.80000000000001</c:v>
                </c:pt>
                <c:pt idx="112">
                  <c:v>-140.1</c:v>
                </c:pt>
                <c:pt idx="113">
                  <c:v>-133.9</c:v>
                </c:pt>
                <c:pt idx="114">
                  <c:v>-128.30000000000001</c:v>
                </c:pt>
                <c:pt idx="115">
                  <c:v>-123.3</c:v>
                </c:pt>
                <c:pt idx="116">
                  <c:v>-118.7</c:v>
                </c:pt>
                <c:pt idx="117">
                  <c:v>-114.6</c:v>
                </c:pt>
                <c:pt idx="118">
                  <c:v>-110.9</c:v>
                </c:pt>
                <c:pt idx="119">
                  <c:v>-107.8</c:v>
                </c:pt>
                <c:pt idx="120">
                  <c:v>-105.3</c:v>
                </c:pt>
                <c:pt idx="121">
                  <c:v>-103</c:v>
                </c:pt>
                <c:pt idx="122">
                  <c:v>-100.8</c:v>
                </c:pt>
                <c:pt idx="123">
                  <c:v>-98.5</c:v>
                </c:pt>
                <c:pt idx="124">
                  <c:v>-96.1</c:v>
                </c:pt>
                <c:pt idx="125">
                  <c:v>-93.6</c:v>
                </c:pt>
                <c:pt idx="126">
                  <c:v>-90.8</c:v>
                </c:pt>
                <c:pt idx="127">
                  <c:v>-87.6</c:v>
                </c:pt>
                <c:pt idx="128">
                  <c:v>-84.1</c:v>
                </c:pt>
                <c:pt idx="129">
                  <c:v>-79.900000000000006</c:v>
                </c:pt>
                <c:pt idx="130">
                  <c:v>-75</c:v>
                </c:pt>
                <c:pt idx="131">
                  <c:v>-70.099999999999994</c:v>
                </c:pt>
                <c:pt idx="132">
                  <c:v>-64.900000000000006</c:v>
                </c:pt>
                <c:pt idx="133">
                  <c:v>-58.9</c:v>
                </c:pt>
                <c:pt idx="134">
                  <c:v>-49.8</c:v>
                </c:pt>
                <c:pt idx="135">
                  <c:v>-34.9</c:v>
                </c:pt>
                <c:pt idx="136">
                  <c:v>-14.4</c:v>
                </c:pt>
                <c:pt idx="137">
                  <c:v>7.8</c:v>
                </c:pt>
                <c:pt idx="138">
                  <c:v>27</c:v>
                </c:pt>
                <c:pt idx="139">
                  <c:v>44.2</c:v>
                </c:pt>
                <c:pt idx="140">
                  <c:v>60.6</c:v>
                </c:pt>
                <c:pt idx="141">
                  <c:v>82.5</c:v>
                </c:pt>
                <c:pt idx="142">
                  <c:v>131.80000000000001</c:v>
                </c:pt>
                <c:pt idx="143">
                  <c:v>211.8</c:v>
                </c:pt>
                <c:pt idx="144">
                  <c:v>282.2</c:v>
                </c:pt>
                <c:pt idx="145">
                  <c:v>327.2</c:v>
                </c:pt>
                <c:pt idx="146">
                  <c:v>360.2</c:v>
                </c:pt>
                <c:pt idx="147">
                  <c:v>391.4</c:v>
                </c:pt>
                <c:pt idx="148">
                  <c:v>423.2</c:v>
                </c:pt>
                <c:pt idx="149">
                  <c:v>452.3</c:v>
                </c:pt>
                <c:pt idx="150">
                  <c:v>475.4</c:v>
                </c:pt>
                <c:pt idx="151">
                  <c:v>500.2</c:v>
                </c:pt>
                <c:pt idx="152">
                  <c:v>532.20000000000005</c:v>
                </c:pt>
                <c:pt idx="153">
                  <c:v>567.4</c:v>
                </c:pt>
                <c:pt idx="154">
                  <c:v>598.79999999999995</c:v>
                </c:pt>
                <c:pt idx="155">
                  <c:v>632.70000000000005</c:v>
                </c:pt>
                <c:pt idx="156">
                  <c:v>678.8</c:v>
                </c:pt>
                <c:pt idx="157">
                  <c:v>737.4</c:v>
                </c:pt>
                <c:pt idx="158">
                  <c:v>793.8</c:v>
                </c:pt>
                <c:pt idx="159">
                  <c:v>832.6</c:v>
                </c:pt>
                <c:pt idx="160">
                  <c:v>859</c:v>
                </c:pt>
                <c:pt idx="161">
                  <c:v>880.1</c:v>
                </c:pt>
                <c:pt idx="162">
                  <c:v>906.9</c:v>
                </c:pt>
                <c:pt idx="163">
                  <c:v>942.6</c:v>
                </c:pt>
                <c:pt idx="164">
                  <c:v>969.6</c:v>
                </c:pt>
                <c:pt idx="165">
                  <c:v>970.1</c:v>
                </c:pt>
                <c:pt idx="166">
                  <c:v>963.2</c:v>
                </c:pt>
                <c:pt idx="167">
                  <c:v>967.4</c:v>
                </c:pt>
                <c:pt idx="168">
                  <c:v>983.1</c:v>
                </c:pt>
                <c:pt idx="169">
                  <c:v>1003.5</c:v>
                </c:pt>
                <c:pt idx="170">
                  <c:v>984.3</c:v>
                </c:pt>
                <c:pt idx="171">
                  <c:v>905.6</c:v>
                </c:pt>
                <c:pt idx="172">
                  <c:v>816.8</c:v>
                </c:pt>
                <c:pt idx="173">
                  <c:v>740.2</c:v>
                </c:pt>
                <c:pt idx="174">
                  <c:v>670.7</c:v>
                </c:pt>
                <c:pt idx="175">
                  <c:v>604.9</c:v>
                </c:pt>
                <c:pt idx="176">
                  <c:v>540.9</c:v>
                </c:pt>
                <c:pt idx="177">
                  <c:v>478.6</c:v>
                </c:pt>
                <c:pt idx="178">
                  <c:v>418.7</c:v>
                </c:pt>
                <c:pt idx="179">
                  <c:v>362.7</c:v>
                </c:pt>
                <c:pt idx="180">
                  <c:v>312.2</c:v>
                </c:pt>
                <c:pt idx="181">
                  <c:v>268</c:v>
                </c:pt>
                <c:pt idx="182">
                  <c:v>229.4</c:v>
                </c:pt>
                <c:pt idx="183">
                  <c:v>195.9</c:v>
                </c:pt>
                <c:pt idx="184">
                  <c:v>167.4</c:v>
                </c:pt>
                <c:pt idx="185">
                  <c:v>143.19999999999999</c:v>
                </c:pt>
                <c:pt idx="186">
                  <c:v>122.7</c:v>
                </c:pt>
                <c:pt idx="187">
                  <c:v>104.7</c:v>
                </c:pt>
                <c:pt idx="188">
                  <c:v>87.8</c:v>
                </c:pt>
                <c:pt idx="189">
                  <c:v>72.099999999999994</c:v>
                </c:pt>
                <c:pt idx="190">
                  <c:v>58</c:v>
                </c:pt>
                <c:pt idx="191">
                  <c:v>45.1</c:v>
                </c:pt>
                <c:pt idx="192">
                  <c:v>36</c:v>
                </c:pt>
                <c:pt idx="193">
                  <c:v>30.3</c:v>
                </c:pt>
                <c:pt idx="194">
                  <c:v>27.1</c:v>
                </c:pt>
                <c:pt idx="195">
                  <c:v>25.6</c:v>
                </c:pt>
                <c:pt idx="196">
                  <c:v>24.6</c:v>
                </c:pt>
                <c:pt idx="197">
                  <c:v>23.7</c:v>
                </c:pt>
                <c:pt idx="198">
                  <c:v>23.1</c:v>
                </c:pt>
                <c:pt idx="199">
                  <c:v>22.4</c:v>
                </c:pt>
                <c:pt idx="200">
                  <c:v>21.9</c:v>
                </c:pt>
                <c:pt idx="201">
                  <c:v>21.5</c:v>
                </c:pt>
                <c:pt idx="202">
                  <c:v>21.1</c:v>
                </c:pt>
                <c:pt idx="203">
                  <c:v>20.8</c:v>
                </c:pt>
                <c:pt idx="204">
                  <c:v>20.5</c:v>
                </c:pt>
                <c:pt idx="205">
                  <c:v>20.3</c:v>
                </c:pt>
                <c:pt idx="206">
                  <c:v>20.100000000000001</c:v>
                </c:pt>
                <c:pt idx="207">
                  <c:v>19.899999999999999</c:v>
                </c:pt>
                <c:pt idx="208">
                  <c:v>19.8</c:v>
                </c:pt>
                <c:pt idx="209">
                  <c:v>19.7</c:v>
                </c:pt>
                <c:pt idx="210">
                  <c:v>19.600000000000001</c:v>
                </c:pt>
                <c:pt idx="211">
                  <c:v>19.5</c:v>
                </c:pt>
                <c:pt idx="212">
                  <c:v>19.399999999999999</c:v>
                </c:pt>
                <c:pt idx="213">
                  <c:v>19.399999999999999</c:v>
                </c:pt>
                <c:pt idx="214">
                  <c:v>19.3</c:v>
                </c:pt>
                <c:pt idx="215">
                  <c:v>19.3</c:v>
                </c:pt>
                <c:pt idx="216">
                  <c:v>19.2</c:v>
                </c:pt>
                <c:pt idx="217">
                  <c:v>19.3</c:v>
                </c:pt>
                <c:pt idx="218">
                  <c:v>19.399999999999999</c:v>
                </c:pt>
                <c:pt idx="219">
                  <c:v>19.399999999999999</c:v>
                </c:pt>
                <c:pt idx="220">
                  <c:v>19.399999999999999</c:v>
                </c:pt>
                <c:pt idx="221">
                  <c:v>19.399999999999999</c:v>
                </c:pt>
                <c:pt idx="222">
                  <c:v>19.399999999999999</c:v>
                </c:pt>
                <c:pt idx="223">
                  <c:v>19.399999999999999</c:v>
                </c:pt>
                <c:pt idx="224">
                  <c:v>19.399999999999999</c:v>
                </c:pt>
                <c:pt idx="225">
                  <c:v>19.399999999999999</c:v>
                </c:pt>
                <c:pt idx="226">
                  <c:v>19.399999999999999</c:v>
                </c:pt>
                <c:pt idx="227">
                  <c:v>19.399999999999999</c:v>
                </c:pt>
                <c:pt idx="228">
                  <c:v>19.399999999999999</c:v>
                </c:pt>
                <c:pt idx="229">
                  <c:v>19.399999999999999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11-4D41-9E86-DFB3D065DE3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'100ml'!$BZ$3:$BZ$232</c:f>
              <c:numCache>
                <c:formatCode>General</c:formatCode>
                <c:ptCount val="2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</c:numCache>
            </c:numRef>
          </c:xVal>
          <c:yVal>
            <c:numRef>
              <c:f>'100ml'!$CB$3:$CB$232</c:f>
              <c:numCache>
                <c:formatCode>General</c:formatCode>
                <c:ptCount val="230"/>
                <c:pt idx="0">
                  <c:v>-19.5</c:v>
                </c:pt>
                <c:pt idx="1">
                  <c:v>-22.7</c:v>
                </c:pt>
                <c:pt idx="2">
                  <c:v>-28.2</c:v>
                </c:pt>
                <c:pt idx="3">
                  <c:v>-37.299999999999997</c:v>
                </c:pt>
                <c:pt idx="4">
                  <c:v>-49.8</c:v>
                </c:pt>
                <c:pt idx="5">
                  <c:v>-64.2</c:v>
                </c:pt>
                <c:pt idx="6">
                  <c:v>-76.8</c:v>
                </c:pt>
                <c:pt idx="7">
                  <c:v>-91.2</c:v>
                </c:pt>
                <c:pt idx="8">
                  <c:v>-109</c:v>
                </c:pt>
                <c:pt idx="9">
                  <c:v>-128.19999999999999</c:v>
                </c:pt>
                <c:pt idx="10">
                  <c:v>-152.69999999999999</c:v>
                </c:pt>
                <c:pt idx="11">
                  <c:v>-188.6</c:v>
                </c:pt>
                <c:pt idx="12">
                  <c:v>-221.4</c:v>
                </c:pt>
                <c:pt idx="13">
                  <c:v>-241.4</c:v>
                </c:pt>
                <c:pt idx="14">
                  <c:v>-258.3</c:v>
                </c:pt>
                <c:pt idx="15">
                  <c:v>-278</c:v>
                </c:pt>
                <c:pt idx="16">
                  <c:v>-294.2</c:v>
                </c:pt>
                <c:pt idx="17">
                  <c:v>-302.10000000000002</c:v>
                </c:pt>
                <c:pt idx="18">
                  <c:v>-307.8</c:v>
                </c:pt>
                <c:pt idx="19">
                  <c:v>-316.2</c:v>
                </c:pt>
                <c:pt idx="20">
                  <c:v>-327.10000000000002</c:v>
                </c:pt>
                <c:pt idx="21">
                  <c:v>-339.1</c:v>
                </c:pt>
                <c:pt idx="22">
                  <c:v>-350.5</c:v>
                </c:pt>
                <c:pt idx="23">
                  <c:v>-358.7</c:v>
                </c:pt>
                <c:pt idx="24">
                  <c:v>-365</c:v>
                </c:pt>
                <c:pt idx="25">
                  <c:v>-371.7</c:v>
                </c:pt>
                <c:pt idx="26">
                  <c:v>-384.6</c:v>
                </c:pt>
                <c:pt idx="27">
                  <c:v>-401.7</c:v>
                </c:pt>
                <c:pt idx="28">
                  <c:v>-411.9</c:v>
                </c:pt>
                <c:pt idx="29">
                  <c:v>-415</c:v>
                </c:pt>
                <c:pt idx="30">
                  <c:v>-415</c:v>
                </c:pt>
                <c:pt idx="31">
                  <c:v>-411.7</c:v>
                </c:pt>
                <c:pt idx="32">
                  <c:v>-404.3</c:v>
                </c:pt>
                <c:pt idx="33">
                  <c:v>-395.5</c:v>
                </c:pt>
                <c:pt idx="34">
                  <c:v>-386.8</c:v>
                </c:pt>
                <c:pt idx="35">
                  <c:v>-380.1</c:v>
                </c:pt>
                <c:pt idx="36">
                  <c:v>-375.4</c:v>
                </c:pt>
                <c:pt idx="37">
                  <c:v>-372.2</c:v>
                </c:pt>
                <c:pt idx="38">
                  <c:v>-369.7</c:v>
                </c:pt>
                <c:pt idx="39">
                  <c:v>-368.7</c:v>
                </c:pt>
                <c:pt idx="40">
                  <c:v>-368.4</c:v>
                </c:pt>
                <c:pt idx="41">
                  <c:v>-368.5</c:v>
                </c:pt>
                <c:pt idx="42">
                  <c:v>-369.6</c:v>
                </c:pt>
                <c:pt idx="43">
                  <c:v>-370.5</c:v>
                </c:pt>
                <c:pt idx="44">
                  <c:v>-371.2</c:v>
                </c:pt>
                <c:pt idx="45">
                  <c:v>-372</c:v>
                </c:pt>
                <c:pt idx="46">
                  <c:v>-372.1</c:v>
                </c:pt>
                <c:pt idx="47">
                  <c:v>-372.3</c:v>
                </c:pt>
                <c:pt idx="48">
                  <c:v>-372.8</c:v>
                </c:pt>
                <c:pt idx="49">
                  <c:v>-372.9</c:v>
                </c:pt>
                <c:pt idx="50">
                  <c:v>-372.9</c:v>
                </c:pt>
                <c:pt idx="51">
                  <c:v>-372.9</c:v>
                </c:pt>
                <c:pt idx="52">
                  <c:v>-372.3</c:v>
                </c:pt>
                <c:pt idx="53">
                  <c:v>-370.8</c:v>
                </c:pt>
                <c:pt idx="54">
                  <c:v>-368.5</c:v>
                </c:pt>
                <c:pt idx="55">
                  <c:v>-365.6</c:v>
                </c:pt>
                <c:pt idx="56">
                  <c:v>-361.6</c:v>
                </c:pt>
                <c:pt idx="57">
                  <c:v>-356.9</c:v>
                </c:pt>
                <c:pt idx="58">
                  <c:v>-352.3</c:v>
                </c:pt>
                <c:pt idx="59">
                  <c:v>-348</c:v>
                </c:pt>
                <c:pt idx="60">
                  <c:v>-343.5</c:v>
                </c:pt>
                <c:pt idx="61">
                  <c:v>-339.1</c:v>
                </c:pt>
                <c:pt idx="62">
                  <c:v>-335.2</c:v>
                </c:pt>
                <c:pt idx="63">
                  <c:v>-331.6</c:v>
                </c:pt>
                <c:pt idx="64">
                  <c:v>-328.4</c:v>
                </c:pt>
                <c:pt idx="65">
                  <c:v>-325.5</c:v>
                </c:pt>
                <c:pt idx="66">
                  <c:v>-322.89999999999998</c:v>
                </c:pt>
                <c:pt idx="67">
                  <c:v>-320.3</c:v>
                </c:pt>
                <c:pt idx="68">
                  <c:v>-316.8</c:v>
                </c:pt>
                <c:pt idx="69">
                  <c:v>-313</c:v>
                </c:pt>
                <c:pt idx="70">
                  <c:v>-309.60000000000002</c:v>
                </c:pt>
                <c:pt idx="71">
                  <c:v>-306.8</c:v>
                </c:pt>
                <c:pt idx="72">
                  <c:v>-304.8</c:v>
                </c:pt>
                <c:pt idx="73">
                  <c:v>-303</c:v>
                </c:pt>
                <c:pt idx="74">
                  <c:v>-301.10000000000002</c:v>
                </c:pt>
                <c:pt idx="75">
                  <c:v>-299.3</c:v>
                </c:pt>
                <c:pt idx="76">
                  <c:v>-297.3</c:v>
                </c:pt>
                <c:pt idx="77">
                  <c:v>-295.10000000000002</c:v>
                </c:pt>
                <c:pt idx="78">
                  <c:v>-292.89999999999998</c:v>
                </c:pt>
                <c:pt idx="79">
                  <c:v>-289.8</c:v>
                </c:pt>
                <c:pt idx="80">
                  <c:v>-285.60000000000002</c:v>
                </c:pt>
                <c:pt idx="81">
                  <c:v>-281</c:v>
                </c:pt>
                <c:pt idx="82">
                  <c:v>-276.7</c:v>
                </c:pt>
                <c:pt idx="83">
                  <c:v>-273.10000000000002</c:v>
                </c:pt>
                <c:pt idx="84">
                  <c:v>-270.5</c:v>
                </c:pt>
                <c:pt idx="85">
                  <c:v>-268.8</c:v>
                </c:pt>
                <c:pt idx="86">
                  <c:v>-267</c:v>
                </c:pt>
                <c:pt idx="87">
                  <c:v>-265</c:v>
                </c:pt>
                <c:pt idx="88">
                  <c:v>-263.10000000000002</c:v>
                </c:pt>
                <c:pt idx="89">
                  <c:v>-261.39999999999998</c:v>
                </c:pt>
                <c:pt idx="90">
                  <c:v>-259.8</c:v>
                </c:pt>
                <c:pt idx="91">
                  <c:v>-257.89999999999998</c:v>
                </c:pt>
                <c:pt idx="92">
                  <c:v>-255.5</c:v>
                </c:pt>
                <c:pt idx="93">
                  <c:v>-252.6</c:v>
                </c:pt>
                <c:pt idx="94">
                  <c:v>-249.3</c:v>
                </c:pt>
                <c:pt idx="95">
                  <c:v>-245.9</c:v>
                </c:pt>
                <c:pt idx="96">
                  <c:v>-242.7</c:v>
                </c:pt>
                <c:pt idx="97">
                  <c:v>-239.8</c:v>
                </c:pt>
                <c:pt idx="98">
                  <c:v>-237.2</c:v>
                </c:pt>
                <c:pt idx="99">
                  <c:v>-235.4</c:v>
                </c:pt>
                <c:pt idx="100">
                  <c:v>-233.7</c:v>
                </c:pt>
                <c:pt idx="101">
                  <c:v>-231.8</c:v>
                </c:pt>
                <c:pt idx="102">
                  <c:v>-230.7</c:v>
                </c:pt>
                <c:pt idx="103">
                  <c:v>-230.1</c:v>
                </c:pt>
                <c:pt idx="104">
                  <c:v>-229.9</c:v>
                </c:pt>
                <c:pt idx="105">
                  <c:v>-229.5</c:v>
                </c:pt>
                <c:pt idx="106">
                  <c:v>-228.9</c:v>
                </c:pt>
                <c:pt idx="107">
                  <c:v>-228.2</c:v>
                </c:pt>
                <c:pt idx="108">
                  <c:v>-227.7</c:v>
                </c:pt>
                <c:pt idx="109">
                  <c:v>-226.9</c:v>
                </c:pt>
                <c:pt idx="110">
                  <c:v>-224.9</c:v>
                </c:pt>
                <c:pt idx="111">
                  <c:v>-222</c:v>
                </c:pt>
                <c:pt idx="112">
                  <c:v>-219.4</c:v>
                </c:pt>
                <c:pt idx="113">
                  <c:v>-216.4</c:v>
                </c:pt>
                <c:pt idx="114">
                  <c:v>-211.1</c:v>
                </c:pt>
                <c:pt idx="115">
                  <c:v>-204.4</c:v>
                </c:pt>
                <c:pt idx="116">
                  <c:v>-197.2</c:v>
                </c:pt>
                <c:pt idx="117">
                  <c:v>-188.9</c:v>
                </c:pt>
                <c:pt idx="118">
                  <c:v>-178.2</c:v>
                </c:pt>
                <c:pt idx="119">
                  <c:v>-163</c:v>
                </c:pt>
                <c:pt idx="120">
                  <c:v>-145.30000000000001</c:v>
                </c:pt>
                <c:pt idx="121">
                  <c:v>-128.6</c:v>
                </c:pt>
                <c:pt idx="122">
                  <c:v>-115.7</c:v>
                </c:pt>
                <c:pt idx="123">
                  <c:v>-106.4</c:v>
                </c:pt>
                <c:pt idx="124">
                  <c:v>-99.3</c:v>
                </c:pt>
                <c:pt idx="125">
                  <c:v>-91.6</c:v>
                </c:pt>
                <c:pt idx="126">
                  <c:v>-79.2</c:v>
                </c:pt>
                <c:pt idx="127">
                  <c:v>-59.8</c:v>
                </c:pt>
                <c:pt idx="128">
                  <c:v>-32.200000000000003</c:v>
                </c:pt>
                <c:pt idx="129">
                  <c:v>2.7</c:v>
                </c:pt>
                <c:pt idx="130">
                  <c:v>41.5</c:v>
                </c:pt>
                <c:pt idx="131">
                  <c:v>102.8</c:v>
                </c:pt>
                <c:pt idx="132">
                  <c:v>209.4</c:v>
                </c:pt>
                <c:pt idx="133">
                  <c:v>312.3</c:v>
                </c:pt>
                <c:pt idx="134">
                  <c:v>394.9</c:v>
                </c:pt>
                <c:pt idx="135">
                  <c:v>477.7</c:v>
                </c:pt>
                <c:pt idx="136">
                  <c:v>557.70000000000005</c:v>
                </c:pt>
                <c:pt idx="137">
                  <c:v>625.6</c:v>
                </c:pt>
                <c:pt idx="138">
                  <c:v>670.3</c:v>
                </c:pt>
                <c:pt idx="139">
                  <c:v>699.3</c:v>
                </c:pt>
                <c:pt idx="140">
                  <c:v>728.8</c:v>
                </c:pt>
                <c:pt idx="141">
                  <c:v>764.9</c:v>
                </c:pt>
                <c:pt idx="142">
                  <c:v>807.9</c:v>
                </c:pt>
                <c:pt idx="143">
                  <c:v>848</c:v>
                </c:pt>
                <c:pt idx="144">
                  <c:v>879.1</c:v>
                </c:pt>
                <c:pt idx="145">
                  <c:v>902.1</c:v>
                </c:pt>
                <c:pt idx="146">
                  <c:v>920.9</c:v>
                </c:pt>
                <c:pt idx="147">
                  <c:v>840.6</c:v>
                </c:pt>
                <c:pt idx="148">
                  <c:v>556.20000000000005</c:v>
                </c:pt>
                <c:pt idx="149">
                  <c:v>435.6</c:v>
                </c:pt>
                <c:pt idx="150">
                  <c:v>403.3</c:v>
                </c:pt>
                <c:pt idx="151">
                  <c:v>385</c:v>
                </c:pt>
                <c:pt idx="152">
                  <c:v>378</c:v>
                </c:pt>
                <c:pt idx="153">
                  <c:v>371.4</c:v>
                </c:pt>
                <c:pt idx="154">
                  <c:v>371.1</c:v>
                </c:pt>
                <c:pt idx="155">
                  <c:v>360</c:v>
                </c:pt>
                <c:pt idx="156">
                  <c:v>344.4</c:v>
                </c:pt>
                <c:pt idx="157">
                  <c:v>316.5</c:v>
                </c:pt>
                <c:pt idx="158">
                  <c:v>299.7</c:v>
                </c:pt>
                <c:pt idx="159">
                  <c:v>279.39999999999998</c:v>
                </c:pt>
                <c:pt idx="160">
                  <c:v>243</c:v>
                </c:pt>
                <c:pt idx="161">
                  <c:v>216.8</c:v>
                </c:pt>
                <c:pt idx="162">
                  <c:v>199.3</c:v>
                </c:pt>
                <c:pt idx="163">
                  <c:v>171.9</c:v>
                </c:pt>
                <c:pt idx="164">
                  <c:v>152</c:v>
                </c:pt>
                <c:pt idx="165">
                  <c:v>134.5</c:v>
                </c:pt>
                <c:pt idx="166">
                  <c:v>110.7</c:v>
                </c:pt>
                <c:pt idx="167">
                  <c:v>89.2</c:v>
                </c:pt>
                <c:pt idx="168">
                  <c:v>65.400000000000006</c:v>
                </c:pt>
                <c:pt idx="169">
                  <c:v>46.3</c:v>
                </c:pt>
                <c:pt idx="170">
                  <c:v>31.8</c:v>
                </c:pt>
                <c:pt idx="171">
                  <c:v>22.9</c:v>
                </c:pt>
                <c:pt idx="172">
                  <c:v>19.399999999999999</c:v>
                </c:pt>
                <c:pt idx="173">
                  <c:v>18.399999999999999</c:v>
                </c:pt>
                <c:pt idx="174">
                  <c:v>17.399999999999999</c:v>
                </c:pt>
                <c:pt idx="175">
                  <c:v>16.5</c:v>
                </c:pt>
                <c:pt idx="176">
                  <c:v>15.7</c:v>
                </c:pt>
                <c:pt idx="177">
                  <c:v>15.1</c:v>
                </c:pt>
                <c:pt idx="178">
                  <c:v>14.5</c:v>
                </c:pt>
                <c:pt idx="179">
                  <c:v>13.9</c:v>
                </c:pt>
                <c:pt idx="180">
                  <c:v>13.6</c:v>
                </c:pt>
                <c:pt idx="181">
                  <c:v>13.4</c:v>
                </c:pt>
                <c:pt idx="182">
                  <c:v>13.3</c:v>
                </c:pt>
                <c:pt idx="183">
                  <c:v>13.2</c:v>
                </c:pt>
                <c:pt idx="184">
                  <c:v>13.1</c:v>
                </c:pt>
                <c:pt idx="185">
                  <c:v>13</c:v>
                </c:pt>
                <c:pt idx="186">
                  <c:v>12.9</c:v>
                </c:pt>
                <c:pt idx="187">
                  <c:v>12.8</c:v>
                </c:pt>
                <c:pt idx="188">
                  <c:v>12.8</c:v>
                </c:pt>
                <c:pt idx="189">
                  <c:v>12.6</c:v>
                </c:pt>
                <c:pt idx="190">
                  <c:v>12.7</c:v>
                </c:pt>
                <c:pt idx="191">
                  <c:v>12.6</c:v>
                </c:pt>
                <c:pt idx="192">
                  <c:v>12.5</c:v>
                </c:pt>
                <c:pt idx="193">
                  <c:v>12.5</c:v>
                </c:pt>
                <c:pt idx="194">
                  <c:v>12.5</c:v>
                </c:pt>
                <c:pt idx="195">
                  <c:v>12.5</c:v>
                </c:pt>
                <c:pt idx="196">
                  <c:v>12.5</c:v>
                </c:pt>
                <c:pt idx="197">
                  <c:v>12.5</c:v>
                </c:pt>
                <c:pt idx="198">
                  <c:v>12.5</c:v>
                </c:pt>
                <c:pt idx="199">
                  <c:v>12.4</c:v>
                </c:pt>
                <c:pt idx="200">
                  <c:v>12.5</c:v>
                </c:pt>
                <c:pt idx="201">
                  <c:v>12.6</c:v>
                </c:pt>
                <c:pt idx="202">
                  <c:v>12.6</c:v>
                </c:pt>
                <c:pt idx="203">
                  <c:v>12.7</c:v>
                </c:pt>
                <c:pt idx="204">
                  <c:v>12.7</c:v>
                </c:pt>
                <c:pt idx="205">
                  <c:v>12.7</c:v>
                </c:pt>
                <c:pt idx="206">
                  <c:v>12.7</c:v>
                </c:pt>
                <c:pt idx="207">
                  <c:v>12.7</c:v>
                </c:pt>
                <c:pt idx="208">
                  <c:v>12.8</c:v>
                </c:pt>
                <c:pt idx="209">
                  <c:v>12.8</c:v>
                </c:pt>
                <c:pt idx="210">
                  <c:v>12.8</c:v>
                </c:pt>
                <c:pt idx="211">
                  <c:v>12.8</c:v>
                </c:pt>
                <c:pt idx="212">
                  <c:v>12.9</c:v>
                </c:pt>
                <c:pt idx="213">
                  <c:v>12.9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13.1</c:v>
                </c:pt>
                <c:pt idx="219">
                  <c:v>13.1</c:v>
                </c:pt>
                <c:pt idx="220">
                  <c:v>13.1</c:v>
                </c:pt>
                <c:pt idx="221">
                  <c:v>13.1</c:v>
                </c:pt>
                <c:pt idx="222">
                  <c:v>13.1</c:v>
                </c:pt>
                <c:pt idx="223">
                  <c:v>13.1</c:v>
                </c:pt>
                <c:pt idx="224">
                  <c:v>13.1</c:v>
                </c:pt>
                <c:pt idx="225">
                  <c:v>13.1</c:v>
                </c:pt>
                <c:pt idx="226">
                  <c:v>13.1</c:v>
                </c:pt>
                <c:pt idx="227">
                  <c:v>13.1</c:v>
                </c:pt>
                <c:pt idx="228">
                  <c:v>13.1</c:v>
                </c:pt>
                <c:pt idx="229">
                  <c:v>13.1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11-4D41-9E86-DFB3D065DE38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'100ml'!$BZ$3:$BZ$232</c:f>
              <c:numCache>
                <c:formatCode>General</c:formatCode>
                <c:ptCount val="2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</c:numCache>
            </c:numRef>
          </c:xVal>
          <c:yVal>
            <c:numRef>
              <c:f>'100ml'!$CC$3:$CC$232</c:f>
              <c:numCache>
                <c:formatCode>General</c:formatCode>
                <c:ptCount val="230"/>
                <c:pt idx="0">
                  <c:v>11.6</c:v>
                </c:pt>
                <c:pt idx="1">
                  <c:v>6.7</c:v>
                </c:pt>
                <c:pt idx="2">
                  <c:v>2.2999999999999998</c:v>
                </c:pt>
                <c:pt idx="3">
                  <c:v>-1.7</c:v>
                </c:pt>
                <c:pt idx="4">
                  <c:v>-5.2</c:v>
                </c:pt>
                <c:pt idx="5">
                  <c:v>-8.1999999999999993</c:v>
                </c:pt>
                <c:pt idx="6">
                  <c:v>-10.9</c:v>
                </c:pt>
                <c:pt idx="7">
                  <c:v>-13.5</c:v>
                </c:pt>
                <c:pt idx="8">
                  <c:v>-16.7</c:v>
                </c:pt>
                <c:pt idx="9">
                  <c:v>-21.4</c:v>
                </c:pt>
                <c:pt idx="10">
                  <c:v>-28.4</c:v>
                </c:pt>
                <c:pt idx="11">
                  <c:v>-38.200000000000003</c:v>
                </c:pt>
                <c:pt idx="12">
                  <c:v>-53</c:v>
                </c:pt>
                <c:pt idx="13">
                  <c:v>-73.5</c:v>
                </c:pt>
                <c:pt idx="14">
                  <c:v>-93.6</c:v>
                </c:pt>
                <c:pt idx="15">
                  <c:v>-112.4</c:v>
                </c:pt>
                <c:pt idx="16">
                  <c:v>-131.4</c:v>
                </c:pt>
                <c:pt idx="17">
                  <c:v>-145.1</c:v>
                </c:pt>
                <c:pt idx="18">
                  <c:v>-153.6</c:v>
                </c:pt>
                <c:pt idx="19">
                  <c:v>-161.69999999999999</c:v>
                </c:pt>
                <c:pt idx="20">
                  <c:v>-178.1</c:v>
                </c:pt>
                <c:pt idx="21">
                  <c:v>-212.3</c:v>
                </c:pt>
                <c:pt idx="22">
                  <c:v>-256.5</c:v>
                </c:pt>
                <c:pt idx="23">
                  <c:v>-294</c:v>
                </c:pt>
                <c:pt idx="24">
                  <c:v>-321.3</c:v>
                </c:pt>
                <c:pt idx="25">
                  <c:v>-342.2</c:v>
                </c:pt>
                <c:pt idx="26">
                  <c:v>-357.5</c:v>
                </c:pt>
                <c:pt idx="27">
                  <c:v>-369.4</c:v>
                </c:pt>
                <c:pt idx="28">
                  <c:v>-376.5</c:v>
                </c:pt>
                <c:pt idx="29">
                  <c:v>-378.7</c:v>
                </c:pt>
                <c:pt idx="30">
                  <c:v>-377.4</c:v>
                </c:pt>
                <c:pt idx="31">
                  <c:v>-374.7</c:v>
                </c:pt>
                <c:pt idx="32">
                  <c:v>-372.1</c:v>
                </c:pt>
                <c:pt idx="33">
                  <c:v>-369.7</c:v>
                </c:pt>
                <c:pt idx="34">
                  <c:v>-367.3</c:v>
                </c:pt>
                <c:pt idx="35">
                  <c:v>-366.4</c:v>
                </c:pt>
                <c:pt idx="36">
                  <c:v>-367.1</c:v>
                </c:pt>
                <c:pt idx="37">
                  <c:v>-368.3</c:v>
                </c:pt>
                <c:pt idx="38">
                  <c:v>-368</c:v>
                </c:pt>
                <c:pt idx="39">
                  <c:v>-366.6</c:v>
                </c:pt>
                <c:pt idx="40">
                  <c:v>-364.4</c:v>
                </c:pt>
                <c:pt idx="41">
                  <c:v>-362.5</c:v>
                </c:pt>
                <c:pt idx="42">
                  <c:v>-361.4</c:v>
                </c:pt>
                <c:pt idx="43">
                  <c:v>-358.8</c:v>
                </c:pt>
                <c:pt idx="44">
                  <c:v>-352.7</c:v>
                </c:pt>
                <c:pt idx="45">
                  <c:v>-344.1</c:v>
                </c:pt>
                <c:pt idx="46">
                  <c:v>-332.6</c:v>
                </c:pt>
                <c:pt idx="47">
                  <c:v>-319</c:v>
                </c:pt>
                <c:pt idx="48">
                  <c:v>-307.3</c:v>
                </c:pt>
                <c:pt idx="49">
                  <c:v>-299.10000000000002</c:v>
                </c:pt>
                <c:pt idx="50">
                  <c:v>-293.8</c:v>
                </c:pt>
                <c:pt idx="51">
                  <c:v>-290.7</c:v>
                </c:pt>
                <c:pt idx="52">
                  <c:v>-288.3</c:v>
                </c:pt>
                <c:pt idx="53">
                  <c:v>-285.2</c:v>
                </c:pt>
                <c:pt idx="54">
                  <c:v>-281.2</c:v>
                </c:pt>
                <c:pt idx="55">
                  <c:v>-277.39999999999998</c:v>
                </c:pt>
                <c:pt idx="56">
                  <c:v>-274.10000000000002</c:v>
                </c:pt>
                <c:pt idx="57">
                  <c:v>-271.39999999999998</c:v>
                </c:pt>
                <c:pt idx="58">
                  <c:v>-268.8</c:v>
                </c:pt>
                <c:pt idx="59">
                  <c:v>-265.8</c:v>
                </c:pt>
                <c:pt idx="60">
                  <c:v>-263.3</c:v>
                </c:pt>
                <c:pt idx="61">
                  <c:v>-261.7</c:v>
                </c:pt>
                <c:pt idx="62">
                  <c:v>-261.2</c:v>
                </c:pt>
                <c:pt idx="63">
                  <c:v>-262</c:v>
                </c:pt>
                <c:pt idx="64">
                  <c:v>-262.60000000000002</c:v>
                </c:pt>
                <c:pt idx="65">
                  <c:v>-262.7</c:v>
                </c:pt>
                <c:pt idx="66">
                  <c:v>-262.7</c:v>
                </c:pt>
                <c:pt idx="67">
                  <c:v>-262.60000000000002</c:v>
                </c:pt>
                <c:pt idx="68">
                  <c:v>-262.60000000000002</c:v>
                </c:pt>
                <c:pt idx="69">
                  <c:v>-262.89999999999998</c:v>
                </c:pt>
                <c:pt idx="70">
                  <c:v>-263.39999999999998</c:v>
                </c:pt>
                <c:pt idx="71">
                  <c:v>-263.60000000000002</c:v>
                </c:pt>
                <c:pt idx="72">
                  <c:v>-263.7</c:v>
                </c:pt>
                <c:pt idx="73">
                  <c:v>-263.7</c:v>
                </c:pt>
                <c:pt idx="74">
                  <c:v>-263.7</c:v>
                </c:pt>
                <c:pt idx="75">
                  <c:v>-263.3</c:v>
                </c:pt>
                <c:pt idx="76">
                  <c:v>-262.8</c:v>
                </c:pt>
                <c:pt idx="77">
                  <c:v>-262</c:v>
                </c:pt>
                <c:pt idx="78">
                  <c:v>-260.89999999999998</c:v>
                </c:pt>
                <c:pt idx="79">
                  <c:v>-260</c:v>
                </c:pt>
                <c:pt idx="80">
                  <c:v>-259.10000000000002</c:v>
                </c:pt>
                <c:pt idx="81">
                  <c:v>-258.10000000000002</c:v>
                </c:pt>
                <c:pt idx="82">
                  <c:v>-257.10000000000002</c:v>
                </c:pt>
                <c:pt idx="83">
                  <c:v>-255.9</c:v>
                </c:pt>
                <c:pt idx="84">
                  <c:v>-254.1</c:v>
                </c:pt>
                <c:pt idx="85">
                  <c:v>-252</c:v>
                </c:pt>
                <c:pt idx="86">
                  <c:v>-250.2</c:v>
                </c:pt>
                <c:pt idx="87">
                  <c:v>-248.8</c:v>
                </c:pt>
                <c:pt idx="88">
                  <c:v>-247.6</c:v>
                </c:pt>
                <c:pt idx="89">
                  <c:v>-246.3</c:v>
                </c:pt>
                <c:pt idx="90">
                  <c:v>-244.9</c:v>
                </c:pt>
                <c:pt idx="91">
                  <c:v>-243.8</c:v>
                </c:pt>
                <c:pt idx="92">
                  <c:v>-242.9</c:v>
                </c:pt>
                <c:pt idx="93">
                  <c:v>-242.3</c:v>
                </c:pt>
                <c:pt idx="94">
                  <c:v>-241.8</c:v>
                </c:pt>
                <c:pt idx="95">
                  <c:v>-241.2</c:v>
                </c:pt>
                <c:pt idx="96">
                  <c:v>-240.2</c:v>
                </c:pt>
                <c:pt idx="97">
                  <c:v>-238.9</c:v>
                </c:pt>
                <c:pt idx="98">
                  <c:v>-237.7</c:v>
                </c:pt>
                <c:pt idx="99">
                  <c:v>-236.8</c:v>
                </c:pt>
                <c:pt idx="100">
                  <c:v>-236.2</c:v>
                </c:pt>
                <c:pt idx="101">
                  <c:v>-235.6</c:v>
                </c:pt>
                <c:pt idx="102">
                  <c:v>-234.9</c:v>
                </c:pt>
                <c:pt idx="103">
                  <c:v>-234.1</c:v>
                </c:pt>
                <c:pt idx="104">
                  <c:v>-233.4</c:v>
                </c:pt>
                <c:pt idx="105">
                  <c:v>-232.9</c:v>
                </c:pt>
                <c:pt idx="106">
                  <c:v>-232.3</c:v>
                </c:pt>
                <c:pt idx="107">
                  <c:v>-231.8</c:v>
                </c:pt>
                <c:pt idx="108">
                  <c:v>-231.4</c:v>
                </c:pt>
                <c:pt idx="109">
                  <c:v>-231.2</c:v>
                </c:pt>
                <c:pt idx="110">
                  <c:v>-231.3</c:v>
                </c:pt>
                <c:pt idx="111">
                  <c:v>-231.5</c:v>
                </c:pt>
                <c:pt idx="112">
                  <c:v>-231.8</c:v>
                </c:pt>
                <c:pt idx="113">
                  <c:v>-232.4</c:v>
                </c:pt>
                <c:pt idx="114">
                  <c:v>-233.2</c:v>
                </c:pt>
                <c:pt idx="115">
                  <c:v>-233.7</c:v>
                </c:pt>
                <c:pt idx="116">
                  <c:v>-233.8</c:v>
                </c:pt>
                <c:pt idx="117">
                  <c:v>-233.8</c:v>
                </c:pt>
                <c:pt idx="118">
                  <c:v>-233.5</c:v>
                </c:pt>
                <c:pt idx="119">
                  <c:v>-233.1</c:v>
                </c:pt>
                <c:pt idx="120">
                  <c:v>-232.6</c:v>
                </c:pt>
                <c:pt idx="121">
                  <c:v>-232.1</c:v>
                </c:pt>
                <c:pt idx="122">
                  <c:v>-231.5</c:v>
                </c:pt>
                <c:pt idx="123">
                  <c:v>-231</c:v>
                </c:pt>
                <c:pt idx="124">
                  <c:v>-231</c:v>
                </c:pt>
                <c:pt idx="125">
                  <c:v>-231.2</c:v>
                </c:pt>
                <c:pt idx="126">
                  <c:v>-231.3</c:v>
                </c:pt>
                <c:pt idx="127">
                  <c:v>-231.4</c:v>
                </c:pt>
                <c:pt idx="128">
                  <c:v>-231.5</c:v>
                </c:pt>
                <c:pt idx="129">
                  <c:v>-231.5</c:v>
                </c:pt>
                <c:pt idx="130">
                  <c:v>-231.5</c:v>
                </c:pt>
                <c:pt idx="131">
                  <c:v>-231.4</c:v>
                </c:pt>
                <c:pt idx="132">
                  <c:v>-231.5</c:v>
                </c:pt>
                <c:pt idx="133">
                  <c:v>-231.8</c:v>
                </c:pt>
                <c:pt idx="134">
                  <c:v>-232.2</c:v>
                </c:pt>
                <c:pt idx="135">
                  <c:v>-232.6</c:v>
                </c:pt>
                <c:pt idx="136">
                  <c:v>-232.7</c:v>
                </c:pt>
                <c:pt idx="137">
                  <c:v>-232.5</c:v>
                </c:pt>
                <c:pt idx="138">
                  <c:v>-231.9</c:v>
                </c:pt>
                <c:pt idx="139">
                  <c:v>-231.2</c:v>
                </c:pt>
                <c:pt idx="140">
                  <c:v>-230.6</c:v>
                </c:pt>
                <c:pt idx="141">
                  <c:v>-230.3</c:v>
                </c:pt>
                <c:pt idx="142">
                  <c:v>-230.4</c:v>
                </c:pt>
                <c:pt idx="143">
                  <c:v>-230.4</c:v>
                </c:pt>
                <c:pt idx="144">
                  <c:v>-230.2</c:v>
                </c:pt>
                <c:pt idx="145">
                  <c:v>-229.5</c:v>
                </c:pt>
                <c:pt idx="146">
                  <c:v>-228.8</c:v>
                </c:pt>
                <c:pt idx="147">
                  <c:v>-228.5</c:v>
                </c:pt>
                <c:pt idx="148">
                  <c:v>-228.5</c:v>
                </c:pt>
                <c:pt idx="149">
                  <c:v>-228.5</c:v>
                </c:pt>
                <c:pt idx="150">
                  <c:v>-228.3</c:v>
                </c:pt>
                <c:pt idx="151">
                  <c:v>-227.7</c:v>
                </c:pt>
                <c:pt idx="152">
                  <c:v>-226.7</c:v>
                </c:pt>
                <c:pt idx="153">
                  <c:v>-225.4</c:v>
                </c:pt>
                <c:pt idx="154">
                  <c:v>-224</c:v>
                </c:pt>
                <c:pt idx="155">
                  <c:v>-222.3</c:v>
                </c:pt>
                <c:pt idx="156">
                  <c:v>-220.2</c:v>
                </c:pt>
                <c:pt idx="157">
                  <c:v>-217.9</c:v>
                </c:pt>
                <c:pt idx="158">
                  <c:v>-215.7</c:v>
                </c:pt>
                <c:pt idx="159">
                  <c:v>-213.6</c:v>
                </c:pt>
                <c:pt idx="160">
                  <c:v>-211.1</c:v>
                </c:pt>
                <c:pt idx="161">
                  <c:v>-208.1</c:v>
                </c:pt>
                <c:pt idx="162">
                  <c:v>-205</c:v>
                </c:pt>
                <c:pt idx="163">
                  <c:v>-202.3</c:v>
                </c:pt>
                <c:pt idx="164">
                  <c:v>-199.4</c:v>
                </c:pt>
                <c:pt idx="165">
                  <c:v>-195.4</c:v>
                </c:pt>
                <c:pt idx="166">
                  <c:v>-189.9</c:v>
                </c:pt>
                <c:pt idx="167">
                  <c:v>-181.5</c:v>
                </c:pt>
                <c:pt idx="168">
                  <c:v>-170.8</c:v>
                </c:pt>
                <c:pt idx="169">
                  <c:v>-160.69999999999999</c:v>
                </c:pt>
                <c:pt idx="170">
                  <c:v>-151.5</c:v>
                </c:pt>
                <c:pt idx="171">
                  <c:v>-143.6</c:v>
                </c:pt>
                <c:pt idx="172">
                  <c:v>-137.19999999999999</c:v>
                </c:pt>
                <c:pt idx="173">
                  <c:v>-131.5</c:v>
                </c:pt>
                <c:pt idx="174">
                  <c:v>-125.2</c:v>
                </c:pt>
                <c:pt idx="175">
                  <c:v>-115.5</c:v>
                </c:pt>
                <c:pt idx="176">
                  <c:v>-99.9</c:v>
                </c:pt>
                <c:pt idx="177">
                  <c:v>-79</c:v>
                </c:pt>
                <c:pt idx="178">
                  <c:v>-52.5</c:v>
                </c:pt>
                <c:pt idx="179">
                  <c:v>-21</c:v>
                </c:pt>
                <c:pt idx="180">
                  <c:v>20.399999999999999</c:v>
                </c:pt>
                <c:pt idx="181">
                  <c:v>98.4</c:v>
                </c:pt>
                <c:pt idx="182">
                  <c:v>177.7</c:v>
                </c:pt>
                <c:pt idx="183">
                  <c:v>247.7</c:v>
                </c:pt>
                <c:pt idx="184">
                  <c:v>318.60000000000002</c:v>
                </c:pt>
                <c:pt idx="185">
                  <c:v>391</c:v>
                </c:pt>
                <c:pt idx="186">
                  <c:v>466.8</c:v>
                </c:pt>
                <c:pt idx="187">
                  <c:v>546.1</c:v>
                </c:pt>
                <c:pt idx="188">
                  <c:v>617.5</c:v>
                </c:pt>
                <c:pt idx="189">
                  <c:v>678.4</c:v>
                </c:pt>
                <c:pt idx="190">
                  <c:v>743.7</c:v>
                </c:pt>
                <c:pt idx="191">
                  <c:v>815.2</c:v>
                </c:pt>
                <c:pt idx="192">
                  <c:v>876.1</c:v>
                </c:pt>
                <c:pt idx="193">
                  <c:v>912.2</c:v>
                </c:pt>
                <c:pt idx="194">
                  <c:v>938.2</c:v>
                </c:pt>
                <c:pt idx="195">
                  <c:v>966.5</c:v>
                </c:pt>
                <c:pt idx="196">
                  <c:v>1001</c:v>
                </c:pt>
                <c:pt idx="197">
                  <c:v>1035</c:v>
                </c:pt>
                <c:pt idx="198">
                  <c:v>1055</c:v>
                </c:pt>
                <c:pt idx="199">
                  <c:v>1047.3</c:v>
                </c:pt>
                <c:pt idx="200">
                  <c:v>1020.3</c:v>
                </c:pt>
                <c:pt idx="201">
                  <c:v>1013.2</c:v>
                </c:pt>
                <c:pt idx="202">
                  <c:v>1037.8</c:v>
                </c:pt>
                <c:pt idx="203">
                  <c:v>1042.8</c:v>
                </c:pt>
                <c:pt idx="204">
                  <c:v>969.4</c:v>
                </c:pt>
                <c:pt idx="205">
                  <c:v>877.1</c:v>
                </c:pt>
                <c:pt idx="206">
                  <c:v>800.3</c:v>
                </c:pt>
                <c:pt idx="207">
                  <c:v>734.3</c:v>
                </c:pt>
                <c:pt idx="208">
                  <c:v>674.6</c:v>
                </c:pt>
                <c:pt idx="209">
                  <c:v>617.70000000000005</c:v>
                </c:pt>
                <c:pt idx="210">
                  <c:v>561.20000000000005</c:v>
                </c:pt>
                <c:pt idx="211">
                  <c:v>504.2</c:v>
                </c:pt>
                <c:pt idx="212">
                  <c:v>447</c:v>
                </c:pt>
                <c:pt idx="213">
                  <c:v>390.9</c:v>
                </c:pt>
                <c:pt idx="214">
                  <c:v>336.8</c:v>
                </c:pt>
                <c:pt idx="215">
                  <c:v>286.3</c:v>
                </c:pt>
                <c:pt idx="216">
                  <c:v>240.1</c:v>
                </c:pt>
                <c:pt idx="217">
                  <c:v>198.6</c:v>
                </c:pt>
                <c:pt idx="218">
                  <c:v>161</c:v>
                </c:pt>
                <c:pt idx="219">
                  <c:v>122.3</c:v>
                </c:pt>
                <c:pt idx="220">
                  <c:v>79</c:v>
                </c:pt>
                <c:pt idx="221">
                  <c:v>49.9</c:v>
                </c:pt>
                <c:pt idx="222">
                  <c:v>35.4</c:v>
                </c:pt>
                <c:pt idx="223">
                  <c:v>26.2</c:v>
                </c:pt>
                <c:pt idx="224">
                  <c:v>20.100000000000001</c:v>
                </c:pt>
                <c:pt idx="225">
                  <c:v>15.8</c:v>
                </c:pt>
                <c:pt idx="226">
                  <c:v>12.8</c:v>
                </c:pt>
                <c:pt idx="227">
                  <c:v>10.5</c:v>
                </c:pt>
                <c:pt idx="228">
                  <c:v>8.6999999999999993</c:v>
                </c:pt>
                <c:pt idx="229">
                  <c:v>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11-4D41-9E86-DFB3D065DE38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'100ml'!$BZ$3:$BZ$232</c:f>
              <c:numCache>
                <c:formatCode>General</c:formatCode>
                <c:ptCount val="2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</c:numCache>
            </c:numRef>
          </c:xVal>
          <c:yVal>
            <c:numRef>
              <c:f>'100ml'!$CD$3:$CD$232</c:f>
              <c:numCache>
                <c:formatCode>General</c:formatCode>
                <c:ptCount val="230"/>
                <c:pt idx="0">
                  <c:v>3.6</c:v>
                </c:pt>
                <c:pt idx="1">
                  <c:v>-2.1</c:v>
                </c:pt>
                <c:pt idx="2">
                  <c:v>-7.4</c:v>
                </c:pt>
                <c:pt idx="3">
                  <c:v>-12.6</c:v>
                </c:pt>
                <c:pt idx="4">
                  <c:v>-18</c:v>
                </c:pt>
                <c:pt idx="5">
                  <c:v>-22.6</c:v>
                </c:pt>
                <c:pt idx="6">
                  <c:v>-28.3</c:v>
                </c:pt>
                <c:pt idx="7">
                  <c:v>-38.9</c:v>
                </c:pt>
                <c:pt idx="8">
                  <c:v>-60.9</c:v>
                </c:pt>
                <c:pt idx="9">
                  <c:v>-99.3</c:v>
                </c:pt>
                <c:pt idx="10">
                  <c:v>-151.6</c:v>
                </c:pt>
                <c:pt idx="11">
                  <c:v>-190.2</c:v>
                </c:pt>
                <c:pt idx="12">
                  <c:v>-206.6</c:v>
                </c:pt>
                <c:pt idx="13">
                  <c:v>-232</c:v>
                </c:pt>
                <c:pt idx="14">
                  <c:v>-279.7</c:v>
                </c:pt>
                <c:pt idx="15">
                  <c:v>-329.7</c:v>
                </c:pt>
                <c:pt idx="16">
                  <c:v>-371.8</c:v>
                </c:pt>
                <c:pt idx="17">
                  <c:v>-416.6</c:v>
                </c:pt>
                <c:pt idx="18">
                  <c:v>-464</c:v>
                </c:pt>
                <c:pt idx="19">
                  <c:v>-503</c:v>
                </c:pt>
                <c:pt idx="20">
                  <c:v>-530.1</c:v>
                </c:pt>
                <c:pt idx="21">
                  <c:v>-545.5</c:v>
                </c:pt>
                <c:pt idx="22">
                  <c:v>-557.79999999999995</c:v>
                </c:pt>
                <c:pt idx="23">
                  <c:v>-569.4</c:v>
                </c:pt>
                <c:pt idx="24">
                  <c:v>-576.70000000000005</c:v>
                </c:pt>
                <c:pt idx="25">
                  <c:v>-584.1</c:v>
                </c:pt>
                <c:pt idx="26">
                  <c:v>-592.6</c:v>
                </c:pt>
                <c:pt idx="27">
                  <c:v>-596.1</c:v>
                </c:pt>
                <c:pt idx="28">
                  <c:v>-594.29999999999995</c:v>
                </c:pt>
                <c:pt idx="29">
                  <c:v>-589.9</c:v>
                </c:pt>
                <c:pt idx="30">
                  <c:v>-585.29999999999995</c:v>
                </c:pt>
                <c:pt idx="31">
                  <c:v>-580.70000000000005</c:v>
                </c:pt>
                <c:pt idx="32">
                  <c:v>-572.70000000000005</c:v>
                </c:pt>
                <c:pt idx="33">
                  <c:v>-559.5</c:v>
                </c:pt>
                <c:pt idx="34">
                  <c:v>-550.5</c:v>
                </c:pt>
                <c:pt idx="35">
                  <c:v>-549.1</c:v>
                </c:pt>
                <c:pt idx="36">
                  <c:v>-551.4</c:v>
                </c:pt>
                <c:pt idx="37">
                  <c:v>-551.5</c:v>
                </c:pt>
                <c:pt idx="38">
                  <c:v>-546.6</c:v>
                </c:pt>
                <c:pt idx="39">
                  <c:v>-540.4</c:v>
                </c:pt>
                <c:pt idx="40">
                  <c:v>-535.79999999999995</c:v>
                </c:pt>
                <c:pt idx="41">
                  <c:v>-531.70000000000005</c:v>
                </c:pt>
                <c:pt idx="42">
                  <c:v>-528.70000000000005</c:v>
                </c:pt>
                <c:pt idx="43">
                  <c:v>-525.79999999999995</c:v>
                </c:pt>
                <c:pt idx="44">
                  <c:v>-521</c:v>
                </c:pt>
                <c:pt idx="45">
                  <c:v>-514</c:v>
                </c:pt>
                <c:pt idx="46">
                  <c:v>-506.6</c:v>
                </c:pt>
                <c:pt idx="47">
                  <c:v>-499.4</c:v>
                </c:pt>
                <c:pt idx="48">
                  <c:v>-491.8</c:v>
                </c:pt>
                <c:pt idx="49">
                  <c:v>-486</c:v>
                </c:pt>
                <c:pt idx="50">
                  <c:v>-482.9</c:v>
                </c:pt>
                <c:pt idx="51">
                  <c:v>-479.2</c:v>
                </c:pt>
                <c:pt idx="52">
                  <c:v>-473.5</c:v>
                </c:pt>
                <c:pt idx="53">
                  <c:v>-467.8</c:v>
                </c:pt>
                <c:pt idx="54">
                  <c:v>-463.3</c:v>
                </c:pt>
                <c:pt idx="55">
                  <c:v>-459.9</c:v>
                </c:pt>
                <c:pt idx="56">
                  <c:v>-456.7</c:v>
                </c:pt>
                <c:pt idx="57">
                  <c:v>-454.1</c:v>
                </c:pt>
                <c:pt idx="58">
                  <c:v>-452.4</c:v>
                </c:pt>
                <c:pt idx="59">
                  <c:v>-451</c:v>
                </c:pt>
                <c:pt idx="60">
                  <c:v>-448.4</c:v>
                </c:pt>
                <c:pt idx="61">
                  <c:v>-443.8</c:v>
                </c:pt>
                <c:pt idx="62">
                  <c:v>-438.8</c:v>
                </c:pt>
                <c:pt idx="63">
                  <c:v>-434.5</c:v>
                </c:pt>
                <c:pt idx="64">
                  <c:v>-430</c:v>
                </c:pt>
                <c:pt idx="65">
                  <c:v>-425.2</c:v>
                </c:pt>
                <c:pt idx="66">
                  <c:v>-420.4</c:v>
                </c:pt>
                <c:pt idx="67">
                  <c:v>-414.8</c:v>
                </c:pt>
                <c:pt idx="68">
                  <c:v>-409.7</c:v>
                </c:pt>
                <c:pt idx="69">
                  <c:v>-406.4</c:v>
                </c:pt>
                <c:pt idx="70">
                  <c:v>-405.3</c:v>
                </c:pt>
                <c:pt idx="71">
                  <c:v>-405.5</c:v>
                </c:pt>
                <c:pt idx="72">
                  <c:v>-405.6</c:v>
                </c:pt>
                <c:pt idx="73">
                  <c:v>-405.8</c:v>
                </c:pt>
                <c:pt idx="74">
                  <c:v>-406</c:v>
                </c:pt>
                <c:pt idx="75">
                  <c:v>-405.8</c:v>
                </c:pt>
                <c:pt idx="76">
                  <c:v>-404.9</c:v>
                </c:pt>
                <c:pt idx="77">
                  <c:v>-403.3</c:v>
                </c:pt>
                <c:pt idx="78">
                  <c:v>-401.3</c:v>
                </c:pt>
                <c:pt idx="79">
                  <c:v>-398.8</c:v>
                </c:pt>
                <c:pt idx="80">
                  <c:v>-396.6</c:v>
                </c:pt>
                <c:pt idx="81">
                  <c:v>-394.9</c:v>
                </c:pt>
                <c:pt idx="82">
                  <c:v>-392.7</c:v>
                </c:pt>
                <c:pt idx="83">
                  <c:v>-388.6</c:v>
                </c:pt>
                <c:pt idx="84">
                  <c:v>-383.4</c:v>
                </c:pt>
                <c:pt idx="85">
                  <c:v>-378.1</c:v>
                </c:pt>
                <c:pt idx="86">
                  <c:v>-373.3</c:v>
                </c:pt>
                <c:pt idx="87">
                  <c:v>-369.1</c:v>
                </c:pt>
                <c:pt idx="88">
                  <c:v>-365.3</c:v>
                </c:pt>
                <c:pt idx="89">
                  <c:v>-361.8</c:v>
                </c:pt>
                <c:pt idx="90">
                  <c:v>-358.6</c:v>
                </c:pt>
                <c:pt idx="91">
                  <c:v>-355.1</c:v>
                </c:pt>
                <c:pt idx="92">
                  <c:v>-351.4</c:v>
                </c:pt>
                <c:pt idx="93">
                  <c:v>-348.5</c:v>
                </c:pt>
                <c:pt idx="94">
                  <c:v>-346.2</c:v>
                </c:pt>
                <c:pt idx="95">
                  <c:v>-343.9</c:v>
                </c:pt>
                <c:pt idx="96">
                  <c:v>-341.4</c:v>
                </c:pt>
                <c:pt idx="97">
                  <c:v>-338.9</c:v>
                </c:pt>
                <c:pt idx="98">
                  <c:v>-337.3</c:v>
                </c:pt>
                <c:pt idx="99">
                  <c:v>-336.2</c:v>
                </c:pt>
                <c:pt idx="100">
                  <c:v>-334.9</c:v>
                </c:pt>
                <c:pt idx="101">
                  <c:v>-332.6</c:v>
                </c:pt>
                <c:pt idx="102">
                  <c:v>-329.5</c:v>
                </c:pt>
                <c:pt idx="103">
                  <c:v>-326</c:v>
                </c:pt>
                <c:pt idx="104">
                  <c:v>-323.3</c:v>
                </c:pt>
                <c:pt idx="105">
                  <c:v>-321.10000000000002</c:v>
                </c:pt>
                <c:pt idx="106">
                  <c:v>-318.3</c:v>
                </c:pt>
                <c:pt idx="107">
                  <c:v>-314.8</c:v>
                </c:pt>
                <c:pt idx="108">
                  <c:v>-310.89999999999998</c:v>
                </c:pt>
                <c:pt idx="109">
                  <c:v>-306.8</c:v>
                </c:pt>
                <c:pt idx="110">
                  <c:v>-302.7</c:v>
                </c:pt>
                <c:pt idx="111">
                  <c:v>-298.5</c:v>
                </c:pt>
                <c:pt idx="112">
                  <c:v>-294.3</c:v>
                </c:pt>
                <c:pt idx="113">
                  <c:v>-290.39999999999998</c:v>
                </c:pt>
                <c:pt idx="114">
                  <c:v>-286.39999999999998</c:v>
                </c:pt>
                <c:pt idx="115">
                  <c:v>-282.2</c:v>
                </c:pt>
                <c:pt idx="116">
                  <c:v>-277.5</c:v>
                </c:pt>
                <c:pt idx="117">
                  <c:v>-271.60000000000002</c:v>
                </c:pt>
                <c:pt idx="118">
                  <c:v>-264.39999999999998</c:v>
                </c:pt>
                <c:pt idx="119">
                  <c:v>-256.2</c:v>
                </c:pt>
                <c:pt idx="120">
                  <c:v>-246.5</c:v>
                </c:pt>
                <c:pt idx="121">
                  <c:v>-234.6</c:v>
                </c:pt>
                <c:pt idx="122">
                  <c:v>-221.2</c:v>
                </c:pt>
                <c:pt idx="123">
                  <c:v>-208.7</c:v>
                </c:pt>
                <c:pt idx="124">
                  <c:v>-198.3</c:v>
                </c:pt>
                <c:pt idx="125">
                  <c:v>-189.2</c:v>
                </c:pt>
                <c:pt idx="126">
                  <c:v>-179.8</c:v>
                </c:pt>
                <c:pt idx="127">
                  <c:v>-169.2</c:v>
                </c:pt>
                <c:pt idx="128">
                  <c:v>-158.69999999999999</c:v>
                </c:pt>
                <c:pt idx="129">
                  <c:v>-148</c:v>
                </c:pt>
                <c:pt idx="130">
                  <c:v>-133.4</c:v>
                </c:pt>
                <c:pt idx="131">
                  <c:v>-111.9</c:v>
                </c:pt>
                <c:pt idx="132">
                  <c:v>-82.2</c:v>
                </c:pt>
                <c:pt idx="133">
                  <c:v>-47.8</c:v>
                </c:pt>
                <c:pt idx="134">
                  <c:v>-13.6</c:v>
                </c:pt>
                <c:pt idx="135">
                  <c:v>31.9</c:v>
                </c:pt>
                <c:pt idx="136">
                  <c:v>149.6</c:v>
                </c:pt>
                <c:pt idx="137">
                  <c:v>315.8</c:v>
                </c:pt>
                <c:pt idx="138">
                  <c:v>428.4</c:v>
                </c:pt>
                <c:pt idx="139">
                  <c:v>498.5</c:v>
                </c:pt>
                <c:pt idx="140">
                  <c:v>551.79999999999995</c:v>
                </c:pt>
                <c:pt idx="141">
                  <c:v>594</c:v>
                </c:pt>
                <c:pt idx="142">
                  <c:v>636.9</c:v>
                </c:pt>
                <c:pt idx="143">
                  <c:v>682</c:v>
                </c:pt>
                <c:pt idx="144">
                  <c:v>719.7</c:v>
                </c:pt>
                <c:pt idx="145">
                  <c:v>747.9</c:v>
                </c:pt>
                <c:pt idx="146">
                  <c:v>766.6</c:v>
                </c:pt>
                <c:pt idx="147">
                  <c:v>785.8</c:v>
                </c:pt>
                <c:pt idx="148">
                  <c:v>805.1</c:v>
                </c:pt>
                <c:pt idx="149">
                  <c:v>824.6</c:v>
                </c:pt>
                <c:pt idx="150">
                  <c:v>842.5</c:v>
                </c:pt>
                <c:pt idx="151">
                  <c:v>855.8</c:v>
                </c:pt>
                <c:pt idx="152">
                  <c:v>861.8</c:v>
                </c:pt>
                <c:pt idx="153">
                  <c:v>868.1</c:v>
                </c:pt>
                <c:pt idx="154">
                  <c:v>880.2</c:v>
                </c:pt>
                <c:pt idx="155">
                  <c:v>898</c:v>
                </c:pt>
                <c:pt idx="156">
                  <c:v>910.2</c:v>
                </c:pt>
                <c:pt idx="157">
                  <c:v>921.6</c:v>
                </c:pt>
                <c:pt idx="158">
                  <c:v>923.3</c:v>
                </c:pt>
                <c:pt idx="159">
                  <c:v>887.7</c:v>
                </c:pt>
                <c:pt idx="160">
                  <c:v>811.9</c:v>
                </c:pt>
                <c:pt idx="161">
                  <c:v>737</c:v>
                </c:pt>
                <c:pt idx="162">
                  <c:v>672</c:v>
                </c:pt>
                <c:pt idx="163">
                  <c:v>612.20000000000005</c:v>
                </c:pt>
                <c:pt idx="164">
                  <c:v>554.9</c:v>
                </c:pt>
                <c:pt idx="165">
                  <c:v>498.2</c:v>
                </c:pt>
                <c:pt idx="166">
                  <c:v>441.5</c:v>
                </c:pt>
                <c:pt idx="167">
                  <c:v>385.4</c:v>
                </c:pt>
                <c:pt idx="168">
                  <c:v>331.3</c:v>
                </c:pt>
                <c:pt idx="169">
                  <c:v>280.39999999999998</c:v>
                </c:pt>
                <c:pt idx="170">
                  <c:v>234.2</c:v>
                </c:pt>
                <c:pt idx="171">
                  <c:v>193.5</c:v>
                </c:pt>
                <c:pt idx="172">
                  <c:v>157.1</c:v>
                </c:pt>
                <c:pt idx="173">
                  <c:v>124.6</c:v>
                </c:pt>
                <c:pt idx="174">
                  <c:v>95.9</c:v>
                </c:pt>
                <c:pt idx="175">
                  <c:v>70.900000000000006</c:v>
                </c:pt>
                <c:pt idx="176">
                  <c:v>48.9</c:v>
                </c:pt>
                <c:pt idx="177">
                  <c:v>29.5</c:v>
                </c:pt>
                <c:pt idx="178">
                  <c:v>11.6</c:v>
                </c:pt>
                <c:pt idx="179">
                  <c:v>-6.9</c:v>
                </c:pt>
                <c:pt idx="180">
                  <c:v>-24.2</c:v>
                </c:pt>
                <c:pt idx="181">
                  <c:v>-34</c:v>
                </c:pt>
                <c:pt idx="182">
                  <c:v>-38.9</c:v>
                </c:pt>
                <c:pt idx="183">
                  <c:v>-42.4</c:v>
                </c:pt>
                <c:pt idx="184">
                  <c:v>-45.1</c:v>
                </c:pt>
                <c:pt idx="185">
                  <c:v>-47.3</c:v>
                </c:pt>
                <c:pt idx="186">
                  <c:v>-49</c:v>
                </c:pt>
                <c:pt idx="187">
                  <c:v>-50.3</c:v>
                </c:pt>
                <c:pt idx="188">
                  <c:v>-51.3</c:v>
                </c:pt>
                <c:pt idx="189">
                  <c:v>-52.3</c:v>
                </c:pt>
                <c:pt idx="190">
                  <c:v>-53.3</c:v>
                </c:pt>
                <c:pt idx="191">
                  <c:v>-54.2</c:v>
                </c:pt>
                <c:pt idx="192">
                  <c:v>-55</c:v>
                </c:pt>
                <c:pt idx="193">
                  <c:v>-55.6</c:v>
                </c:pt>
                <c:pt idx="194">
                  <c:v>-56.2</c:v>
                </c:pt>
                <c:pt idx="195">
                  <c:v>-56.6</c:v>
                </c:pt>
                <c:pt idx="196">
                  <c:v>-56.9</c:v>
                </c:pt>
                <c:pt idx="197">
                  <c:v>-57.2</c:v>
                </c:pt>
                <c:pt idx="198">
                  <c:v>-57.5</c:v>
                </c:pt>
                <c:pt idx="199">
                  <c:v>-57.7</c:v>
                </c:pt>
                <c:pt idx="200">
                  <c:v>-57.8</c:v>
                </c:pt>
                <c:pt idx="201">
                  <c:v>-57.9</c:v>
                </c:pt>
                <c:pt idx="202">
                  <c:v>-58</c:v>
                </c:pt>
                <c:pt idx="203">
                  <c:v>-58</c:v>
                </c:pt>
                <c:pt idx="204">
                  <c:v>-58.1</c:v>
                </c:pt>
                <c:pt idx="205">
                  <c:v>-58.1</c:v>
                </c:pt>
                <c:pt idx="206">
                  <c:v>-58.2</c:v>
                </c:pt>
                <c:pt idx="207">
                  <c:v>-58.2</c:v>
                </c:pt>
                <c:pt idx="208">
                  <c:v>-58.2</c:v>
                </c:pt>
                <c:pt idx="209">
                  <c:v>-58.2</c:v>
                </c:pt>
                <c:pt idx="210">
                  <c:v>-58.2</c:v>
                </c:pt>
                <c:pt idx="211">
                  <c:v>-58.2</c:v>
                </c:pt>
                <c:pt idx="212">
                  <c:v>-58.2</c:v>
                </c:pt>
                <c:pt idx="213">
                  <c:v>-58.2</c:v>
                </c:pt>
                <c:pt idx="214">
                  <c:v>-58.2</c:v>
                </c:pt>
                <c:pt idx="215">
                  <c:v>-58.1</c:v>
                </c:pt>
                <c:pt idx="216">
                  <c:v>-58.1</c:v>
                </c:pt>
                <c:pt idx="217">
                  <c:v>-58.1</c:v>
                </c:pt>
                <c:pt idx="218">
                  <c:v>-58.1</c:v>
                </c:pt>
                <c:pt idx="219">
                  <c:v>-58</c:v>
                </c:pt>
                <c:pt idx="220">
                  <c:v>-58</c:v>
                </c:pt>
                <c:pt idx="221">
                  <c:v>-57.9</c:v>
                </c:pt>
                <c:pt idx="222">
                  <c:v>-57.9</c:v>
                </c:pt>
                <c:pt idx="223">
                  <c:v>-57.8</c:v>
                </c:pt>
                <c:pt idx="224">
                  <c:v>-57.8</c:v>
                </c:pt>
                <c:pt idx="225">
                  <c:v>-57.7</c:v>
                </c:pt>
                <c:pt idx="226">
                  <c:v>-57.7</c:v>
                </c:pt>
                <c:pt idx="227">
                  <c:v>-57.6</c:v>
                </c:pt>
                <c:pt idx="228">
                  <c:v>-57.6</c:v>
                </c:pt>
                <c:pt idx="229">
                  <c:v>-57.6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11-4D41-9E86-DFB3D065DE38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'100ml'!$BZ$3:$BZ$232</c:f>
              <c:numCache>
                <c:formatCode>General</c:formatCode>
                <c:ptCount val="2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</c:numCache>
            </c:numRef>
          </c:xVal>
          <c:yVal>
            <c:numRef>
              <c:f>'100ml'!$CE$3:$CE$232</c:f>
              <c:numCache>
                <c:formatCode>General</c:formatCode>
                <c:ptCount val="230"/>
                <c:pt idx="0">
                  <c:v>-2.2000000000000002</c:v>
                </c:pt>
                <c:pt idx="1">
                  <c:v>-3.8</c:v>
                </c:pt>
                <c:pt idx="2">
                  <c:v>-5.5</c:v>
                </c:pt>
                <c:pt idx="3">
                  <c:v>-7</c:v>
                </c:pt>
                <c:pt idx="4">
                  <c:v>-8.3000000000000007</c:v>
                </c:pt>
                <c:pt idx="5">
                  <c:v>-9.5</c:v>
                </c:pt>
                <c:pt idx="6">
                  <c:v>-10.5</c:v>
                </c:pt>
                <c:pt idx="7">
                  <c:v>-11.6</c:v>
                </c:pt>
                <c:pt idx="8">
                  <c:v>-13.5</c:v>
                </c:pt>
                <c:pt idx="9">
                  <c:v>-17.399999999999999</c:v>
                </c:pt>
                <c:pt idx="10">
                  <c:v>-26</c:v>
                </c:pt>
                <c:pt idx="11">
                  <c:v>-45.8</c:v>
                </c:pt>
                <c:pt idx="12">
                  <c:v>-77.7</c:v>
                </c:pt>
                <c:pt idx="13">
                  <c:v>-112</c:v>
                </c:pt>
                <c:pt idx="14">
                  <c:v>-142</c:v>
                </c:pt>
                <c:pt idx="15">
                  <c:v>-173.3</c:v>
                </c:pt>
                <c:pt idx="16">
                  <c:v>-205.4</c:v>
                </c:pt>
                <c:pt idx="17">
                  <c:v>-234.4</c:v>
                </c:pt>
                <c:pt idx="18">
                  <c:v>-261.39999999999998</c:v>
                </c:pt>
                <c:pt idx="19">
                  <c:v>-281</c:v>
                </c:pt>
                <c:pt idx="20">
                  <c:v>-298</c:v>
                </c:pt>
                <c:pt idx="21">
                  <c:v>-314.3</c:v>
                </c:pt>
                <c:pt idx="22">
                  <c:v>-331</c:v>
                </c:pt>
                <c:pt idx="23">
                  <c:v>-347.5</c:v>
                </c:pt>
                <c:pt idx="24">
                  <c:v>-357</c:v>
                </c:pt>
                <c:pt idx="25">
                  <c:v>-357.9</c:v>
                </c:pt>
                <c:pt idx="26">
                  <c:v>-358</c:v>
                </c:pt>
                <c:pt idx="27">
                  <c:v>-361</c:v>
                </c:pt>
                <c:pt idx="28">
                  <c:v>-362.9</c:v>
                </c:pt>
                <c:pt idx="29">
                  <c:v>-362.1</c:v>
                </c:pt>
                <c:pt idx="30">
                  <c:v>-356.7</c:v>
                </c:pt>
                <c:pt idx="31">
                  <c:v>-348.4</c:v>
                </c:pt>
                <c:pt idx="32">
                  <c:v>-341.5</c:v>
                </c:pt>
                <c:pt idx="33">
                  <c:v>-336.8</c:v>
                </c:pt>
                <c:pt idx="34">
                  <c:v>-334.3</c:v>
                </c:pt>
                <c:pt idx="35">
                  <c:v>-334.5</c:v>
                </c:pt>
                <c:pt idx="36">
                  <c:v>-334.5</c:v>
                </c:pt>
                <c:pt idx="37">
                  <c:v>-334.4</c:v>
                </c:pt>
                <c:pt idx="38">
                  <c:v>-336.9</c:v>
                </c:pt>
                <c:pt idx="39">
                  <c:v>-342.8</c:v>
                </c:pt>
                <c:pt idx="40">
                  <c:v>-349.9</c:v>
                </c:pt>
                <c:pt idx="41">
                  <c:v>-351.9</c:v>
                </c:pt>
                <c:pt idx="42">
                  <c:v>-348.2</c:v>
                </c:pt>
                <c:pt idx="43">
                  <c:v>-342.6</c:v>
                </c:pt>
                <c:pt idx="44">
                  <c:v>-338.3</c:v>
                </c:pt>
                <c:pt idx="45">
                  <c:v>-336.2</c:v>
                </c:pt>
                <c:pt idx="46">
                  <c:v>-336</c:v>
                </c:pt>
                <c:pt idx="47">
                  <c:v>-334.4</c:v>
                </c:pt>
                <c:pt idx="48">
                  <c:v>-330.9</c:v>
                </c:pt>
                <c:pt idx="49">
                  <c:v>-329.1</c:v>
                </c:pt>
                <c:pt idx="50">
                  <c:v>-329.6</c:v>
                </c:pt>
                <c:pt idx="51">
                  <c:v>-331.8</c:v>
                </c:pt>
                <c:pt idx="52">
                  <c:v>-334.9</c:v>
                </c:pt>
                <c:pt idx="53">
                  <c:v>-337.2</c:v>
                </c:pt>
                <c:pt idx="54">
                  <c:v>-338.3</c:v>
                </c:pt>
                <c:pt idx="55">
                  <c:v>-338.2</c:v>
                </c:pt>
                <c:pt idx="56">
                  <c:v>-337.6</c:v>
                </c:pt>
                <c:pt idx="57">
                  <c:v>-337.5</c:v>
                </c:pt>
                <c:pt idx="58">
                  <c:v>-338.2</c:v>
                </c:pt>
                <c:pt idx="59">
                  <c:v>-338.2</c:v>
                </c:pt>
                <c:pt idx="60">
                  <c:v>-337</c:v>
                </c:pt>
                <c:pt idx="61">
                  <c:v>-334.2</c:v>
                </c:pt>
                <c:pt idx="62">
                  <c:v>-329.7</c:v>
                </c:pt>
                <c:pt idx="63">
                  <c:v>-325.39999999999998</c:v>
                </c:pt>
                <c:pt idx="64">
                  <c:v>-322.10000000000002</c:v>
                </c:pt>
                <c:pt idx="65">
                  <c:v>-319.7</c:v>
                </c:pt>
                <c:pt idx="66">
                  <c:v>-317.60000000000002</c:v>
                </c:pt>
                <c:pt idx="67">
                  <c:v>-316</c:v>
                </c:pt>
                <c:pt idx="68">
                  <c:v>-314.2</c:v>
                </c:pt>
                <c:pt idx="69">
                  <c:v>-312.89999999999998</c:v>
                </c:pt>
                <c:pt idx="70">
                  <c:v>-312.3</c:v>
                </c:pt>
                <c:pt idx="71">
                  <c:v>-311.10000000000002</c:v>
                </c:pt>
                <c:pt idx="72">
                  <c:v>-308.89999999999998</c:v>
                </c:pt>
                <c:pt idx="73">
                  <c:v>-306.60000000000002</c:v>
                </c:pt>
                <c:pt idx="74">
                  <c:v>-304.60000000000002</c:v>
                </c:pt>
                <c:pt idx="75">
                  <c:v>-303.5</c:v>
                </c:pt>
                <c:pt idx="76">
                  <c:v>-303.7</c:v>
                </c:pt>
                <c:pt idx="77">
                  <c:v>-304.89999999999998</c:v>
                </c:pt>
                <c:pt idx="78">
                  <c:v>-305.89999999999998</c:v>
                </c:pt>
                <c:pt idx="79">
                  <c:v>-306.10000000000002</c:v>
                </c:pt>
                <c:pt idx="80">
                  <c:v>-305.7</c:v>
                </c:pt>
                <c:pt idx="81">
                  <c:v>-304.8</c:v>
                </c:pt>
                <c:pt idx="82">
                  <c:v>-302.7</c:v>
                </c:pt>
                <c:pt idx="83">
                  <c:v>-299.39999999999998</c:v>
                </c:pt>
                <c:pt idx="84">
                  <c:v>-297.3</c:v>
                </c:pt>
                <c:pt idx="85">
                  <c:v>-296.7</c:v>
                </c:pt>
                <c:pt idx="86">
                  <c:v>-295.60000000000002</c:v>
                </c:pt>
                <c:pt idx="87">
                  <c:v>-293.60000000000002</c:v>
                </c:pt>
                <c:pt idx="88">
                  <c:v>-291.5</c:v>
                </c:pt>
                <c:pt idx="89">
                  <c:v>-289.7</c:v>
                </c:pt>
                <c:pt idx="90">
                  <c:v>-288</c:v>
                </c:pt>
                <c:pt idx="91">
                  <c:v>-286.7</c:v>
                </c:pt>
                <c:pt idx="92">
                  <c:v>-285.8</c:v>
                </c:pt>
                <c:pt idx="93">
                  <c:v>-284.8</c:v>
                </c:pt>
                <c:pt idx="94">
                  <c:v>-282.7</c:v>
                </c:pt>
                <c:pt idx="95">
                  <c:v>-280.3</c:v>
                </c:pt>
                <c:pt idx="96">
                  <c:v>-277.89999999999998</c:v>
                </c:pt>
                <c:pt idx="97">
                  <c:v>-275.2</c:v>
                </c:pt>
                <c:pt idx="98">
                  <c:v>-272.5</c:v>
                </c:pt>
                <c:pt idx="99">
                  <c:v>-269.89999999999998</c:v>
                </c:pt>
                <c:pt idx="100">
                  <c:v>-267.3</c:v>
                </c:pt>
                <c:pt idx="101">
                  <c:v>-264.8</c:v>
                </c:pt>
                <c:pt idx="102">
                  <c:v>-263.2</c:v>
                </c:pt>
                <c:pt idx="103">
                  <c:v>-262.3</c:v>
                </c:pt>
                <c:pt idx="104">
                  <c:v>-261.8</c:v>
                </c:pt>
                <c:pt idx="105">
                  <c:v>-261.2</c:v>
                </c:pt>
                <c:pt idx="106">
                  <c:v>-259.89999999999998</c:v>
                </c:pt>
                <c:pt idx="107">
                  <c:v>-258</c:v>
                </c:pt>
                <c:pt idx="108">
                  <c:v>-255.7</c:v>
                </c:pt>
                <c:pt idx="109">
                  <c:v>-253.1</c:v>
                </c:pt>
                <c:pt idx="110">
                  <c:v>-250.4</c:v>
                </c:pt>
                <c:pt idx="111">
                  <c:v>-248</c:v>
                </c:pt>
                <c:pt idx="112">
                  <c:v>-246.4</c:v>
                </c:pt>
                <c:pt idx="113">
                  <c:v>-246</c:v>
                </c:pt>
                <c:pt idx="114">
                  <c:v>-246.1</c:v>
                </c:pt>
                <c:pt idx="115">
                  <c:v>-246.6</c:v>
                </c:pt>
                <c:pt idx="116">
                  <c:v>-247.2</c:v>
                </c:pt>
                <c:pt idx="117">
                  <c:v>-247.3</c:v>
                </c:pt>
                <c:pt idx="118">
                  <c:v>-246.5</c:v>
                </c:pt>
                <c:pt idx="119">
                  <c:v>-245.2</c:v>
                </c:pt>
                <c:pt idx="120">
                  <c:v>-243.6</c:v>
                </c:pt>
                <c:pt idx="121">
                  <c:v>-241.8</c:v>
                </c:pt>
                <c:pt idx="122">
                  <c:v>-240.2</c:v>
                </c:pt>
                <c:pt idx="123">
                  <c:v>-239</c:v>
                </c:pt>
                <c:pt idx="124">
                  <c:v>-238.3</c:v>
                </c:pt>
                <c:pt idx="125">
                  <c:v>-238.3</c:v>
                </c:pt>
                <c:pt idx="126">
                  <c:v>-238.4</c:v>
                </c:pt>
                <c:pt idx="127">
                  <c:v>-237.7</c:v>
                </c:pt>
                <c:pt idx="128">
                  <c:v>-236.1</c:v>
                </c:pt>
                <c:pt idx="129">
                  <c:v>-234.4</c:v>
                </c:pt>
                <c:pt idx="130">
                  <c:v>-232.6</c:v>
                </c:pt>
                <c:pt idx="131">
                  <c:v>-231</c:v>
                </c:pt>
                <c:pt idx="132">
                  <c:v>-229.4</c:v>
                </c:pt>
                <c:pt idx="133">
                  <c:v>-227.6</c:v>
                </c:pt>
                <c:pt idx="134">
                  <c:v>-226</c:v>
                </c:pt>
                <c:pt idx="135">
                  <c:v>-224.5</c:v>
                </c:pt>
                <c:pt idx="136">
                  <c:v>-223.3</c:v>
                </c:pt>
                <c:pt idx="137">
                  <c:v>-222.6</c:v>
                </c:pt>
                <c:pt idx="138">
                  <c:v>-222</c:v>
                </c:pt>
                <c:pt idx="139">
                  <c:v>-221.3</c:v>
                </c:pt>
                <c:pt idx="140">
                  <c:v>-220.1</c:v>
                </c:pt>
                <c:pt idx="141">
                  <c:v>-218.1</c:v>
                </c:pt>
                <c:pt idx="142">
                  <c:v>-215.3</c:v>
                </c:pt>
                <c:pt idx="143">
                  <c:v>-212.4</c:v>
                </c:pt>
                <c:pt idx="144">
                  <c:v>-209.5</c:v>
                </c:pt>
                <c:pt idx="145">
                  <c:v>-206.6</c:v>
                </c:pt>
                <c:pt idx="146">
                  <c:v>-203.5</c:v>
                </c:pt>
                <c:pt idx="147">
                  <c:v>-200.7</c:v>
                </c:pt>
                <c:pt idx="148">
                  <c:v>-198.6</c:v>
                </c:pt>
                <c:pt idx="149">
                  <c:v>-196.7</c:v>
                </c:pt>
                <c:pt idx="150">
                  <c:v>-194.4</c:v>
                </c:pt>
                <c:pt idx="151">
                  <c:v>-191.1</c:v>
                </c:pt>
                <c:pt idx="152">
                  <c:v>-187.1</c:v>
                </c:pt>
                <c:pt idx="153">
                  <c:v>-182</c:v>
                </c:pt>
                <c:pt idx="154">
                  <c:v>-175.8</c:v>
                </c:pt>
                <c:pt idx="155">
                  <c:v>-169.7</c:v>
                </c:pt>
                <c:pt idx="156">
                  <c:v>-164.4</c:v>
                </c:pt>
                <c:pt idx="157">
                  <c:v>-159.80000000000001</c:v>
                </c:pt>
                <c:pt idx="158">
                  <c:v>-155.69999999999999</c:v>
                </c:pt>
                <c:pt idx="159">
                  <c:v>-151.9</c:v>
                </c:pt>
                <c:pt idx="160">
                  <c:v>-148.4</c:v>
                </c:pt>
                <c:pt idx="161">
                  <c:v>-145</c:v>
                </c:pt>
                <c:pt idx="162">
                  <c:v>-141.6</c:v>
                </c:pt>
                <c:pt idx="163">
                  <c:v>-137.6</c:v>
                </c:pt>
                <c:pt idx="164">
                  <c:v>-132.4</c:v>
                </c:pt>
                <c:pt idx="165">
                  <c:v>-126.1</c:v>
                </c:pt>
                <c:pt idx="166">
                  <c:v>-118</c:v>
                </c:pt>
                <c:pt idx="167">
                  <c:v>-105.5</c:v>
                </c:pt>
                <c:pt idx="168">
                  <c:v>-84</c:v>
                </c:pt>
                <c:pt idx="169">
                  <c:v>-47.2</c:v>
                </c:pt>
                <c:pt idx="170">
                  <c:v>-1.5</c:v>
                </c:pt>
                <c:pt idx="171">
                  <c:v>46.9</c:v>
                </c:pt>
                <c:pt idx="172">
                  <c:v>161.69999999999999</c:v>
                </c:pt>
                <c:pt idx="173">
                  <c:v>394.7</c:v>
                </c:pt>
                <c:pt idx="174">
                  <c:v>556.79999999999995</c:v>
                </c:pt>
                <c:pt idx="175">
                  <c:v>655.5</c:v>
                </c:pt>
                <c:pt idx="176">
                  <c:v>719.4</c:v>
                </c:pt>
                <c:pt idx="177">
                  <c:v>769.5</c:v>
                </c:pt>
                <c:pt idx="178">
                  <c:v>808</c:v>
                </c:pt>
                <c:pt idx="179">
                  <c:v>837</c:v>
                </c:pt>
                <c:pt idx="180">
                  <c:v>860</c:v>
                </c:pt>
                <c:pt idx="181">
                  <c:v>875.3</c:v>
                </c:pt>
                <c:pt idx="182">
                  <c:v>885.5</c:v>
                </c:pt>
                <c:pt idx="183">
                  <c:v>894.3</c:v>
                </c:pt>
                <c:pt idx="184">
                  <c:v>909.4</c:v>
                </c:pt>
                <c:pt idx="185">
                  <c:v>925.7</c:v>
                </c:pt>
                <c:pt idx="186">
                  <c:v>939.6</c:v>
                </c:pt>
                <c:pt idx="187">
                  <c:v>945.2</c:v>
                </c:pt>
                <c:pt idx="188">
                  <c:v>947.6</c:v>
                </c:pt>
                <c:pt idx="189">
                  <c:v>949.7</c:v>
                </c:pt>
                <c:pt idx="190">
                  <c:v>953.7</c:v>
                </c:pt>
                <c:pt idx="191">
                  <c:v>957.2</c:v>
                </c:pt>
                <c:pt idx="192">
                  <c:v>956.4</c:v>
                </c:pt>
                <c:pt idx="193">
                  <c:v>939.7</c:v>
                </c:pt>
                <c:pt idx="194">
                  <c:v>905</c:v>
                </c:pt>
                <c:pt idx="195">
                  <c:v>865.6</c:v>
                </c:pt>
                <c:pt idx="196">
                  <c:v>814.9</c:v>
                </c:pt>
                <c:pt idx="197">
                  <c:v>751.5</c:v>
                </c:pt>
                <c:pt idx="198">
                  <c:v>690.2</c:v>
                </c:pt>
                <c:pt idx="199">
                  <c:v>631.70000000000005</c:v>
                </c:pt>
                <c:pt idx="200">
                  <c:v>572.1</c:v>
                </c:pt>
                <c:pt idx="201">
                  <c:v>502.2</c:v>
                </c:pt>
                <c:pt idx="202">
                  <c:v>403.4</c:v>
                </c:pt>
                <c:pt idx="203">
                  <c:v>285.3</c:v>
                </c:pt>
                <c:pt idx="204">
                  <c:v>175.9</c:v>
                </c:pt>
                <c:pt idx="205">
                  <c:v>96.4</c:v>
                </c:pt>
                <c:pt idx="206">
                  <c:v>46.5</c:v>
                </c:pt>
                <c:pt idx="207">
                  <c:v>17.899999999999999</c:v>
                </c:pt>
                <c:pt idx="208">
                  <c:v>3.6</c:v>
                </c:pt>
                <c:pt idx="209">
                  <c:v>-2.4</c:v>
                </c:pt>
                <c:pt idx="210">
                  <c:v>-5.6</c:v>
                </c:pt>
                <c:pt idx="211">
                  <c:v>-8.1</c:v>
                </c:pt>
                <c:pt idx="212">
                  <c:v>-10.1</c:v>
                </c:pt>
                <c:pt idx="213">
                  <c:v>-11.7</c:v>
                </c:pt>
                <c:pt idx="214">
                  <c:v>-13.1</c:v>
                </c:pt>
                <c:pt idx="215">
                  <c:v>-14.1</c:v>
                </c:pt>
                <c:pt idx="216">
                  <c:v>-15.1</c:v>
                </c:pt>
                <c:pt idx="217">
                  <c:v>-15.8</c:v>
                </c:pt>
                <c:pt idx="218">
                  <c:v>-16.5</c:v>
                </c:pt>
                <c:pt idx="219">
                  <c:v>-17</c:v>
                </c:pt>
                <c:pt idx="220">
                  <c:v>-17.5</c:v>
                </c:pt>
                <c:pt idx="221">
                  <c:v>-18</c:v>
                </c:pt>
                <c:pt idx="222">
                  <c:v>-18.399999999999999</c:v>
                </c:pt>
                <c:pt idx="223">
                  <c:v>-18.7</c:v>
                </c:pt>
                <c:pt idx="224">
                  <c:v>-19</c:v>
                </c:pt>
                <c:pt idx="225">
                  <c:v>-19.3</c:v>
                </c:pt>
                <c:pt idx="226">
                  <c:v>-19.5</c:v>
                </c:pt>
                <c:pt idx="227">
                  <c:v>-19.8</c:v>
                </c:pt>
                <c:pt idx="228">
                  <c:v>-20</c:v>
                </c:pt>
                <c:pt idx="229">
                  <c:v>-20.2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11-4D41-9E86-DFB3D065D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694680"/>
        <c:axId val="719693960"/>
      </c:scatterChart>
      <c:valAx>
        <c:axId val="71969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93960"/>
        <c:crosses val="autoZero"/>
        <c:crossBetween val="midCat"/>
      </c:valAx>
      <c:valAx>
        <c:axId val="71969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94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HX711 Pressure Measurements - Ripper Right Pressure 100ml </a:t>
            </a:r>
            <a:r>
              <a:rPr lang="en-GB" sz="1400" b="0" i="0" u="none" strike="noStrike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'100ml'!$CG$3:$CG$168</c:f>
              <c:numCache>
                <c:formatCode>General</c:formatCode>
                <c:ptCount val="1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</c:numCache>
            </c:numRef>
          </c:xVal>
          <c:yVal>
            <c:numRef>
              <c:f>'100ml'!$CH$3:$CH$168</c:f>
              <c:numCache>
                <c:formatCode>General</c:formatCode>
                <c:ptCount val="166"/>
                <c:pt idx="0">
                  <c:v>2.8</c:v>
                </c:pt>
                <c:pt idx="1">
                  <c:v>3.7</c:v>
                </c:pt>
                <c:pt idx="2">
                  <c:v>4.9000000000000004</c:v>
                </c:pt>
                <c:pt idx="3">
                  <c:v>6.6</c:v>
                </c:pt>
                <c:pt idx="4">
                  <c:v>8.3000000000000007</c:v>
                </c:pt>
                <c:pt idx="5">
                  <c:v>9.6999999999999993</c:v>
                </c:pt>
                <c:pt idx="6">
                  <c:v>11.1</c:v>
                </c:pt>
                <c:pt idx="7">
                  <c:v>12.3</c:v>
                </c:pt>
                <c:pt idx="8">
                  <c:v>13.5</c:v>
                </c:pt>
                <c:pt idx="9">
                  <c:v>14.8</c:v>
                </c:pt>
                <c:pt idx="10">
                  <c:v>16.3</c:v>
                </c:pt>
                <c:pt idx="11">
                  <c:v>18.5</c:v>
                </c:pt>
                <c:pt idx="12">
                  <c:v>22.3</c:v>
                </c:pt>
                <c:pt idx="13">
                  <c:v>28.4</c:v>
                </c:pt>
                <c:pt idx="14">
                  <c:v>36.200000000000003</c:v>
                </c:pt>
                <c:pt idx="15">
                  <c:v>44.5</c:v>
                </c:pt>
                <c:pt idx="16">
                  <c:v>53</c:v>
                </c:pt>
                <c:pt idx="17">
                  <c:v>61.9</c:v>
                </c:pt>
                <c:pt idx="18">
                  <c:v>71.5</c:v>
                </c:pt>
                <c:pt idx="19">
                  <c:v>80.7</c:v>
                </c:pt>
                <c:pt idx="20">
                  <c:v>89.8</c:v>
                </c:pt>
                <c:pt idx="21">
                  <c:v>113.4</c:v>
                </c:pt>
                <c:pt idx="22">
                  <c:v>178.5</c:v>
                </c:pt>
                <c:pt idx="23">
                  <c:v>241</c:v>
                </c:pt>
                <c:pt idx="24">
                  <c:v>290.8</c:v>
                </c:pt>
                <c:pt idx="25">
                  <c:v>337.9</c:v>
                </c:pt>
                <c:pt idx="26">
                  <c:v>379.2</c:v>
                </c:pt>
                <c:pt idx="27">
                  <c:v>414.7</c:v>
                </c:pt>
                <c:pt idx="28">
                  <c:v>446.9</c:v>
                </c:pt>
                <c:pt idx="29">
                  <c:v>473</c:v>
                </c:pt>
                <c:pt idx="30">
                  <c:v>488.4</c:v>
                </c:pt>
                <c:pt idx="31">
                  <c:v>496.2</c:v>
                </c:pt>
                <c:pt idx="32">
                  <c:v>505.4</c:v>
                </c:pt>
                <c:pt idx="33">
                  <c:v>521.5</c:v>
                </c:pt>
                <c:pt idx="34">
                  <c:v>543.20000000000005</c:v>
                </c:pt>
                <c:pt idx="35">
                  <c:v>561</c:v>
                </c:pt>
                <c:pt idx="36">
                  <c:v>571.6</c:v>
                </c:pt>
                <c:pt idx="37">
                  <c:v>578.4</c:v>
                </c:pt>
                <c:pt idx="38">
                  <c:v>588.20000000000005</c:v>
                </c:pt>
                <c:pt idx="39">
                  <c:v>605.1</c:v>
                </c:pt>
                <c:pt idx="40">
                  <c:v>620.70000000000005</c:v>
                </c:pt>
                <c:pt idx="41">
                  <c:v>632.70000000000005</c:v>
                </c:pt>
                <c:pt idx="42">
                  <c:v>641.5</c:v>
                </c:pt>
                <c:pt idx="43">
                  <c:v>647</c:v>
                </c:pt>
                <c:pt idx="44">
                  <c:v>651.1</c:v>
                </c:pt>
                <c:pt idx="45">
                  <c:v>655.8</c:v>
                </c:pt>
                <c:pt idx="46">
                  <c:v>657.2</c:v>
                </c:pt>
                <c:pt idx="47">
                  <c:v>653.70000000000005</c:v>
                </c:pt>
                <c:pt idx="48">
                  <c:v>653.1</c:v>
                </c:pt>
                <c:pt idx="49">
                  <c:v>656.7</c:v>
                </c:pt>
                <c:pt idx="50">
                  <c:v>660.5</c:v>
                </c:pt>
                <c:pt idx="51">
                  <c:v>666.4</c:v>
                </c:pt>
                <c:pt idx="52">
                  <c:v>671.3</c:v>
                </c:pt>
                <c:pt idx="53">
                  <c:v>676.9</c:v>
                </c:pt>
                <c:pt idx="54">
                  <c:v>681.4</c:v>
                </c:pt>
                <c:pt idx="55">
                  <c:v>686.6</c:v>
                </c:pt>
                <c:pt idx="56">
                  <c:v>689.9</c:v>
                </c:pt>
                <c:pt idx="57">
                  <c:v>688.5</c:v>
                </c:pt>
                <c:pt idx="58">
                  <c:v>687.5</c:v>
                </c:pt>
                <c:pt idx="59">
                  <c:v>690.5</c:v>
                </c:pt>
                <c:pt idx="60">
                  <c:v>690.3</c:v>
                </c:pt>
                <c:pt idx="61">
                  <c:v>689.3</c:v>
                </c:pt>
                <c:pt idx="62">
                  <c:v>692.7</c:v>
                </c:pt>
                <c:pt idx="63">
                  <c:v>700.8</c:v>
                </c:pt>
                <c:pt idx="64">
                  <c:v>709.3</c:v>
                </c:pt>
                <c:pt idx="65">
                  <c:v>707.5</c:v>
                </c:pt>
                <c:pt idx="66">
                  <c:v>708.2</c:v>
                </c:pt>
                <c:pt idx="67">
                  <c:v>724.8</c:v>
                </c:pt>
                <c:pt idx="68">
                  <c:v>745.7</c:v>
                </c:pt>
                <c:pt idx="69">
                  <c:v>725.5</c:v>
                </c:pt>
                <c:pt idx="70">
                  <c:v>659.5</c:v>
                </c:pt>
                <c:pt idx="71">
                  <c:v>589</c:v>
                </c:pt>
                <c:pt idx="72">
                  <c:v>521.4</c:v>
                </c:pt>
                <c:pt idx="73">
                  <c:v>456.6</c:v>
                </c:pt>
                <c:pt idx="74">
                  <c:v>386.6</c:v>
                </c:pt>
                <c:pt idx="75">
                  <c:v>293.39999999999998</c:v>
                </c:pt>
                <c:pt idx="76">
                  <c:v>199.1</c:v>
                </c:pt>
                <c:pt idx="77">
                  <c:v>150.19999999999999</c:v>
                </c:pt>
                <c:pt idx="78">
                  <c:v>131.69999999999999</c:v>
                </c:pt>
                <c:pt idx="79">
                  <c:v>121.1</c:v>
                </c:pt>
                <c:pt idx="80">
                  <c:v>114.8</c:v>
                </c:pt>
                <c:pt idx="81">
                  <c:v>110.5</c:v>
                </c:pt>
                <c:pt idx="82">
                  <c:v>107.3</c:v>
                </c:pt>
                <c:pt idx="83">
                  <c:v>104.8</c:v>
                </c:pt>
                <c:pt idx="84">
                  <c:v>102.8</c:v>
                </c:pt>
                <c:pt idx="85">
                  <c:v>101.3</c:v>
                </c:pt>
                <c:pt idx="86">
                  <c:v>100</c:v>
                </c:pt>
                <c:pt idx="87">
                  <c:v>98.9</c:v>
                </c:pt>
                <c:pt idx="88">
                  <c:v>97.9</c:v>
                </c:pt>
                <c:pt idx="89">
                  <c:v>97.2</c:v>
                </c:pt>
                <c:pt idx="90">
                  <c:v>96.5</c:v>
                </c:pt>
                <c:pt idx="91">
                  <c:v>95.9</c:v>
                </c:pt>
                <c:pt idx="92">
                  <c:v>95.3</c:v>
                </c:pt>
                <c:pt idx="93">
                  <c:v>94.8</c:v>
                </c:pt>
                <c:pt idx="94">
                  <c:v>94.3</c:v>
                </c:pt>
                <c:pt idx="95">
                  <c:v>93.8</c:v>
                </c:pt>
                <c:pt idx="96">
                  <c:v>93.5</c:v>
                </c:pt>
                <c:pt idx="97">
                  <c:v>93.2</c:v>
                </c:pt>
                <c:pt idx="98">
                  <c:v>92.8</c:v>
                </c:pt>
                <c:pt idx="99">
                  <c:v>92.5</c:v>
                </c:pt>
                <c:pt idx="100">
                  <c:v>92.3</c:v>
                </c:pt>
                <c:pt idx="101">
                  <c:v>92.1</c:v>
                </c:pt>
                <c:pt idx="102">
                  <c:v>91.9</c:v>
                </c:pt>
                <c:pt idx="103">
                  <c:v>91.7</c:v>
                </c:pt>
                <c:pt idx="104">
                  <c:v>91.5</c:v>
                </c:pt>
                <c:pt idx="105">
                  <c:v>91.3</c:v>
                </c:pt>
                <c:pt idx="106">
                  <c:v>91.2</c:v>
                </c:pt>
                <c:pt idx="107">
                  <c:v>91</c:v>
                </c:pt>
                <c:pt idx="108">
                  <c:v>90.9</c:v>
                </c:pt>
                <c:pt idx="109">
                  <c:v>90.8</c:v>
                </c:pt>
                <c:pt idx="110">
                  <c:v>90.7</c:v>
                </c:pt>
                <c:pt idx="111">
                  <c:v>90.6</c:v>
                </c:pt>
                <c:pt idx="112">
                  <c:v>90.5</c:v>
                </c:pt>
                <c:pt idx="113">
                  <c:v>90.5</c:v>
                </c:pt>
                <c:pt idx="114">
                  <c:v>90.4</c:v>
                </c:pt>
                <c:pt idx="115">
                  <c:v>90.3</c:v>
                </c:pt>
                <c:pt idx="116">
                  <c:v>90.3</c:v>
                </c:pt>
                <c:pt idx="117">
                  <c:v>90.2</c:v>
                </c:pt>
                <c:pt idx="118">
                  <c:v>90.2</c:v>
                </c:pt>
                <c:pt idx="119">
                  <c:v>90.1</c:v>
                </c:pt>
                <c:pt idx="120">
                  <c:v>90.1</c:v>
                </c:pt>
                <c:pt idx="121">
                  <c:v>90.1</c:v>
                </c:pt>
                <c:pt idx="122">
                  <c:v>90.1</c:v>
                </c:pt>
                <c:pt idx="123">
                  <c:v>90</c:v>
                </c:pt>
                <c:pt idx="124">
                  <c:v>89.9</c:v>
                </c:pt>
                <c:pt idx="125">
                  <c:v>89.9</c:v>
                </c:pt>
                <c:pt idx="126">
                  <c:v>89.9</c:v>
                </c:pt>
                <c:pt idx="127">
                  <c:v>89.9</c:v>
                </c:pt>
                <c:pt idx="128">
                  <c:v>89.9</c:v>
                </c:pt>
                <c:pt idx="129">
                  <c:v>89.9</c:v>
                </c:pt>
                <c:pt idx="130">
                  <c:v>89.9</c:v>
                </c:pt>
                <c:pt idx="131">
                  <c:v>89.9</c:v>
                </c:pt>
                <c:pt idx="132">
                  <c:v>89.9</c:v>
                </c:pt>
                <c:pt idx="133">
                  <c:v>89.9</c:v>
                </c:pt>
                <c:pt idx="134">
                  <c:v>89.9</c:v>
                </c:pt>
                <c:pt idx="135">
                  <c:v>89.9</c:v>
                </c:pt>
                <c:pt idx="136">
                  <c:v>89.9</c:v>
                </c:pt>
                <c:pt idx="137">
                  <c:v>89.9</c:v>
                </c:pt>
                <c:pt idx="138">
                  <c:v>89.9</c:v>
                </c:pt>
                <c:pt idx="139">
                  <c:v>89.9</c:v>
                </c:pt>
                <c:pt idx="140">
                  <c:v>89.9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  <c:pt idx="145">
                  <c:v>90</c:v>
                </c:pt>
                <c:pt idx="146">
                  <c:v>90</c:v>
                </c:pt>
                <c:pt idx="147">
                  <c:v>90</c:v>
                </c:pt>
                <c:pt idx="148">
                  <c:v>90</c:v>
                </c:pt>
                <c:pt idx="149">
                  <c:v>90</c:v>
                </c:pt>
                <c:pt idx="150">
                  <c:v>90.1</c:v>
                </c:pt>
                <c:pt idx="151">
                  <c:v>90.1</c:v>
                </c:pt>
                <c:pt idx="152">
                  <c:v>90.1</c:v>
                </c:pt>
                <c:pt idx="153">
                  <c:v>90.1</c:v>
                </c:pt>
                <c:pt idx="154">
                  <c:v>90.1</c:v>
                </c:pt>
                <c:pt idx="155">
                  <c:v>90.1</c:v>
                </c:pt>
                <c:pt idx="156">
                  <c:v>90.1</c:v>
                </c:pt>
                <c:pt idx="157">
                  <c:v>90.1</c:v>
                </c:pt>
                <c:pt idx="158">
                  <c:v>90.1</c:v>
                </c:pt>
                <c:pt idx="159">
                  <c:v>90.1</c:v>
                </c:pt>
                <c:pt idx="160">
                  <c:v>90.2</c:v>
                </c:pt>
                <c:pt idx="161">
                  <c:v>90.2</c:v>
                </c:pt>
                <c:pt idx="162">
                  <c:v>90.2</c:v>
                </c:pt>
                <c:pt idx="163">
                  <c:v>90.2</c:v>
                </c:pt>
                <c:pt idx="164">
                  <c:v>90.2</c:v>
                </c:pt>
                <c:pt idx="165">
                  <c:v>90.2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9-4094-9D41-9CCDDC53465B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'100ml'!$CG$3:$CG$168</c:f>
              <c:numCache>
                <c:formatCode>General</c:formatCode>
                <c:ptCount val="1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</c:numCache>
            </c:numRef>
          </c:xVal>
          <c:yVal>
            <c:numRef>
              <c:f>'100ml'!$CI$3:$CI$168</c:f>
              <c:numCache>
                <c:formatCode>General</c:formatCode>
                <c:ptCount val="166"/>
                <c:pt idx="0">
                  <c:v>1.1000000000000001</c:v>
                </c:pt>
                <c:pt idx="1">
                  <c:v>1.3</c:v>
                </c:pt>
                <c:pt idx="2">
                  <c:v>1.5</c:v>
                </c:pt>
                <c:pt idx="3">
                  <c:v>1.6</c:v>
                </c:pt>
                <c:pt idx="4">
                  <c:v>1.7</c:v>
                </c:pt>
                <c:pt idx="5">
                  <c:v>1.7</c:v>
                </c:pt>
                <c:pt idx="6">
                  <c:v>1.7</c:v>
                </c:pt>
                <c:pt idx="7">
                  <c:v>1.6</c:v>
                </c:pt>
                <c:pt idx="8">
                  <c:v>1.7</c:v>
                </c:pt>
                <c:pt idx="9">
                  <c:v>1.9</c:v>
                </c:pt>
                <c:pt idx="10">
                  <c:v>2.5</c:v>
                </c:pt>
                <c:pt idx="11">
                  <c:v>3.6</c:v>
                </c:pt>
                <c:pt idx="12">
                  <c:v>5.3</c:v>
                </c:pt>
                <c:pt idx="13">
                  <c:v>7.3</c:v>
                </c:pt>
                <c:pt idx="14">
                  <c:v>9.6999999999999993</c:v>
                </c:pt>
                <c:pt idx="15">
                  <c:v>12.6</c:v>
                </c:pt>
                <c:pt idx="16">
                  <c:v>15.4</c:v>
                </c:pt>
                <c:pt idx="17">
                  <c:v>17.899999999999999</c:v>
                </c:pt>
                <c:pt idx="18">
                  <c:v>20.3</c:v>
                </c:pt>
                <c:pt idx="19">
                  <c:v>23.6</c:v>
                </c:pt>
                <c:pt idx="20">
                  <c:v>28.9</c:v>
                </c:pt>
                <c:pt idx="21">
                  <c:v>37.9</c:v>
                </c:pt>
                <c:pt idx="22">
                  <c:v>54.2</c:v>
                </c:pt>
                <c:pt idx="23">
                  <c:v>73.8</c:v>
                </c:pt>
                <c:pt idx="24">
                  <c:v>110</c:v>
                </c:pt>
                <c:pt idx="25">
                  <c:v>183.9</c:v>
                </c:pt>
                <c:pt idx="26">
                  <c:v>245.7</c:v>
                </c:pt>
                <c:pt idx="27">
                  <c:v>306</c:v>
                </c:pt>
                <c:pt idx="28">
                  <c:v>370.1</c:v>
                </c:pt>
                <c:pt idx="29">
                  <c:v>428.8</c:v>
                </c:pt>
                <c:pt idx="30">
                  <c:v>478.4</c:v>
                </c:pt>
                <c:pt idx="31">
                  <c:v>518.9</c:v>
                </c:pt>
                <c:pt idx="32">
                  <c:v>548.1</c:v>
                </c:pt>
                <c:pt idx="33">
                  <c:v>567.70000000000005</c:v>
                </c:pt>
                <c:pt idx="34">
                  <c:v>583.1</c:v>
                </c:pt>
                <c:pt idx="35">
                  <c:v>593.20000000000005</c:v>
                </c:pt>
                <c:pt idx="36">
                  <c:v>596.9</c:v>
                </c:pt>
                <c:pt idx="37">
                  <c:v>598.79999999999995</c:v>
                </c:pt>
                <c:pt idx="38">
                  <c:v>598.20000000000005</c:v>
                </c:pt>
                <c:pt idx="39">
                  <c:v>596.4</c:v>
                </c:pt>
                <c:pt idx="40">
                  <c:v>598.1</c:v>
                </c:pt>
                <c:pt idx="41">
                  <c:v>603.4</c:v>
                </c:pt>
                <c:pt idx="42">
                  <c:v>605.9</c:v>
                </c:pt>
                <c:pt idx="43">
                  <c:v>603</c:v>
                </c:pt>
                <c:pt idx="44">
                  <c:v>601.6</c:v>
                </c:pt>
                <c:pt idx="45">
                  <c:v>604.5</c:v>
                </c:pt>
                <c:pt idx="46">
                  <c:v>612.6</c:v>
                </c:pt>
                <c:pt idx="47">
                  <c:v>621.79999999999995</c:v>
                </c:pt>
                <c:pt idx="48">
                  <c:v>630</c:v>
                </c:pt>
                <c:pt idx="49">
                  <c:v>638.9</c:v>
                </c:pt>
                <c:pt idx="50">
                  <c:v>647.70000000000005</c:v>
                </c:pt>
                <c:pt idx="51">
                  <c:v>657.7</c:v>
                </c:pt>
                <c:pt idx="52">
                  <c:v>673.1</c:v>
                </c:pt>
                <c:pt idx="53">
                  <c:v>694.9</c:v>
                </c:pt>
                <c:pt idx="54">
                  <c:v>716.4</c:v>
                </c:pt>
                <c:pt idx="55">
                  <c:v>735.5</c:v>
                </c:pt>
                <c:pt idx="56">
                  <c:v>764.9</c:v>
                </c:pt>
                <c:pt idx="57">
                  <c:v>798.9</c:v>
                </c:pt>
                <c:pt idx="58">
                  <c:v>831.1</c:v>
                </c:pt>
                <c:pt idx="59">
                  <c:v>863.1</c:v>
                </c:pt>
                <c:pt idx="60">
                  <c:v>891.3</c:v>
                </c:pt>
                <c:pt idx="61">
                  <c:v>929.4</c:v>
                </c:pt>
                <c:pt idx="62">
                  <c:v>975</c:v>
                </c:pt>
                <c:pt idx="63">
                  <c:v>986.7</c:v>
                </c:pt>
                <c:pt idx="64">
                  <c:v>918.2</c:v>
                </c:pt>
                <c:pt idx="65">
                  <c:v>839.3</c:v>
                </c:pt>
                <c:pt idx="66">
                  <c:v>767.2</c:v>
                </c:pt>
                <c:pt idx="67">
                  <c:v>669.1</c:v>
                </c:pt>
                <c:pt idx="68">
                  <c:v>507.5</c:v>
                </c:pt>
                <c:pt idx="69">
                  <c:v>358.7</c:v>
                </c:pt>
                <c:pt idx="70">
                  <c:v>254.7</c:v>
                </c:pt>
                <c:pt idx="71">
                  <c:v>183.8</c:v>
                </c:pt>
                <c:pt idx="72">
                  <c:v>137.19999999999999</c:v>
                </c:pt>
                <c:pt idx="73">
                  <c:v>110.5</c:v>
                </c:pt>
                <c:pt idx="74">
                  <c:v>98.4</c:v>
                </c:pt>
                <c:pt idx="75">
                  <c:v>92.3</c:v>
                </c:pt>
                <c:pt idx="76">
                  <c:v>88.2</c:v>
                </c:pt>
                <c:pt idx="77">
                  <c:v>85.4</c:v>
                </c:pt>
                <c:pt idx="78">
                  <c:v>82.8</c:v>
                </c:pt>
                <c:pt idx="79">
                  <c:v>80.3</c:v>
                </c:pt>
                <c:pt idx="80">
                  <c:v>77.7</c:v>
                </c:pt>
                <c:pt idx="81">
                  <c:v>75.400000000000006</c:v>
                </c:pt>
                <c:pt idx="82">
                  <c:v>73.7</c:v>
                </c:pt>
                <c:pt idx="83">
                  <c:v>72.3</c:v>
                </c:pt>
                <c:pt idx="84">
                  <c:v>71.3</c:v>
                </c:pt>
                <c:pt idx="85">
                  <c:v>70.400000000000006</c:v>
                </c:pt>
                <c:pt idx="86">
                  <c:v>69.7</c:v>
                </c:pt>
                <c:pt idx="87">
                  <c:v>69.099999999999994</c:v>
                </c:pt>
                <c:pt idx="88">
                  <c:v>68.599999999999994</c:v>
                </c:pt>
                <c:pt idx="89">
                  <c:v>68.099999999999994</c:v>
                </c:pt>
                <c:pt idx="90">
                  <c:v>67.7</c:v>
                </c:pt>
                <c:pt idx="91">
                  <c:v>67.3</c:v>
                </c:pt>
                <c:pt idx="92">
                  <c:v>67</c:v>
                </c:pt>
                <c:pt idx="93">
                  <c:v>66.7</c:v>
                </c:pt>
                <c:pt idx="94">
                  <c:v>66.400000000000006</c:v>
                </c:pt>
                <c:pt idx="95">
                  <c:v>66.2</c:v>
                </c:pt>
                <c:pt idx="96">
                  <c:v>65.900000000000006</c:v>
                </c:pt>
                <c:pt idx="97">
                  <c:v>65.7</c:v>
                </c:pt>
                <c:pt idx="98">
                  <c:v>65.599999999999994</c:v>
                </c:pt>
                <c:pt idx="99">
                  <c:v>65.400000000000006</c:v>
                </c:pt>
                <c:pt idx="100">
                  <c:v>65.3</c:v>
                </c:pt>
                <c:pt idx="101">
                  <c:v>65.099999999999994</c:v>
                </c:pt>
                <c:pt idx="102">
                  <c:v>65</c:v>
                </c:pt>
                <c:pt idx="103">
                  <c:v>65</c:v>
                </c:pt>
                <c:pt idx="104">
                  <c:v>64.900000000000006</c:v>
                </c:pt>
                <c:pt idx="105">
                  <c:v>64.8</c:v>
                </c:pt>
                <c:pt idx="106">
                  <c:v>64.7</c:v>
                </c:pt>
                <c:pt idx="107">
                  <c:v>64.7</c:v>
                </c:pt>
                <c:pt idx="108">
                  <c:v>64.7</c:v>
                </c:pt>
                <c:pt idx="109">
                  <c:v>64.599999999999994</c:v>
                </c:pt>
                <c:pt idx="110">
                  <c:v>64.599999999999994</c:v>
                </c:pt>
                <c:pt idx="111">
                  <c:v>64.5</c:v>
                </c:pt>
                <c:pt idx="112">
                  <c:v>64.5</c:v>
                </c:pt>
                <c:pt idx="113">
                  <c:v>64.5</c:v>
                </c:pt>
                <c:pt idx="114">
                  <c:v>64.5</c:v>
                </c:pt>
                <c:pt idx="115">
                  <c:v>64.5</c:v>
                </c:pt>
                <c:pt idx="116">
                  <c:v>64.5</c:v>
                </c:pt>
                <c:pt idx="117">
                  <c:v>64.5</c:v>
                </c:pt>
                <c:pt idx="118">
                  <c:v>64.5</c:v>
                </c:pt>
                <c:pt idx="119">
                  <c:v>64.5</c:v>
                </c:pt>
                <c:pt idx="120">
                  <c:v>64.5</c:v>
                </c:pt>
                <c:pt idx="121">
                  <c:v>64.5</c:v>
                </c:pt>
                <c:pt idx="122">
                  <c:v>64.5</c:v>
                </c:pt>
                <c:pt idx="123">
                  <c:v>64.5</c:v>
                </c:pt>
                <c:pt idx="124">
                  <c:v>64.5</c:v>
                </c:pt>
                <c:pt idx="125">
                  <c:v>64.5</c:v>
                </c:pt>
                <c:pt idx="126">
                  <c:v>64.5</c:v>
                </c:pt>
                <c:pt idx="127">
                  <c:v>64.599999999999994</c:v>
                </c:pt>
                <c:pt idx="128">
                  <c:v>64.599999999999994</c:v>
                </c:pt>
                <c:pt idx="129">
                  <c:v>64.599999999999994</c:v>
                </c:pt>
                <c:pt idx="130">
                  <c:v>64.7</c:v>
                </c:pt>
                <c:pt idx="131">
                  <c:v>64.7</c:v>
                </c:pt>
                <c:pt idx="132">
                  <c:v>64.7</c:v>
                </c:pt>
                <c:pt idx="133">
                  <c:v>64.8</c:v>
                </c:pt>
                <c:pt idx="134">
                  <c:v>64.8</c:v>
                </c:pt>
                <c:pt idx="135">
                  <c:v>64.900000000000006</c:v>
                </c:pt>
                <c:pt idx="136">
                  <c:v>64.900000000000006</c:v>
                </c:pt>
                <c:pt idx="137">
                  <c:v>64.900000000000006</c:v>
                </c:pt>
                <c:pt idx="138">
                  <c:v>64.900000000000006</c:v>
                </c:pt>
                <c:pt idx="139">
                  <c:v>65</c:v>
                </c:pt>
                <c:pt idx="140">
                  <c:v>65</c:v>
                </c:pt>
                <c:pt idx="141">
                  <c:v>65.099999999999994</c:v>
                </c:pt>
                <c:pt idx="142">
                  <c:v>65.099999999999994</c:v>
                </c:pt>
                <c:pt idx="143">
                  <c:v>65.099999999999994</c:v>
                </c:pt>
                <c:pt idx="144">
                  <c:v>65.099999999999994</c:v>
                </c:pt>
                <c:pt idx="145">
                  <c:v>65.099999999999994</c:v>
                </c:pt>
                <c:pt idx="146">
                  <c:v>65.2</c:v>
                </c:pt>
                <c:pt idx="147">
                  <c:v>65.2</c:v>
                </c:pt>
                <c:pt idx="148">
                  <c:v>65.3</c:v>
                </c:pt>
                <c:pt idx="149">
                  <c:v>65.3</c:v>
                </c:pt>
                <c:pt idx="150">
                  <c:v>65.3</c:v>
                </c:pt>
                <c:pt idx="151">
                  <c:v>65.400000000000006</c:v>
                </c:pt>
                <c:pt idx="152">
                  <c:v>65.400000000000006</c:v>
                </c:pt>
                <c:pt idx="153">
                  <c:v>65.5</c:v>
                </c:pt>
                <c:pt idx="154">
                  <c:v>65.5</c:v>
                </c:pt>
                <c:pt idx="155">
                  <c:v>65.5</c:v>
                </c:pt>
                <c:pt idx="156">
                  <c:v>65.599999999999994</c:v>
                </c:pt>
                <c:pt idx="157">
                  <c:v>65.599999999999994</c:v>
                </c:pt>
                <c:pt idx="158">
                  <c:v>65.599999999999994</c:v>
                </c:pt>
                <c:pt idx="159">
                  <c:v>65.7</c:v>
                </c:pt>
                <c:pt idx="160">
                  <c:v>65.7</c:v>
                </c:pt>
                <c:pt idx="161">
                  <c:v>65.7</c:v>
                </c:pt>
                <c:pt idx="162">
                  <c:v>65.8</c:v>
                </c:pt>
                <c:pt idx="163">
                  <c:v>65.8</c:v>
                </c:pt>
                <c:pt idx="164">
                  <c:v>65.8</c:v>
                </c:pt>
                <c:pt idx="165">
                  <c:v>65.900000000000006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9-4094-9D41-9CCDDC53465B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'100ml'!$CG$3:$CG$168</c:f>
              <c:numCache>
                <c:formatCode>General</c:formatCode>
                <c:ptCount val="1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</c:numCache>
            </c:numRef>
          </c:xVal>
          <c:yVal>
            <c:numRef>
              <c:f>'100ml'!$CJ$3:$CJ$168</c:f>
              <c:numCache>
                <c:formatCode>General</c:formatCode>
                <c:ptCount val="166"/>
                <c:pt idx="0">
                  <c:v>3.1</c:v>
                </c:pt>
                <c:pt idx="1">
                  <c:v>3.8</c:v>
                </c:pt>
                <c:pt idx="2">
                  <c:v>4.5</c:v>
                </c:pt>
                <c:pt idx="3">
                  <c:v>5.0999999999999996</c:v>
                </c:pt>
                <c:pt idx="4">
                  <c:v>5.8</c:v>
                </c:pt>
                <c:pt idx="5">
                  <c:v>6.6</c:v>
                </c:pt>
                <c:pt idx="6">
                  <c:v>7.7</c:v>
                </c:pt>
                <c:pt idx="7">
                  <c:v>9.1</c:v>
                </c:pt>
                <c:pt idx="8">
                  <c:v>10.3</c:v>
                </c:pt>
                <c:pt idx="9">
                  <c:v>11.5</c:v>
                </c:pt>
                <c:pt idx="10">
                  <c:v>12.7</c:v>
                </c:pt>
                <c:pt idx="11">
                  <c:v>14.1</c:v>
                </c:pt>
                <c:pt idx="12">
                  <c:v>15.5</c:v>
                </c:pt>
                <c:pt idx="13">
                  <c:v>16.899999999999999</c:v>
                </c:pt>
                <c:pt idx="14">
                  <c:v>19.600000000000001</c:v>
                </c:pt>
                <c:pt idx="15">
                  <c:v>27.8</c:v>
                </c:pt>
                <c:pt idx="16">
                  <c:v>44.2</c:v>
                </c:pt>
                <c:pt idx="17">
                  <c:v>66.3</c:v>
                </c:pt>
                <c:pt idx="18">
                  <c:v>92.9</c:v>
                </c:pt>
                <c:pt idx="19">
                  <c:v>145.30000000000001</c:v>
                </c:pt>
                <c:pt idx="20">
                  <c:v>223.9</c:v>
                </c:pt>
                <c:pt idx="21">
                  <c:v>293.5</c:v>
                </c:pt>
                <c:pt idx="22">
                  <c:v>358.8</c:v>
                </c:pt>
                <c:pt idx="23">
                  <c:v>427.1</c:v>
                </c:pt>
                <c:pt idx="24">
                  <c:v>500.1</c:v>
                </c:pt>
                <c:pt idx="25">
                  <c:v>574.9</c:v>
                </c:pt>
                <c:pt idx="26">
                  <c:v>648.70000000000005</c:v>
                </c:pt>
                <c:pt idx="27">
                  <c:v>712.7</c:v>
                </c:pt>
                <c:pt idx="28">
                  <c:v>764.9</c:v>
                </c:pt>
                <c:pt idx="29">
                  <c:v>816.3</c:v>
                </c:pt>
                <c:pt idx="30">
                  <c:v>861.7</c:v>
                </c:pt>
                <c:pt idx="31">
                  <c:v>891.9</c:v>
                </c:pt>
                <c:pt idx="32">
                  <c:v>906.6</c:v>
                </c:pt>
                <c:pt idx="33">
                  <c:v>919.4</c:v>
                </c:pt>
                <c:pt idx="34">
                  <c:v>937.2</c:v>
                </c:pt>
                <c:pt idx="35">
                  <c:v>954.4</c:v>
                </c:pt>
                <c:pt idx="36">
                  <c:v>965.7</c:v>
                </c:pt>
                <c:pt idx="37">
                  <c:v>966.8</c:v>
                </c:pt>
                <c:pt idx="38">
                  <c:v>957.6</c:v>
                </c:pt>
                <c:pt idx="39">
                  <c:v>953.5</c:v>
                </c:pt>
                <c:pt idx="40">
                  <c:v>972.4</c:v>
                </c:pt>
                <c:pt idx="41">
                  <c:v>994.2</c:v>
                </c:pt>
                <c:pt idx="42">
                  <c:v>1003.7</c:v>
                </c:pt>
                <c:pt idx="43">
                  <c:v>999.6</c:v>
                </c:pt>
                <c:pt idx="44">
                  <c:v>992</c:v>
                </c:pt>
                <c:pt idx="45">
                  <c:v>992</c:v>
                </c:pt>
                <c:pt idx="46">
                  <c:v>1006.2</c:v>
                </c:pt>
                <c:pt idx="47">
                  <c:v>1021.8</c:v>
                </c:pt>
                <c:pt idx="48">
                  <c:v>980.5</c:v>
                </c:pt>
                <c:pt idx="49">
                  <c:v>902.5</c:v>
                </c:pt>
                <c:pt idx="50">
                  <c:v>831.3</c:v>
                </c:pt>
                <c:pt idx="51">
                  <c:v>767</c:v>
                </c:pt>
                <c:pt idx="52">
                  <c:v>700.3</c:v>
                </c:pt>
                <c:pt idx="53">
                  <c:v>602.9</c:v>
                </c:pt>
                <c:pt idx="54">
                  <c:v>458.9</c:v>
                </c:pt>
                <c:pt idx="55">
                  <c:v>313.60000000000002</c:v>
                </c:pt>
                <c:pt idx="56">
                  <c:v>207.8</c:v>
                </c:pt>
                <c:pt idx="57">
                  <c:v>148.4</c:v>
                </c:pt>
                <c:pt idx="58">
                  <c:v>117.4</c:v>
                </c:pt>
                <c:pt idx="59">
                  <c:v>99.5</c:v>
                </c:pt>
                <c:pt idx="60">
                  <c:v>87.9</c:v>
                </c:pt>
                <c:pt idx="61">
                  <c:v>79.8</c:v>
                </c:pt>
                <c:pt idx="62">
                  <c:v>74.2</c:v>
                </c:pt>
                <c:pt idx="63">
                  <c:v>70.8</c:v>
                </c:pt>
                <c:pt idx="64">
                  <c:v>69</c:v>
                </c:pt>
                <c:pt idx="65">
                  <c:v>67.5</c:v>
                </c:pt>
                <c:pt idx="66">
                  <c:v>66</c:v>
                </c:pt>
                <c:pt idx="67">
                  <c:v>64.5</c:v>
                </c:pt>
                <c:pt idx="68">
                  <c:v>63.1</c:v>
                </c:pt>
                <c:pt idx="69">
                  <c:v>62</c:v>
                </c:pt>
                <c:pt idx="70">
                  <c:v>61.1</c:v>
                </c:pt>
                <c:pt idx="71">
                  <c:v>60.3</c:v>
                </c:pt>
                <c:pt idx="72">
                  <c:v>59.6</c:v>
                </c:pt>
                <c:pt idx="73">
                  <c:v>59.2</c:v>
                </c:pt>
                <c:pt idx="74">
                  <c:v>58.8</c:v>
                </c:pt>
                <c:pt idx="75">
                  <c:v>58.5</c:v>
                </c:pt>
                <c:pt idx="76">
                  <c:v>58.3</c:v>
                </c:pt>
                <c:pt idx="77">
                  <c:v>58.1</c:v>
                </c:pt>
                <c:pt idx="78">
                  <c:v>57.8</c:v>
                </c:pt>
                <c:pt idx="79">
                  <c:v>57.7</c:v>
                </c:pt>
                <c:pt idx="80">
                  <c:v>57.5</c:v>
                </c:pt>
                <c:pt idx="81">
                  <c:v>57.3</c:v>
                </c:pt>
                <c:pt idx="82">
                  <c:v>57.1</c:v>
                </c:pt>
                <c:pt idx="83">
                  <c:v>57.1</c:v>
                </c:pt>
                <c:pt idx="84">
                  <c:v>57</c:v>
                </c:pt>
                <c:pt idx="85">
                  <c:v>56.9</c:v>
                </c:pt>
                <c:pt idx="86">
                  <c:v>56.9</c:v>
                </c:pt>
                <c:pt idx="87">
                  <c:v>56.9</c:v>
                </c:pt>
                <c:pt idx="88">
                  <c:v>56.8</c:v>
                </c:pt>
                <c:pt idx="89">
                  <c:v>56.8</c:v>
                </c:pt>
                <c:pt idx="90">
                  <c:v>56.9</c:v>
                </c:pt>
                <c:pt idx="91">
                  <c:v>56.8</c:v>
                </c:pt>
                <c:pt idx="92">
                  <c:v>56.8</c:v>
                </c:pt>
                <c:pt idx="93">
                  <c:v>56.8</c:v>
                </c:pt>
                <c:pt idx="94">
                  <c:v>56.9</c:v>
                </c:pt>
                <c:pt idx="95">
                  <c:v>56.9</c:v>
                </c:pt>
                <c:pt idx="96">
                  <c:v>56.9</c:v>
                </c:pt>
                <c:pt idx="97">
                  <c:v>56.9</c:v>
                </c:pt>
                <c:pt idx="98">
                  <c:v>57</c:v>
                </c:pt>
                <c:pt idx="99">
                  <c:v>57</c:v>
                </c:pt>
                <c:pt idx="100">
                  <c:v>57.1</c:v>
                </c:pt>
                <c:pt idx="101">
                  <c:v>57.1</c:v>
                </c:pt>
                <c:pt idx="102">
                  <c:v>57.2</c:v>
                </c:pt>
                <c:pt idx="103">
                  <c:v>57.2</c:v>
                </c:pt>
                <c:pt idx="104">
                  <c:v>57.3</c:v>
                </c:pt>
                <c:pt idx="105">
                  <c:v>57.3</c:v>
                </c:pt>
                <c:pt idx="106">
                  <c:v>57.4</c:v>
                </c:pt>
                <c:pt idx="107">
                  <c:v>57.4</c:v>
                </c:pt>
                <c:pt idx="108">
                  <c:v>57.5</c:v>
                </c:pt>
                <c:pt idx="109">
                  <c:v>57.6</c:v>
                </c:pt>
                <c:pt idx="110">
                  <c:v>57.7</c:v>
                </c:pt>
                <c:pt idx="111">
                  <c:v>57.7</c:v>
                </c:pt>
                <c:pt idx="112">
                  <c:v>57.8</c:v>
                </c:pt>
                <c:pt idx="113">
                  <c:v>57.9</c:v>
                </c:pt>
                <c:pt idx="114">
                  <c:v>57.9</c:v>
                </c:pt>
                <c:pt idx="115">
                  <c:v>58</c:v>
                </c:pt>
                <c:pt idx="116">
                  <c:v>58.1</c:v>
                </c:pt>
                <c:pt idx="117">
                  <c:v>58.1</c:v>
                </c:pt>
                <c:pt idx="118">
                  <c:v>58.2</c:v>
                </c:pt>
                <c:pt idx="119">
                  <c:v>58.4</c:v>
                </c:pt>
                <c:pt idx="120">
                  <c:v>58.5</c:v>
                </c:pt>
                <c:pt idx="121">
                  <c:v>58.5</c:v>
                </c:pt>
                <c:pt idx="122">
                  <c:v>58.6</c:v>
                </c:pt>
                <c:pt idx="123">
                  <c:v>58.7</c:v>
                </c:pt>
                <c:pt idx="124">
                  <c:v>58.7</c:v>
                </c:pt>
                <c:pt idx="125">
                  <c:v>58.8</c:v>
                </c:pt>
                <c:pt idx="126">
                  <c:v>58.9</c:v>
                </c:pt>
                <c:pt idx="127">
                  <c:v>59</c:v>
                </c:pt>
                <c:pt idx="128">
                  <c:v>59</c:v>
                </c:pt>
                <c:pt idx="129">
                  <c:v>59.1</c:v>
                </c:pt>
                <c:pt idx="130">
                  <c:v>59.1</c:v>
                </c:pt>
                <c:pt idx="131">
                  <c:v>59.2</c:v>
                </c:pt>
                <c:pt idx="132">
                  <c:v>59.2</c:v>
                </c:pt>
                <c:pt idx="133">
                  <c:v>59.3</c:v>
                </c:pt>
                <c:pt idx="134">
                  <c:v>59.4</c:v>
                </c:pt>
                <c:pt idx="135">
                  <c:v>59.4</c:v>
                </c:pt>
                <c:pt idx="136">
                  <c:v>59.5</c:v>
                </c:pt>
                <c:pt idx="137">
                  <c:v>59.6</c:v>
                </c:pt>
                <c:pt idx="138">
                  <c:v>59.7</c:v>
                </c:pt>
                <c:pt idx="139">
                  <c:v>59.7</c:v>
                </c:pt>
                <c:pt idx="140">
                  <c:v>59.8</c:v>
                </c:pt>
                <c:pt idx="141">
                  <c:v>59.8</c:v>
                </c:pt>
                <c:pt idx="142">
                  <c:v>59.9</c:v>
                </c:pt>
                <c:pt idx="143">
                  <c:v>60</c:v>
                </c:pt>
                <c:pt idx="144">
                  <c:v>60</c:v>
                </c:pt>
                <c:pt idx="145">
                  <c:v>60.1</c:v>
                </c:pt>
                <c:pt idx="146">
                  <c:v>60.2</c:v>
                </c:pt>
                <c:pt idx="147">
                  <c:v>60.2</c:v>
                </c:pt>
                <c:pt idx="148">
                  <c:v>60.3</c:v>
                </c:pt>
                <c:pt idx="149">
                  <c:v>60.3</c:v>
                </c:pt>
                <c:pt idx="150">
                  <c:v>60.4</c:v>
                </c:pt>
                <c:pt idx="151">
                  <c:v>60.5</c:v>
                </c:pt>
                <c:pt idx="152">
                  <c:v>60.5</c:v>
                </c:pt>
                <c:pt idx="153">
                  <c:v>60.6</c:v>
                </c:pt>
                <c:pt idx="154">
                  <c:v>60.6</c:v>
                </c:pt>
                <c:pt idx="155">
                  <c:v>60.7</c:v>
                </c:pt>
                <c:pt idx="156">
                  <c:v>60.8</c:v>
                </c:pt>
                <c:pt idx="157">
                  <c:v>60.8</c:v>
                </c:pt>
                <c:pt idx="158">
                  <c:v>60.9</c:v>
                </c:pt>
                <c:pt idx="159">
                  <c:v>61</c:v>
                </c:pt>
                <c:pt idx="160">
                  <c:v>61</c:v>
                </c:pt>
                <c:pt idx="161">
                  <c:v>61.1</c:v>
                </c:pt>
                <c:pt idx="162">
                  <c:v>61.2</c:v>
                </c:pt>
                <c:pt idx="163">
                  <c:v>61.2</c:v>
                </c:pt>
                <c:pt idx="164">
                  <c:v>61.3</c:v>
                </c:pt>
                <c:pt idx="165">
                  <c:v>61.3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09-4094-9D41-9CCDDC53465B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'100ml'!$CG$3:$CG$168</c:f>
              <c:numCache>
                <c:formatCode>General</c:formatCode>
                <c:ptCount val="1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</c:numCache>
            </c:numRef>
          </c:xVal>
          <c:yVal>
            <c:numRef>
              <c:f>'100ml'!$CK$3:$CK$168</c:f>
              <c:numCache>
                <c:formatCode>General</c:formatCode>
                <c:ptCount val="166"/>
                <c:pt idx="0">
                  <c:v>3.2</c:v>
                </c:pt>
                <c:pt idx="1">
                  <c:v>4</c:v>
                </c:pt>
                <c:pt idx="2">
                  <c:v>5.0999999999999996</c:v>
                </c:pt>
                <c:pt idx="3">
                  <c:v>6.6</c:v>
                </c:pt>
                <c:pt idx="4">
                  <c:v>8.4</c:v>
                </c:pt>
                <c:pt idx="5">
                  <c:v>10.1</c:v>
                </c:pt>
                <c:pt idx="6">
                  <c:v>11.9</c:v>
                </c:pt>
                <c:pt idx="7">
                  <c:v>13.5</c:v>
                </c:pt>
                <c:pt idx="8">
                  <c:v>14.9</c:v>
                </c:pt>
                <c:pt idx="9">
                  <c:v>16</c:v>
                </c:pt>
                <c:pt idx="10">
                  <c:v>17.100000000000001</c:v>
                </c:pt>
                <c:pt idx="11">
                  <c:v>18.399999999999999</c:v>
                </c:pt>
                <c:pt idx="12">
                  <c:v>20.8</c:v>
                </c:pt>
                <c:pt idx="13">
                  <c:v>25.6</c:v>
                </c:pt>
                <c:pt idx="14">
                  <c:v>33.5</c:v>
                </c:pt>
                <c:pt idx="15">
                  <c:v>43.6</c:v>
                </c:pt>
                <c:pt idx="16">
                  <c:v>54.7</c:v>
                </c:pt>
                <c:pt idx="17">
                  <c:v>67</c:v>
                </c:pt>
                <c:pt idx="18">
                  <c:v>81.2</c:v>
                </c:pt>
                <c:pt idx="19">
                  <c:v>95.2</c:v>
                </c:pt>
                <c:pt idx="20">
                  <c:v>109.4</c:v>
                </c:pt>
                <c:pt idx="21">
                  <c:v>128.1</c:v>
                </c:pt>
                <c:pt idx="22">
                  <c:v>166.9</c:v>
                </c:pt>
                <c:pt idx="23">
                  <c:v>244.4</c:v>
                </c:pt>
                <c:pt idx="24">
                  <c:v>325.3</c:v>
                </c:pt>
                <c:pt idx="25">
                  <c:v>383.2</c:v>
                </c:pt>
                <c:pt idx="26">
                  <c:v>424.7</c:v>
                </c:pt>
                <c:pt idx="27">
                  <c:v>458.2</c:v>
                </c:pt>
                <c:pt idx="28">
                  <c:v>491</c:v>
                </c:pt>
                <c:pt idx="29">
                  <c:v>522.6</c:v>
                </c:pt>
                <c:pt idx="30">
                  <c:v>548.6</c:v>
                </c:pt>
                <c:pt idx="31">
                  <c:v>569.29999999999995</c:v>
                </c:pt>
                <c:pt idx="32">
                  <c:v>583.20000000000005</c:v>
                </c:pt>
                <c:pt idx="33">
                  <c:v>594.79999999999995</c:v>
                </c:pt>
                <c:pt idx="34">
                  <c:v>610</c:v>
                </c:pt>
                <c:pt idx="35">
                  <c:v>625.5</c:v>
                </c:pt>
                <c:pt idx="36">
                  <c:v>641.4</c:v>
                </c:pt>
                <c:pt idx="37">
                  <c:v>661</c:v>
                </c:pt>
                <c:pt idx="38">
                  <c:v>677.3</c:v>
                </c:pt>
                <c:pt idx="39">
                  <c:v>685.7</c:v>
                </c:pt>
                <c:pt idx="40">
                  <c:v>690.6</c:v>
                </c:pt>
                <c:pt idx="41">
                  <c:v>701.1</c:v>
                </c:pt>
                <c:pt idx="42">
                  <c:v>713.5</c:v>
                </c:pt>
                <c:pt idx="43">
                  <c:v>725.5</c:v>
                </c:pt>
                <c:pt idx="44">
                  <c:v>737.2</c:v>
                </c:pt>
                <c:pt idx="45">
                  <c:v>743.2</c:v>
                </c:pt>
                <c:pt idx="46">
                  <c:v>742.9</c:v>
                </c:pt>
                <c:pt idx="47">
                  <c:v>734.8</c:v>
                </c:pt>
                <c:pt idx="48">
                  <c:v>723</c:v>
                </c:pt>
                <c:pt idx="49">
                  <c:v>708.9</c:v>
                </c:pt>
                <c:pt idx="50">
                  <c:v>701</c:v>
                </c:pt>
                <c:pt idx="51">
                  <c:v>702.6</c:v>
                </c:pt>
                <c:pt idx="52">
                  <c:v>705.3</c:v>
                </c:pt>
                <c:pt idx="53">
                  <c:v>707.2</c:v>
                </c:pt>
                <c:pt idx="54">
                  <c:v>710.6</c:v>
                </c:pt>
                <c:pt idx="55">
                  <c:v>713.1</c:v>
                </c:pt>
                <c:pt idx="56">
                  <c:v>707.5</c:v>
                </c:pt>
                <c:pt idx="57">
                  <c:v>697.6</c:v>
                </c:pt>
                <c:pt idx="58">
                  <c:v>689.6</c:v>
                </c:pt>
                <c:pt idx="59">
                  <c:v>680.4</c:v>
                </c:pt>
                <c:pt idx="60">
                  <c:v>675.5</c:v>
                </c:pt>
                <c:pt idx="61">
                  <c:v>670.2</c:v>
                </c:pt>
                <c:pt idx="62">
                  <c:v>655.1</c:v>
                </c:pt>
                <c:pt idx="63">
                  <c:v>639.9</c:v>
                </c:pt>
                <c:pt idx="64">
                  <c:v>629.5</c:v>
                </c:pt>
                <c:pt idx="65">
                  <c:v>622.70000000000005</c:v>
                </c:pt>
                <c:pt idx="66">
                  <c:v>616.9</c:v>
                </c:pt>
                <c:pt idx="67">
                  <c:v>610.6</c:v>
                </c:pt>
                <c:pt idx="68">
                  <c:v>597.4</c:v>
                </c:pt>
                <c:pt idx="69">
                  <c:v>576.9</c:v>
                </c:pt>
                <c:pt idx="70">
                  <c:v>536.6</c:v>
                </c:pt>
                <c:pt idx="71">
                  <c:v>478.2</c:v>
                </c:pt>
                <c:pt idx="72">
                  <c:v>421</c:v>
                </c:pt>
                <c:pt idx="73">
                  <c:v>368.4</c:v>
                </c:pt>
                <c:pt idx="74">
                  <c:v>320.7</c:v>
                </c:pt>
                <c:pt idx="75">
                  <c:v>277.39999999999998</c:v>
                </c:pt>
                <c:pt idx="76">
                  <c:v>236.5</c:v>
                </c:pt>
                <c:pt idx="77">
                  <c:v>193.9</c:v>
                </c:pt>
                <c:pt idx="78">
                  <c:v>152.30000000000001</c:v>
                </c:pt>
                <c:pt idx="79">
                  <c:v>121.6</c:v>
                </c:pt>
                <c:pt idx="80">
                  <c:v>101.8</c:v>
                </c:pt>
                <c:pt idx="81">
                  <c:v>88.5</c:v>
                </c:pt>
                <c:pt idx="82">
                  <c:v>78.900000000000006</c:v>
                </c:pt>
                <c:pt idx="83">
                  <c:v>72.099999999999994</c:v>
                </c:pt>
                <c:pt idx="84">
                  <c:v>68.099999999999994</c:v>
                </c:pt>
                <c:pt idx="85">
                  <c:v>65.8</c:v>
                </c:pt>
                <c:pt idx="86">
                  <c:v>63.8</c:v>
                </c:pt>
                <c:pt idx="87">
                  <c:v>61.8</c:v>
                </c:pt>
                <c:pt idx="88">
                  <c:v>60</c:v>
                </c:pt>
                <c:pt idx="89">
                  <c:v>58.4</c:v>
                </c:pt>
                <c:pt idx="90">
                  <c:v>57</c:v>
                </c:pt>
                <c:pt idx="91">
                  <c:v>55.9</c:v>
                </c:pt>
                <c:pt idx="92">
                  <c:v>55.1</c:v>
                </c:pt>
                <c:pt idx="93">
                  <c:v>54.5</c:v>
                </c:pt>
                <c:pt idx="94">
                  <c:v>54.1</c:v>
                </c:pt>
                <c:pt idx="95">
                  <c:v>53.8</c:v>
                </c:pt>
                <c:pt idx="96">
                  <c:v>53.5</c:v>
                </c:pt>
                <c:pt idx="97">
                  <c:v>53.3</c:v>
                </c:pt>
                <c:pt idx="98">
                  <c:v>53.1</c:v>
                </c:pt>
                <c:pt idx="99">
                  <c:v>52.9</c:v>
                </c:pt>
                <c:pt idx="100">
                  <c:v>52.7</c:v>
                </c:pt>
                <c:pt idx="101">
                  <c:v>52.6</c:v>
                </c:pt>
                <c:pt idx="102">
                  <c:v>52.5</c:v>
                </c:pt>
                <c:pt idx="103">
                  <c:v>52.4</c:v>
                </c:pt>
                <c:pt idx="104">
                  <c:v>52.2</c:v>
                </c:pt>
                <c:pt idx="105">
                  <c:v>52.2</c:v>
                </c:pt>
                <c:pt idx="106">
                  <c:v>52.2</c:v>
                </c:pt>
                <c:pt idx="107">
                  <c:v>52.2</c:v>
                </c:pt>
                <c:pt idx="108">
                  <c:v>52.1</c:v>
                </c:pt>
                <c:pt idx="109">
                  <c:v>52.1</c:v>
                </c:pt>
                <c:pt idx="110">
                  <c:v>52.1</c:v>
                </c:pt>
                <c:pt idx="111">
                  <c:v>52.2</c:v>
                </c:pt>
                <c:pt idx="112">
                  <c:v>52.2</c:v>
                </c:pt>
                <c:pt idx="113">
                  <c:v>52.2</c:v>
                </c:pt>
                <c:pt idx="114">
                  <c:v>52.2</c:v>
                </c:pt>
                <c:pt idx="115">
                  <c:v>52.2</c:v>
                </c:pt>
                <c:pt idx="116">
                  <c:v>52.2</c:v>
                </c:pt>
                <c:pt idx="117">
                  <c:v>52.2</c:v>
                </c:pt>
                <c:pt idx="118">
                  <c:v>52.3</c:v>
                </c:pt>
                <c:pt idx="119">
                  <c:v>52.3</c:v>
                </c:pt>
                <c:pt idx="120">
                  <c:v>52.4</c:v>
                </c:pt>
                <c:pt idx="121">
                  <c:v>52.4</c:v>
                </c:pt>
                <c:pt idx="122">
                  <c:v>52.4</c:v>
                </c:pt>
                <c:pt idx="123">
                  <c:v>52.5</c:v>
                </c:pt>
                <c:pt idx="124">
                  <c:v>52.5</c:v>
                </c:pt>
                <c:pt idx="125">
                  <c:v>52.6</c:v>
                </c:pt>
                <c:pt idx="126">
                  <c:v>52.6</c:v>
                </c:pt>
                <c:pt idx="127">
                  <c:v>52.7</c:v>
                </c:pt>
                <c:pt idx="128">
                  <c:v>52.8</c:v>
                </c:pt>
                <c:pt idx="129">
                  <c:v>52.9</c:v>
                </c:pt>
                <c:pt idx="130">
                  <c:v>53</c:v>
                </c:pt>
                <c:pt idx="131">
                  <c:v>53</c:v>
                </c:pt>
                <c:pt idx="132">
                  <c:v>53.1</c:v>
                </c:pt>
                <c:pt idx="133">
                  <c:v>53.1</c:v>
                </c:pt>
                <c:pt idx="134">
                  <c:v>53.2</c:v>
                </c:pt>
                <c:pt idx="135">
                  <c:v>53.3</c:v>
                </c:pt>
                <c:pt idx="136">
                  <c:v>53.3</c:v>
                </c:pt>
                <c:pt idx="137">
                  <c:v>53.4</c:v>
                </c:pt>
                <c:pt idx="138">
                  <c:v>53.4</c:v>
                </c:pt>
                <c:pt idx="139">
                  <c:v>53.5</c:v>
                </c:pt>
                <c:pt idx="140">
                  <c:v>53.6</c:v>
                </c:pt>
                <c:pt idx="141">
                  <c:v>53.6</c:v>
                </c:pt>
                <c:pt idx="142">
                  <c:v>53.7</c:v>
                </c:pt>
                <c:pt idx="143">
                  <c:v>53.8</c:v>
                </c:pt>
                <c:pt idx="144">
                  <c:v>53.8</c:v>
                </c:pt>
                <c:pt idx="145">
                  <c:v>53.9</c:v>
                </c:pt>
                <c:pt idx="146">
                  <c:v>54</c:v>
                </c:pt>
                <c:pt idx="147">
                  <c:v>54</c:v>
                </c:pt>
                <c:pt idx="148">
                  <c:v>54.1</c:v>
                </c:pt>
                <c:pt idx="149">
                  <c:v>54.1</c:v>
                </c:pt>
                <c:pt idx="150">
                  <c:v>54.2</c:v>
                </c:pt>
                <c:pt idx="151">
                  <c:v>54.3</c:v>
                </c:pt>
                <c:pt idx="152">
                  <c:v>54.3</c:v>
                </c:pt>
                <c:pt idx="153">
                  <c:v>54.4</c:v>
                </c:pt>
                <c:pt idx="154">
                  <c:v>54.4</c:v>
                </c:pt>
                <c:pt idx="155">
                  <c:v>54.5</c:v>
                </c:pt>
                <c:pt idx="156">
                  <c:v>54.6</c:v>
                </c:pt>
                <c:pt idx="157">
                  <c:v>54.6</c:v>
                </c:pt>
                <c:pt idx="158">
                  <c:v>54.7</c:v>
                </c:pt>
                <c:pt idx="159">
                  <c:v>54.7</c:v>
                </c:pt>
                <c:pt idx="160">
                  <c:v>54.8</c:v>
                </c:pt>
                <c:pt idx="161">
                  <c:v>54.9</c:v>
                </c:pt>
                <c:pt idx="162">
                  <c:v>54.9</c:v>
                </c:pt>
                <c:pt idx="163">
                  <c:v>54.9</c:v>
                </c:pt>
                <c:pt idx="164">
                  <c:v>55</c:v>
                </c:pt>
                <c:pt idx="165">
                  <c:v>55.1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09-4094-9D41-9CCDDC53465B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'100ml'!$CG$3:$CG$168</c:f>
              <c:numCache>
                <c:formatCode>General</c:formatCode>
                <c:ptCount val="1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</c:numCache>
            </c:numRef>
          </c:xVal>
          <c:yVal>
            <c:numRef>
              <c:f>'100ml'!$CL$3:$CL$168</c:f>
              <c:numCache>
                <c:formatCode>General</c:formatCode>
                <c:ptCount val="166"/>
                <c:pt idx="0">
                  <c:v>4.5</c:v>
                </c:pt>
                <c:pt idx="1">
                  <c:v>5.2</c:v>
                </c:pt>
                <c:pt idx="2">
                  <c:v>5.9</c:v>
                </c:pt>
                <c:pt idx="3">
                  <c:v>6.6</c:v>
                </c:pt>
                <c:pt idx="4">
                  <c:v>7.3</c:v>
                </c:pt>
                <c:pt idx="5">
                  <c:v>7.9</c:v>
                </c:pt>
                <c:pt idx="6">
                  <c:v>8.6999999999999993</c:v>
                </c:pt>
                <c:pt idx="7">
                  <c:v>9.9</c:v>
                </c:pt>
                <c:pt idx="8">
                  <c:v>12.1</c:v>
                </c:pt>
                <c:pt idx="9">
                  <c:v>15.4</c:v>
                </c:pt>
                <c:pt idx="10">
                  <c:v>19.5</c:v>
                </c:pt>
                <c:pt idx="11">
                  <c:v>25.1</c:v>
                </c:pt>
                <c:pt idx="12">
                  <c:v>32.4</c:v>
                </c:pt>
                <c:pt idx="13">
                  <c:v>41.4</c:v>
                </c:pt>
                <c:pt idx="14">
                  <c:v>52.2</c:v>
                </c:pt>
                <c:pt idx="15">
                  <c:v>65.5</c:v>
                </c:pt>
                <c:pt idx="16">
                  <c:v>82.6</c:v>
                </c:pt>
                <c:pt idx="17">
                  <c:v>103.7</c:v>
                </c:pt>
                <c:pt idx="18">
                  <c:v>153.69999999999999</c:v>
                </c:pt>
                <c:pt idx="19">
                  <c:v>227.6</c:v>
                </c:pt>
                <c:pt idx="20">
                  <c:v>297.5</c:v>
                </c:pt>
                <c:pt idx="21">
                  <c:v>368.2</c:v>
                </c:pt>
                <c:pt idx="22">
                  <c:v>437.6</c:v>
                </c:pt>
                <c:pt idx="23">
                  <c:v>501.6</c:v>
                </c:pt>
                <c:pt idx="24">
                  <c:v>555.29999999999995</c:v>
                </c:pt>
                <c:pt idx="25">
                  <c:v>607.5</c:v>
                </c:pt>
                <c:pt idx="26">
                  <c:v>661</c:v>
                </c:pt>
                <c:pt idx="27">
                  <c:v>710.7</c:v>
                </c:pt>
                <c:pt idx="28">
                  <c:v>752.5</c:v>
                </c:pt>
                <c:pt idx="29">
                  <c:v>779.5</c:v>
                </c:pt>
                <c:pt idx="30">
                  <c:v>800.3</c:v>
                </c:pt>
                <c:pt idx="31">
                  <c:v>816</c:v>
                </c:pt>
                <c:pt idx="32">
                  <c:v>828.4</c:v>
                </c:pt>
                <c:pt idx="33">
                  <c:v>841.1</c:v>
                </c:pt>
                <c:pt idx="34">
                  <c:v>851.1</c:v>
                </c:pt>
                <c:pt idx="35">
                  <c:v>859.2</c:v>
                </c:pt>
                <c:pt idx="36">
                  <c:v>870.6</c:v>
                </c:pt>
                <c:pt idx="37">
                  <c:v>878.5</c:v>
                </c:pt>
                <c:pt idx="38">
                  <c:v>886.4</c:v>
                </c:pt>
                <c:pt idx="39">
                  <c:v>894.9</c:v>
                </c:pt>
                <c:pt idx="40">
                  <c:v>895.1</c:v>
                </c:pt>
                <c:pt idx="41">
                  <c:v>894</c:v>
                </c:pt>
                <c:pt idx="42">
                  <c:v>889.2</c:v>
                </c:pt>
                <c:pt idx="43">
                  <c:v>873.4</c:v>
                </c:pt>
                <c:pt idx="44">
                  <c:v>855.8</c:v>
                </c:pt>
                <c:pt idx="45">
                  <c:v>840.3</c:v>
                </c:pt>
                <c:pt idx="46">
                  <c:v>824.8</c:v>
                </c:pt>
                <c:pt idx="47">
                  <c:v>808.4</c:v>
                </c:pt>
                <c:pt idx="48">
                  <c:v>796.8</c:v>
                </c:pt>
                <c:pt idx="49">
                  <c:v>789.2</c:v>
                </c:pt>
                <c:pt idx="50">
                  <c:v>777.6</c:v>
                </c:pt>
                <c:pt idx="51">
                  <c:v>760.5</c:v>
                </c:pt>
                <c:pt idx="52">
                  <c:v>751.5</c:v>
                </c:pt>
                <c:pt idx="53">
                  <c:v>756.5</c:v>
                </c:pt>
                <c:pt idx="54">
                  <c:v>763</c:v>
                </c:pt>
                <c:pt idx="55">
                  <c:v>756.3</c:v>
                </c:pt>
                <c:pt idx="56">
                  <c:v>730.6</c:v>
                </c:pt>
                <c:pt idx="57">
                  <c:v>675.5</c:v>
                </c:pt>
                <c:pt idx="58">
                  <c:v>611.70000000000005</c:v>
                </c:pt>
                <c:pt idx="59">
                  <c:v>548.9</c:v>
                </c:pt>
                <c:pt idx="60">
                  <c:v>482.1</c:v>
                </c:pt>
                <c:pt idx="61">
                  <c:v>392.9</c:v>
                </c:pt>
                <c:pt idx="62">
                  <c:v>287.7</c:v>
                </c:pt>
                <c:pt idx="63">
                  <c:v>203.8</c:v>
                </c:pt>
                <c:pt idx="64">
                  <c:v>149.80000000000001</c:v>
                </c:pt>
                <c:pt idx="65">
                  <c:v>119.4</c:v>
                </c:pt>
                <c:pt idx="66">
                  <c:v>102.7</c:v>
                </c:pt>
                <c:pt idx="67">
                  <c:v>95.1</c:v>
                </c:pt>
                <c:pt idx="68">
                  <c:v>91.6</c:v>
                </c:pt>
                <c:pt idx="69">
                  <c:v>89</c:v>
                </c:pt>
                <c:pt idx="70">
                  <c:v>86.6</c:v>
                </c:pt>
                <c:pt idx="71">
                  <c:v>84.4</c:v>
                </c:pt>
                <c:pt idx="72">
                  <c:v>82.2</c:v>
                </c:pt>
                <c:pt idx="73">
                  <c:v>80.3</c:v>
                </c:pt>
                <c:pt idx="74">
                  <c:v>78.8</c:v>
                </c:pt>
                <c:pt idx="75">
                  <c:v>77.599999999999994</c:v>
                </c:pt>
                <c:pt idx="76">
                  <c:v>76.7</c:v>
                </c:pt>
                <c:pt idx="77">
                  <c:v>76</c:v>
                </c:pt>
                <c:pt idx="78">
                  <c:v>75.400000000000006</c:v>
                </c:pt>
                <c:pt idx="79">
                  <c:v>75</c:v>
                </c:pt>
                <c:pt idx="80">
                  <c:v>74.5</c:v>
                </c:pt>
                <c:pt idx="81">
                  <c:v>74.2</c:v>
                </c:pt>
                <c:pt idx="82">
                  <c:v>73.900000000000006</c:v>
                </c:pt>
                <c:pt idx="83">
                  <c:v>73.599999999999994</c:v>
                </c:pt>
                <c:pt idx="84">
                  <c:v>73.400000000000006</c:v>
                </c:pt>
                <c:pt idx="85">
                  <c:v>73.2</c:v>
                </c:pt>
                <c:pt idx="86">
                  <c:v>73</c:v>
                </c:pt>
                <c:pt idx="87">
                  <c:v>72.8</c:v>
                </c:pt>
                <c:pt idx="88">
                  <c:v>72.7</c:v>
                </c:pt>
                <c:pt idx="89">
                  <c:v>72.599999999999994</c:v>
                </c:pt>
                <c:pt idx="90">
                  <c:v>72.5</c:v>
                </c:pt>
                <c:pt idx="91">
                  <c:v>72.400000000000006</c:v>
                </c:pt>
                <c:pt idx="92">
                  <c:v>72.3</c:v>
                </c:pt>
                <c:pt idx="93">
                  <c:v>72.3</c:v>
                </c:pt>
                <c:pt idx="94">
                  <c:v>72.2</c:v>
                </c:pt>
                <c:pt idx="95">
                  <c:v>72.2</c:v>
                </c:pt>
                <c:pt idx="96">
                  <c:v>72.2</c:v>
                </c:pt>
                <c:pt idx="97">
                  <c:v>72.2</c:v>
                </c:pt>
                <c:pt idx="98">
                  <c:v>72.2</c:v>
                </c:pt>
                <c:pt idx="99">
                  <c:v>72.099999999999994</c:v>
                </c:pt>
                <c:pt idx="100">
                  <c:v>72.099999999999994</c:v>
                </c:pt>
                <c:pt idx="101">
                  <c:v>72.099999999999994</c:v>
                </c:pt>
                <c:pt idx="102">
                  <c:v>72.2</c:v>
                </c:pt>
                <c:pt idx="103">
                  <c:v>72.2</c:v>
                </c:pt>
                <c:pt idx="104">
                  <c:v>72.2</c:v>
                </c:pt>
                <c:pt idx="105">
                  <c:v>72.3</c:v>
                </c:pt>
                <c:pt idx="106">
                  <c:v>72.3</c:v>
                </c:pt>
                <c:pt idx="107">
                  <c:v>72.3</c:v>
                </c:pt>
                <c:pt idx="108">
                  <c:v>72.400000000000006</c:v>
                </c:pt>
                <c:pt idx="109">
                  <c:v>72.400000000000006</c:v>
                </c:pt>
                <c:pt idx="110">
                  <c:v>72.400000000000006</c:v>
                </c:pt>
                <c:pt idx="111">
                  <c:v>72.5</c:v>
                </c:pt>
                <c:pt idx="112">
                  <c:v>72.5</c:v>
                </c:pt>
                <c:pt idx="113">
                  <c:v>72.599999999999994</c:v>
                </c:pt>
                <c:pt idx="114">
                  <c:v>72.7</c:v>
                </c:pt>
                <c:pt idx="115">
                  <c:v>72.8</c:v>
                </c:pt>
                <c:pt idx="116">
                  <c:v>72.8</c:v>
                </c:pt>
                <c:pt idx="117">
                  <c:v>72.8</c:v>
                </c:pt>
                <c:pt idx="118">
                  <c:v>72.900000000000006</c:v>
                </c:pt>
                <c:pt idx="119">
                  <c:v>72.900000000000006</c:v>
                </c:pt>
                <c:pt idx="120">
                  <c:v>73</c:v>
                </c:pt>
                <c:pt idx="121">
                  <c:v>73</c:v>
                </c:pt>
                <c:pt idx="122">
                  <c:v>73.099999999999994</c:v>
                </c:pt>
                <c:pt idx="123">
                  <c:v>73.099999999999994</c:v>
                </c:pt>
                <c:pt idx="124">
                  <c:v>73.2</c:v>
                </c:pt>
                <c:pt idx="125">
                  <c:v>73.3</c:v>
                </c:pt>
                <c:pt idx="126">
                  <c:v>73.3</c:v>
                </c:pt>
                <c:pt idx="127">
                  <c:v>73.400000000000006</c:v>
                </c:pt>
                <c:pt idx="128">
                  <c:v>73.400000000000006</c:v>
                </c:pt>
                <c:pt idx="129">
                  <c:v>73.5</c:v>
                </c:pt>
                <c:pt idx="130">
                  <c:v>73.5</c:v>
                </c:pt>
                <c:pt idx="131">
                  <c:v>73.599999999999994</c:v>
                </c:pt>
                <c:pt idx="132">
                  <c:v>73.599999999999994</c:v>
                </c:pt>
                <c:pt idx="133">
                  <c:v>73.7</c:v>
                </c:pt>
                <c:pt idx="134">
                  <c:v>73.8</c:v>
                </c:pt>
                <c:pt idx="135">
                  <c:v>73.8</c:v>
                </c:pt>
                <c:pt idx="136">
                  <c:v>73.900000000000006</c:v>
                </c:pt>
                <c:pt idx="137">
                  <c:v>73.900000000000006</c:v>
                </c:pt>
                <c:pt idx="138">
                  <c:v>74</c:v>
                </c:pt>
                <c:pt idx="139">
                  <c:v>74</c:v>
                </c:pt>
                <c:pt idx="140">
                  <c:v>74.099999999999994</c:v>
                </c:pt>
                <c:pt idx="141">
                  <c:v>74.2</c:v>
                </c:pt>
                <c:pt idx="142">
                  <c:v>74.2</c:v>
                </c:pt>
                <c:pt idx="143">
                  <c:v>74.3</c:v>
                </c:pt>
                <c:pt idx="144">
                  <c:v>74.3</c:v>
                </c:pt>
                <c:pt idx="145">
                  <c:v>74.400000000000006</c:v>
                </c:pt>
                <c:pt idx="146">
                  <c:v>74.400000000000006</c:v>
                </c:pt>
                <c:pt idx="147">
                  <c:v>74.5</c:v>
                </c:pt>
                <c:pt idx="148">
                  <c:v>74.5</c:v>
                </c:pt>
                <c:pt idx="149">
                  <c:v>74.599999999999994</c:v>
                </c:pt>
                <c:pt idx="150">
                  <c:v>74.7</c:v>
                </c:pt>
                <c:pt idx="151">
                  <c:v>74.8</c:v>
                </c:pt>
                <c:pt idx="152">
                  <c:v>74.8</c:v>
                </c:pt>
                <c:pt idx="153">
                  <c:v>74.8</c:v>
                </c:pt>
                <c:pt idx="154">
                  <c:v>74.8</c:v>
                </c:pt>
                <c:pt idx="155">
                  <c:v>74.8</c:v>
                </c:pt>
                <c:pt idx="156">
                  <c:v>74.8</c:v>
                </c:pt>
                <c:pt idx="157">
                  <c:v>74.8</c:v>
                </c:pt>
                <c:pt idx="158">
                  <c:v>74.900000000000006</c:v>
                </c:pt>
                <c:pt idx="159">
                  <c:v>75.099999999999994</c:v>
                </c:pt>
                <c:pt idx="160">
                  <c:v>75.2</c:v>
                </c:pt>
                <c:pt idx="161">
                  <c:v>75.2</c:v>
                </c:pt>
                <c:pt idx="162">
                  <c:v>75.3</c:v>
                </c:pt>
                <c:pt idx="163">
                  <c:v>75.3</c:v>
                </c:pt>
                <c:pt idx="164">
                  <c:v>75.3</c:v>
                </c:pt>
                <c:pt idx="165">
                  <c:v>75.3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09-4094-9D41-9CCDDC534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739320"/>
        <c:axId val="719738600"/>
      </c:scatterChart>
      <c:valAx>
        <c:axId val="71973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38600"/>
        <c:crosses val="autoZero"/>
        <c:crossBetween val="midCat"/>
      </c:valAx>
      <c:valAx>
        <c:axId val="71973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39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HX711 Pressure Measurements - Bubbles Right Pressure and vacuum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10ml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'10-100ml'!$C$3:$C$109</c:f>
              <c:numCache>
                <c:formatCode>General</c:formatCode>
                <c:ptCount val="107"/>
                <c:pt idx="0">
                  <c:v>-3.9999989999999992E-2</c:v>
                </c:pt>
                <c:pt idx="1">
                  <c:v>-5.3333319999999997E-2</c:v>
                </c:pt>
                <c:pt idx="2">
                  <c:v>-6.6666649999999994E-2</c:v>
                </c:pt>
                <c:pt idx="3">
                  <c:v>-6.6666649999999994E-2</c:v>
                </c:pt>
                <c:pt idx="4">
                  <c:v>-7.9999979999999984E-2</c:v>
                </c:pt>
                <c:pt idx="5">
                  <c:v>-7.9999979999999984E-2</c:v>
                </c:pt>
                <c:pt idx="6">
                  <c:v>-9.3333309999999989E-2</c:v>
                </c:pt>
                <c:pt idx="7">
                  <c:v>-9.3333309999999989E-2</c:v>
                </c:pt>
                <c:pt idx="8">
                  <c:v>-9.3333309999999989E-2</c:v>
                </c:pt>
                <c:pt idx="9">
                  <c:v>-7.9999979999999984E-2</c:v>
                </c:pt>
                <c:pt idx="10">
                  <c:v>-5.3333319999999997E-2</c:v>
                </c:pt>
                <c:pt idx="11">
                  <c:v>-2.6666659999999998E-2</c:v>
                </c:pt>
                <c:pt idx="12">
                  <c:v>1.3333329999999999E-2</c:v>
                </c:pt>
                <c:pt idx="13">
                  <c:v>6.6666649999999994E-2</c:v>
                </c:pt>
                <c:pt idx="14">
                  <c:v>0.19999994999999998</c:v>
                </c:pt>
                <c:pt idx="15">
                  <c:v>0.63999983999999988</c:v>
                </c:pt>
                <c:pt idx="16">
                  <c:v>2.4533327199999997</c:v>
                </c:pt>
                <c:pt idx="17">
                  <c:v>6.4666650499999996</c:v>
                </c:pt>
                <c:pt idx="18">
                  <c:v>13.373329989999998</c:v>
                </c:pt>
                <c:pt idx="19">
                  <c:v>29.626659259999997</c:v>
                </c:pt>
                <c:pt idx="20">
                  <c:v>40.586656519999991</c:v>
                </c:pt>
                <c:pt idx="21">
                  <c:v>36.893324109999995</c:v>
                </c:pt>
                <c:pt idx="22">
                  <c:v>30.933325599999996</c:v>
                </c:pt>
                <c:pt idx="23">
                  <c:v>25.453326969999999</c:v>
                </c:pt>
                <c:pt idx="24">
                  <c:v>20.786661469999999</c:v>
                </c:pt>
                <c:pt idx="25">
                  <c:v>16.933329099999998</c:v>
                </c:pt>
                <c:pt idx="26">
                  <c:v>13.773329889999998</c:v>
                </c:pt>
                <c:pt idx="27">
                  <c:v>11.18666387</c:v>
                </c:pt>
                <c:pt idx="28">
                  <c:v>9.0533310700000005</c:v>
                </c:pt>
                <c:pt idx="29">
                  <c:v>7.2799981799999998</c:v>
                </c:pt>
                <c:pt idx="30">
                  <c:v>5.8266652099999998</c:v>
                </c:pt>
                <c:pt idx="31">
                  <c:v>4.2933322599999997</c:v>
                </c:pt>
                <c:pt idx="32">
                  <c:v>3.0799992299999999</c:v>
                </c:pt>
                <c:pt idx="33">
                  <c:v>2.9199992699999995</c:v>
                </c:pt>
                <c:pt idx="34">
                  <c:v>2.6399993399999997</c:v>
                </c:pt>
                <c:pt idx="35">
                  <c:v>2.3066660899999998</c:v>
                </c:pt>
                <c:pt idx="36">
                  <c:v>2.03999949</c:v>
                </c:pt>
                <c:pt idx="37">
                  <c:v>1.83999954</c:v>
                </c:pt>
                <c:pt idx="38">
                  <c:v>1.6799995799999998</c:v>
                </c:pt>
                <c:pt idx="39">
                  <c:v>1.65333292</c:v>
                </c:pt>
                <c:pt idx="40">
                  <c:v>1.5066662899999999</c:v>
                </c:pt>
                <c:pt idx="41">
                  <c:v>1.3466663299999999</c:v>
                </c:pt>
                <c:pt idx="42">
                  <c:v>1.2666663499999999</c:v>
                </c:pt>
                <c:pt idx="43">
                  <c:v>1.1999996999999998</c:v>
                </c:pt>
                <c:pt idx="44">
                  <c:v>1.1599997099999999</c:v>
                </c:pt>
                <c:pt idx="45">
                  <c:v>1.11999972</c:v>
                </c:pt>
                <c:pt idx="46">
                  <c:v>1.0799997299999999</c:v>
                </c:pt>
                <c:pt idx="47">
                  <c:v>1.0533330699999999</c:v>
                </c:pt>
                <c:pt idx="48">
                  <c:v>1.02666641</c:v>
                </c:pt>
                <c:pt idx="49">
                  <c:v>0.99999974999999997</c:v>
                </c:pt>
                <c:pt idx="50">
                  <c:v>0.9733330899999999</c:v>
                </c:pt>
                <c:pt idx="51">
                  <c:v>0.95999975999999998</c:v>
                </c:pt>
                <c:pt idx="52">
                  <c:v>0.93333309999999992</c:v>
                </c:pt>
                <c:pt idx="53">
                  <c:v>0.93333309999999992</c:v>
                </c:pt>
                <c:pt idx="54">
                  <c:v>0.91999976999999999</c:v>
                </c:pt>
                <c:pt idx="55">
                  <c:v>0.90666643999999985</c:v>
                </c:pt>
                <c:pt idx="56">
                  <c:v>0.89333310999999993</c:v>
                </c:pt>
                <c:pt idx="57">
                  <c:v>0.89333310999999993</c:v>
                </c:pt>
                <c:pt idx="58">
                  <c:v>0.8799997799999999</c:v>
                </c:pt>
                <c:pt idx="59">
                  <c:v>0.8799997799999999</c:v>
                </c:pt>
                <c:pt idx="60">
                  <c:v>0.86666644999999987</c:v>
                </c:pt>
                <c:pt idx="61">
                  <c:v>0.86666644999999987</c:v>
                </c:pt>
                <c:pt idx="62">
                  <c:v>0.86666644999999987</c:v>
                </c:pt>
                <c:pt idx="63">
                  <c:v>0.86666644999999987</c:v>
                </c:pt>
                <c:pt idx="64">
                  <c:v>0.86666644999999987</c:v>
                </c:pt>
                <c:pt idx="65">
                  <c:v>0.89333310999999993</c:v>
                </c:pt>
                <c:pt idx="66">
                  <c:v>1.5066662899999999</c:v>
                </c:pt>
                <c:pt idx="67">
                  <c:v>2.6666659999999998</c:v>
                </c:pt>
                <c:pt idx="68">
                  <c:v>2.8933326099999999</c:v>
                </c:pt>
                <c:pt idx="69">
                  <c:v>2.8799992799999998</c:v>
                </c:pt>
                <c:pt idx="70">
                  <c:v>2.8666659499999998</c:v>
                </c:pt>
                <c:pt idx="71">
                  <c:v>2.8666659499999998</c:v>
                </c:pt>
                <c:pt idx="72">
                  <c:v>2.8666659499999998</c:v>
                </c:pt>
                <c:pt idx="73">
                  <c:v>2.8666659499999998</c:v>
                </c:pt>
                <c:pt idx="74">
                  <c:v>2.8666659499999998</c:v>
                </c:pt>
                <c:pt idx="75">
                  <c:v>2.8533326199999998</c:v>
                </c:pt>
                <c:pt idx="76">
                  <c:v>2.8666659499999998</c:v>
                </c:pt>
                <c:pt idx="77">
                  <c:v>2.8533326199999998</c:v>
                </c:pt>
                <c:pt idx="78">
                  <c:v>2.8533326199999998</c:v>
                </c:pt>
                <c:pt idx="79">
                  <c:v>2.8666659499999998</c:v>
                </c:pt>
                <c:pt idx="80">
                  <c:v>2.8666659499999998</c:v>
                </c:pt>
                <c:pt idx="81">
                  <c:v>2.8666659499999998</c:v>
                </c:pt>
                <c:pt idx="82">
                  <c:v>2.8666659499999998</c:v>
                </c:pt>
                <c:pt idx="83">
                  <c:v>2.8533326199999998</c:v>
                </c:pt>
                <c:pt idx="84">
                  <c:v>2.8533326199999998</c:v>
                </c:pt>
                <c:pt idx="85">
                  <c:v>2.7199993199999994</c:v>
                </c:pt>
                <c:pt idx="86">
                  <c:v>1.6799995799999998</c:v>
                </c:pt>
                <c:pt idx="87">
                  <c:v>0.90666643999999985</c:v>
                </c:pt>
                <c:pt idx="88">
                  <c:v>0.85333311999999995</c:v>
                </c:pt>
                <c:pt idx="89">
                  <c:v>0.85333311999999995</c:v>
                </c:pt>
                <c:pt idx="90">
                  <c:v>0.85333311999999995</c:v>
                </c:pt>
                <c:pt idx="91">
                  <c:v>0.85333311999999995</c:v>
                </c:pt>
                <c:pt idx="92">
                  <c:v>0.85333311999999995</c:v>
                </c:pt>
                <c:pt idx="93">
                  <c:v>0.85333311999999995</c:v>
                </c:pt>
                <c:pt idx="94">
                  <c:v>0.85333311999999995</c:v>
                </c:pt>
                <c:pt idx="95">
                  <c:v>0.86666644999999987</c:v>
                </c:pt>
                <c:pt idx="96">
                  <c:v>0.86666644999999987</c:v>
                </c:pt>
                <c:pt idx="97">
                  <c:v>0.86666644999999987</c:v>
                </c:pt>
                <c:pt idx="98">
                  <c:v>0.86666644999999987</c:v>
                </c:pt>
                <c:pt idx="99">
                  <c:v>0.86666644999999987</c:v>
                </c:pt>
                <c:pt idx="100">
                  <c:v>0.86666644999999987</c:v>
                </c:pt>
                <c:pt idx="101">
                  <c:v>0.86666644999999987</c:v>
                </c:pt>
                <c:pt idx="102">
                  <c:v>0.86666644999999987</c:v>
                </c:pt>
                <c:pt idx="103">
                  <c:v>0.86666644999999987</c:v>
                </c:pt>
                <c:pt idx="104">
                  <c:v>0.86666644999999987</c:v>
                </c:pt>
                <c:pt idx="105">
                  <c:v>0.86666644999999987</c:v>
                </c:pt>
                <c:pt idx="106">
                  <c:v>0.86666644999999987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E7-436D-B839-C5EA6AE08137}"/>
            </c:ext>
          </c:extLst>
        </c:ser>
        <c:ser>
          <c:idx val="1"/>
          <c:order val="1"/>
          <c:tx>
            <c:v>20ml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'10-100ml'!$E$3:$E$109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1.3333329999999999E-2</c:v>
                </c:pt>
                <c:pt idx="8">
                  <c:v>1.3333329999999999E-2</c:v>
                </c:pt>
                <c:pt idx="9">
                  <c:v>1.3333329999999999E-2</c:v>
                </c:pt>
                <c:pt idx="10">
                  <c:v>1.3333329999999999E-2</c:v>
                </c:pt>
                <c:pt idx="11">
                  <c:v>1.3333329999999999E-2</c:v>
                </c:pt>
                <c:pt idx="12">
                  <c:v>1.3333329999999999E-2</c:v>
                </c:pt>
                <c:pt idx="13">
                  <c:v>1.3333329999999999E-2</c:v>
                </c:pt>
                <c:pt idx="14">
                  <c:v>1.3333329999999999E-2</c:v>
                </c:pt>
                <c:pt idx="15">
                  <c:v>1.3333329999999999E-2</c:v>
                </c:pt>
                <c:pt idx="16">
                  <c:v>1.3333329999999999E-2</c:v>
                </c:pt>
                <c:pt idx="17">
                  <c:v>1.3333329999999999E-2</c:v>
                </c:pt>
                <c:pt idx="18">
                  <c:v>1.3333329999999999E-2</c:v>
                </c:pt>
                <c:pt idx="19">
                  <c:v>1.3333329999999999E-2</c:v>
                </c:pt>
                <c:pt idx="20">
                  <c:v>1.3333329999999999E-2</c:v>
                </c:pt>
                <c:pt idx="21">
                  <c:v>5.3333319999999997E-2</c:v>
                </c:pt>
                <c:pt idx="22">
                  <c:v>0.17333329</c:v>
                </c:pt>
                <c:pt idx="23">
                  <c:v>0.49333320999999997</c:v>
                </c:pt>
                <c:pt idx="24">
                  <c:v>1.9733328399999999</c:v>
                </c:pt>
                <c:pt idx="25">
                  <c:v>7.2399981899999988</c:v>
                </c:pt>
                <c:pt idx="26">
                  <c:v>25.493326959999997</c:v>
                </c:pt>
                <c:pt idx="27">
                  <c:v>50.946653929999997</c:v>
                </c:pt>
                <c:pt idx="28">
                  <c:v>70.893315610000002</c:v>
                </c:pt>
                <c:pt idx="29">
                  <c:v>85.319978669999983</c:v>
                </c:pt>
                <c:pt idx="30">
                  <c:v>85.02664541</c:v>
                </c:pt>
                <c:pt idx="31">
                  <c:v>75.186647869999987</c:v>
                </c:pt>
                <c:pt idx="32">
                  <c:v>64.906650439999993</c:v>
                </c:pt>
                <c:pt idx="33">
                  <c:v>54.839986289999999</c:v>
                </c:pt>
                <c:pt idx="34">
                  <c:v>43.999988999999999</c:v>
                </c:pt>
                <c:pt idx="35">
                  <c:v>31.119992219999997</c:v>
                </c:pt>
                <c:pt idx="36">
                  <c:v>19.493328459999997</c:v>
                </c:pt>
                <c:pt idx="37">
                  <c:v>12.106663639999999</c:v>
                </c:pt>
                <c:pt idx="38">
                  <c:v>8.2399979399999985</c:v>
                </c:pt>
                <c:pt idx="39">
                  <c:v>6.1866651199999989</c:v>
                </c:pt>
                <c:pt idx="40">
                  <c:v>4.9199987699999994</c:v>
                </c:pt>
                <c:pt idx="41">
                  <c:v>4.0799989800000001</c:v>
                </c:pt>
                <c:pt idx="42">
                  <c:v>3.4933324599999995</c:v>
                </c:pt>
                <c:pt idx="43">
                  <c:v>3.0533325699999994</c:v>
                </c:pt>
                <c:pt idx="44">
                  <c:v>2.7199993199999994</c:v>
                </c:pt>
                <c:pt idx="45">
                  <c:v>2.4666660499999997</c:v>
                </c:pt>
                <c:pt idx="46">
                  <c:v>2.2533327699999997</c:v>
                </c:pt>
                <c:pt idx="47">
                  <c:v>2.0933328099999997</c:v>
                </c:pt>
                <c:pt idx="48">
                  <c:v>1.9466661799999998</c:v>
                </c:pt>
                <c:pt idx="49">
                  <c:v>1.83999954</c:v>
                </c:pt>
                <c:pt idx="50">
                  <c:v>1.7599995599999998</c:v>
                </c:pt>
                <c:pt idx="51">
                  <c:v>1.7199995699999999</c:v>
                </c:pt>
                <c:pt idx="52">
                  <c:v>1.6933329099999999</c:v>
                </c:pt>
                <c:pt idx="53">
                  <c:v>1.6666662499999998</c:v>
                </c:pt>
                <c:pt idx="54">
                  <c:v>1.63999959</c:v>
                </c:pt>
                <c:pt idx="55">
                  <c:v>1.6133329299999999</c:v>
                </c:pt>
                <c:pt idx="56">
                  <c:v>1.5999995999999999</c:v>
                </c:pt>
                <c:pt idx="57">
                  <c:v>1.5866662699999998</c:v>
                </c:pt>
                <c:pt idx="58">
                  <c:v>1.57333294</c:v>
                </c:pt>
                <c:pt idx="59">
                  <c:v>1.5599996099999998</c:v>
                </c:pt>
                <c:pt idx="60">
                  <c:v>1.5466662799999997</c:v>
                </c:pt>
                <c:pt idx="61">
                  <c:v>1.5466662799999997</c:v>
                </c:pt>
                <c:pt idx="62">
                  <c:v>1.5466662799999997</c:v>
                </c:pt>
                <c:pt idx="63">
                  <c:v>1.5333329499999999</c:v>
                </c:pt>
                <c:pt idx="64">
                  <c:v>1.5333329499999999</c:v>
                </c:pt>
                <c:pt idx="65">
                  <c:v>1.5333329499999999</c:v>
                </c:pt>
                <c:pt idx="66">
                  <c:v>1.5333329499999999</c:v>
                </c:pt>
                <c:pt idx="67">
                  <c:v>1.5333329499999999</c:v>
                </c:pt>
                <c:pt idx="68">
                  <c:v>1.5199996199999999</c:v>
                </c:pt>
                <c:pt idx="69">
                  <c:v>1.5333329499999999</c:v>
                </c:pt>
                <c:pt idx="70">
                  <c:v>1.5333329499999999</c:v>
                </c:pt>
                <c:pt idx="71">
                  <c:v>1.5333329499999999</c:v>
                </c:pt>
                <c:pt idx="72">
                  <c:v>1.5333329499999999</c:v>
                </c:pt>
                <c:pt idx="73">
                  <c:v>1.5333329499999999</c:v>
                </c:pt>
                <c:pt idx="74">
                  <c:v>1.5333329499999999</c:v>
                </c:pt>
                <c:pt idx="75">
                  <c:v>1.5333329499999999</c:v>
                </c:pt>
                <c:pt idx="76">
                  <c:v>1.5466662799999997</c:v>
                </c:pt>
                <c:pt idx="77">
                  <c:v>1.5466662799999997</c:v>
                </c:pt>
                <c:pt idx="78">
                  <c:v>1.5466662799999997</c:v>
                </c:pt>
                <c:pt idx="79">
                  <c:v>1.5599996099999998</c:v>
                </c:pt>
                <c:pt idx="80">
                  <c:v>1.5599996099999998</c:v>
                </c:pt>
                <c:pt idx="81">
                  <c:v>1.5599996099999998</c:v>
                </c:pt>
                <c:pt idx="82">
                  <c:v>1.57333294</c:v>
                </c:pt>
                <c:pt idx="83">
                  <c:v>1.57333294</c:v>
                </c:pt>
                <c:pt idx="84">
                  <c:v>1.57333294</c:v>
                </c:pt>
                <c:pt idx="85">
                  <c:v>1.5866662699999998</c:v>
                </c:pt>
                <c:pt idx="86">
                  <c:v>1.5866662699999998</c:v>
                </c:pt>
                <c:pt idx="87">
                  <c:v>1.5866662699999998</c:v>
                </c:pt>
                <c:pt idx="88">
                  <c:v>1.5866662699999998</c:v>
                </c:pt>
                <c:pt idx="89">
                  <c:v>1.5999995999999999</c:v>
                </c:pt>
                <c:pt idx="90">
                  <c:v>1.5999995999999999</c:v>
                </c:pt>
                <c:pt idx="91">
                  <c:v>1.6133329299999999</c:v>
                </c:pt>
                <c:pt idx="92">
                  <c:v>1.6133329299999999</c:v>
                </c:pt>
                <c:pt idx="93">
                  <c:v>1.6133329299999999</c:v>
                </c:pt>
                <c:pt idx="94">
                  <c:v>1.6266662599999997</c:v>
                </c:pt>
                <c:pt idx="95">
                  <c:v>1.6266662599999997</c:v>
                </c:pt>
                <c:pt idx="96">
                  <c:v>1.6266662599999997</c:v>
                </c:pt>
                <c:pt idx="97">
                  <c:v>1.6266662599999997</c:v>
                </c:pt>
                <c:pt idx="98">
                  <c:v>1.6266662599999997</c:v>
                </c:pt>
                <c:pt idx="99">
                  <c:v>1.63999959</c:v>
                </c:pt>
                <c:pt idx="100">
                  <c:v>1.63999959</c:v>
                </c:pt>
                <c:pt idx="101">
                  <c:v>1.63999959</c:v>
                </c:pt>
                <c:pt idx="102">
                  <c:v>1.65333292</c:v>
                </c:pt>
                <c:pt idx="103">
                  <c:v>1.65333292</c:v>
                </c:pt>
                <c:pt idx="104">
                  <c:v>1.65333292</c:v>
                </c:pt>
                <c:pt idx="105">
                  <c:v>1.65333292</c:v>
                </c:pt>
                <c:pt idx="106">
                  <c:v>1.6666662499999998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E7-436D-B839-C5EA6AE08137}"/>
            </c:ext>
          </c:extLst>
        </c:ser>
        <c:ser>
          <c:idx val="2"/>
          <c:order val="2"/>
          <c:tx>
            <c:v>30ml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'10-100ml'!$G$3:$G$109</c:f>
              <c:numCache>
                <c:formatCode>General</c:formatCode>
                <c:ptCount val="107"/>
                <c:pt idx="0">
                  <c:v>0.43999988999999995</c:v>
                </c:pt>
                <c:pt idx="1">
                  <c:v>0.50666653999999989</c:v>
                </c:pt>
                <c:pt idx="2">
                  <c:v>0.58666651999999997</c:v>
                </c:pt>
                <c:pt idx="3">
                  <c:v>0.67999982999999986</c:v>
                </c:pt>
                <c:pt idx="4">
                  <c:v>0.75999980999999994</c:v>
                </c:pt>
                <c:pt idx="5">
                  <c:v>0.82666645999999999</c:v>
                </c:pt>
                <c:pt idx="6">
                  <c:v>0.90666643999999985</c:v>
                </c:pt>
                <c:pt idx="7">
                  <c:v>1.0533330699999999</c:v>
                </c:pt>
                <c:pt idx="8">
                  <c:v>1.38666632</c:v>
                </c:pt>
                <c:pt idx="9">
                  <c:v>2.1066661399999997</c:v>
                </c:pt>
                <c:pt idx="10">
                  <c:v>2.9733325899999996</c:v>
                </c:pt>
                <c:pt idx="11">
                  <c:v>3.8666656999999995</c:v>
                </c:pt>
                <c:pt idx="12">
                  <c:v>4.9066654399999994</c:v>
                </c:pt>
                <c:pt idx="13">
                  <c:v>6.586665019999999</c:v>
                </c:pt>
                <c:pt idx="14">
                  <c:v>10.42666406</c:v>
                </c:pt>
                <c:pt idx="15">
                  <c:v>26.026660159999995</c:v>
                </c:pt>
                <c:pt idx="16">
                  <c:v>58.519985369999993</c:v>
                </c:pt>
                <c:pt idx="17">
                  <c:v>87.87997802999999</c:v>
                </c:pt>
                <c:pt idx="18">
                  <c:v>109.41330597999999</c:v>
                </c:pt>
                <c:pt idx="19">
                  <c:v>115.54663778</c:v>
                </c:pt>
                <c:pt idx="20">
                  <c:v>107.19997319999999</c:v>
                </c:pt>
                <c:pt idx="21">
                  <c:v>97.23997568999998</c:v>
                </c:pt>
                <c:pt idx="22">
                  <c:v>87.559978110000003</c:v>
                </c:pt>
                <c:pt idx="23">
                  <c:v>76.946647429999999</c:v>
                </c:pt>
                <c:pt idx="24">
                  <c:v>62.78665096999999</c:v>
                </c:pt>
                <c:pt idx="25">
                  <c:v>44.71998881999999</c:v>
                </c:pt>
                <c:pt idx="26">
                  <c:v>29.146659379999996</c:v>
                </c:pt>
                <c:pt idx="27">
                  <c:v>18.599995349999997</c:v>
                </c:pt>
                <c:pt idx="28">
                  <c:v>12.306663589999998</c:v>
                </c:pt>
                <c:pt idx="29">
                  <c:v>8.8133311299999981</c:v>
                </c:pt>
                <c:pt idx="30">
                  <c:v>7.0133315799999991</c:v>
                </c:pt>
                <c:pt idx="31">
                  <c:v>6.1599984599999997</c:v>
                </c:pt>
                <c:pt idx="32">
                  <c:v>5.6133319299999993</c:v>
                </c:pt>
                <c:pt idx="33">
                  <c:v>5.2133320300000001</c:v>
                </c:pt>
                <c:pt idx="34">
                  <c:v>4.8799987799999993</c:v>
                </c:pt>
                <c:pt idx="35">
                  <c:v>4.6266655099999996</c:v>
                </c:pt>
                <c:pt idx="36">
                  <c:v>4.41333223</c:v>
                </c:pt>
                <c:pt idx="37">
                  <c:v>4.2266656099999995</c:v>
                </c:pt>
                <c:pt idx="38">
                  <c:v>4.0799989800000001</c:v>
                </c:pt>
                <c:pt idx="39">
                  <c:v>3.9466656799999997</c:v>
                </c:pt>
                <c:pt idx="40">
                  <c:v>3.8399990399999999</c:v>
                </c:pt>
                <c:pt idx="41">
                  <c:v>3.7466657299999997</c:v>
                </c:pt>
                <c:pt idx="42">
                  <c:v>3.6533324199999995</c:v>
                </c:pt>
                <c:pt idx="43">
                  <c:v>3.5866657699999993</c:v>
                </c:pt>
                <c:pt idx="44">
                  <c:v>3.5199991199999996</c:v>
                </c:pt>
                <c:pt idx="45">
                  <c:v>3.4666657999999995</c:v>
                </c:pt>
                <c:pt idx="46">
                  <c:v>3.4133324799999998</c:v>
                </c:pt>
                <c:pt idx="47">
                  <c:v>3.3733324899999997</c:v>
                </c:pt>
                <c:pt idx="48">
                  <c:v>3.3466658300000001</c:v>
                </c:pt>
                <c:pt idx="49">
                  <c:v>3.30666584</c:v>
                </c:pt>
                <c:pt idx="50">
                  <c:v>3.2799991799999999</c:v>
                </c:pt>
                <c:pt idx="51">
                  <c:v>3.2533325199999994</c:v>
                </c:pt>
                <c:pt idx="52">
                  <c:v>3.2399991899999998</c:v>
                </c:pt>
                <c:pt idx="53">
                  <c:v>3.2266658599999998</c:v>
                </c:pt>
                <c:pt idx="54">
                  <c:v>3.2266658599999998</c:v>
                </c:pt>
                <c:pt idx="55">
                  <c:v>3.2266658599999998</c:v>
                </c:pt>
                <c:pt idx="56">
                  <c:v>3.2266658599999998</c:v>
                </c:pt>
                <c:pt idx="57">
                  <c:v>3.2266658599999998</c:v>
                </c:pt>
                <c:pt idx="58">
                  <c:v>3.2133325299999997</c:v>
                </c:pt>
                <c:pt idx="59">
                  <c:v>3.2266658599999998</c:v>
                </c:pt>
                <c:pt idx="60">
                  <c:v>3.2266658599999998</c:v>
                </c:pt>
                <c:pt idx="61">
                  <c:v>3.2266658599999998</c:v>
                </c:pt>
                <c:pt idx="62">
                  <c:v>3.2266658599999998</c:v>
                </c:pt>
                <c:pt idx="63">
                  <c:v>3.2266658599999998</c:v>
                </c:pt>
                <c:pt idx="64">
                  <c:v>3.2266658599999998</c:v>
                </c:pt>
                <c:pt idx="65">
                  <c:v>3.2266658599999998</c:v>
                </c:pt>
                <c:pt idx="66">
                  <c:v>3.2399991899999998</c:v>
                </c:pt>
                <c:pt idx="67">
                  <c:v>3.2399991899999998</c:v>
                </c:pt>
                <c:pt idx="68">
                  <c:v>3.2399991899999998</c:v>
                </c:pt>
                <c:pt idx="69">
                  <c:v>3.2533325199999994</c:v>
                </c:pt>
                <c:pt idx="70">
                  <c:v>3.2533325199999994</c:v>
                </c:pt>
                <c:pt idx="71">
                  <c:v>3.2533325199999994</c:v>
                </c:pt>
                <c:pt idx="72">
                  <c:v>3.2533325199999994</c:v>
                </c:pt>
                <c:pt idx="73">
                  <c:v>3.2666658499999999</c:v>
                </c:pt>
                <c:pt idx="74">
                  <c:v>3.2666658499999999</c:v>
                </c:pt>
                <c:pt idx="75">
                  <c:v>3.2799991799999999</c:v>
                </c:pt>
                <c:pt idx="76">
                  <c:v>3.2799991799999999</c:v>
                </c:pt>
                <c:pt idx="77">
                  <c:v>3.2799991799999999</c:v>
                </c:pt>
                <c:pt idx="78">
                  <c:v>3.2933325099999995</c:v>
                </c:pt>
                <c:pt idx="79">
                  <c:v>3.2933325099999995</c:v>
                </c:pt>
                <c:pt idx="80">
                  <c:v>3.2933325099999995</c:v>
                </c:pt>
                <c:pt idx="81">
                  <c:v>3.30666584</c:v>
                </c:pt>
                <c:pt idx="82">
                  <c:v>3.30666584</c:v>
                </c:pt>
                <c:pt idx="83">
                  <c:v>3.30666584</c:v>
                </c:pt>
                <c:pt idx="84">
                  <c:v>3.3199991699999996</c:v>
                </c:pt>
                <c:pt idx="85">
                  <c:v>3.3199991699999996</c:v>
                </c:pt>
                <c:pt idx="86">
                  <c:v>3.3199991699999996</c:v>
                </c:pt>
                <c:pt idx="87">
                  <c:v>3.3333324999999996</c:v>
                </c:pt>
                <c:pt idx="88">
                  <c:v>3.3333324999999996</c:v>
                </c:pt>
                <c:pt idx="89">
                  <c:v>3.3466658300000001</c:v>
                </c:pt>
                <c:pt idx="90">
                  <c:v>3.3466658300000001</c:v>
                </c:pt>
                <c:pt idx="91">
                  <c:v>3.3466658300000001</c:v>
                </c:pt>
                <c:pt idx="92">
                  <c:v>3.3599991599999997</c:v>
                </c:pt>
                <c:pt idx="93">
                  <c:v>3.3599991599999997</c:v>
                </c:pt>
                <c:pt idx="94">
                  <c:v>3.3599991599999997</c:v>
                </c:pt>
                <c:pt idx="95">
                  <c:v>3.3733324899999997</c:v>
                </c:pt>
                <c:pt idx="96">
                  <c:v>3.3733324899999997</c:v>
                </c:pt>
                <c:pt idx="97">
                  <c:v>3.3866658199999997</c:v>
                </c:pt>
                <c:pt idx="98">
                  <c:v>3.3866658199999997</c:v>
                </c:pt>
                <c:pt idx="99">
                  <c:v>3.3866658199999997</c:v>
                </c:pt>
                <c:pt idx="100">
                  <c:v>3.3999991499999997</c:v>
                </c:pt>
                <c:pt idx="101">
                  <c:v>3.3999991499999997</c:v>
                </c:pt>
                <c:pt idx="102">
                  <c:v>3.3999991499999997</c:v>
                </c:pt>
                <c:pt idx="103">
                  <c:v>3.4133324799999998</c:v>
                </c:pt>
                <c:pt idx="104">
                  <c:v>3.4133324799999998</c:v>
                </c:pt>
                <c:pt idx="105">
                  <c:v>3.4133324799999998</c:v>
                </c:pt>
                <c:pt idx="106">
                  <c:v>3.4133324799999998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E7-436D-B839-C5EA6AE08137}"/>
            </c:ext>
          </c:extLst>
        </c:ser>
        <c:ser>
          <c:idx val="3"/>
          <c:order val="3"/>
          <c:tx>
            <c:v>40ml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'10-100ml'!$I$3:$I$109</c:f>
              <c:numCache>
                <c:formatCode>General</c:formatCode>
                <c:ptCount val="107"/>
                <c:pt idx="0">
                  <c:v>6.6666649999999994E-2</c:v>
                </c:pt>
                <c:pt idx="1">
                  <c:v>7.9999979999999984E-2</c:v>
                </c:pt>
                <c:pt idx="2">
                  <c:v>9.3333309999999989E-2</c:v>
                </c:pt>
                <c:pt idx="3">
                  <c:v>9.3333309999999989E-2</c:v>
                </c:pt>
                <c:pt idx="4">
                  <c:v>0.10666663999999999</c:v>
                </c:pt>
                <c:pt idx="5">
                  <c:v>0.10666663999999999</c:v>
                </c:pt>
                <c:pt idx="6">
                  <c:v>0.11999997</c:v>
                </c:pt>
                <c:pt idx="7">
                  <c:v>0.13333329999999999</c:v>
                </c:pt>
                <c:pt idx="8">
                  <c:v>0.17333329</c:v>
                </c:pt>
                <c:pt idx="9">
                  <c:v>0.23999993999999999</c:v>
                </c:pt>
                <c:pt idx="10">
                  <c:v>0.38666656999999993</c:v>
                </c:pt>
                <c:pt idx="11">
                  <c:v>0.58666651999999997</c:v>
                </c:pt>
                <c:pt idx="12">
                  <c:v>0.75999980999999994</c:v>
                </c:pt>
                <c:pt idx="13">
                  <c:v>0.86666644999999987</c:v>
                </c:pt>
                <c:pt idx="14">
                  <c:v>0.89333310999999993</c:v>
                </c:pt>
                <c:pt idx="15">
                  <c:v>0.86666644999999987</c:v>
                </c:pt>
                <c:pt idx="16">
                  <c:v>0.81333312999999985</c:v>
                </c:pt>
                <c:pt idx="17">
                  <c:v>0.77333313999999986</c:v>
                </c:pt>
                <c:pt idx="18">
                  <c:v>0.71999981999999996</c:v>
                </c:pt>
                <c:pt idx="19">
                  <c:v>0.67999982999999986</c:v>
                </c:pt>
                <c:pt idx="20">
                  <c:v>0.63999983999999988</c:v>
                </c:pt>
                <c:pt idx="21">
                  <c:v>0.66666649999999994</c:v>
                </c:pt>
                <c:pt idx="22">
                  <c:v>1.1466663799999999</c:v>
                </c:pt>
                <c:pt idx="23">
                  <c:v>3.5199991199999996</c:v>
                </c:pt>
                <c:pt idx="24">
                  <c:v>12.666663499999999</c:v>
                </c:pt>
                <c:pt idx="25">
                  <c:v>41.986656169999996</c:v>
                </c:pt>
                <c:pt idx="26">
                  <c:v>76.639980839999993</c:v>
                </c:pt>
                <c:pt idx="27">
                  <c:v>101.53330794999999</c:v>
                </c:pt>
                <c:pt idx="28">
                  <c:v>120.53330319999999</c:v>
                </c:pt>
                <c:pt idx="29">
                  <c:v>136.65329917</c:v>
                </c:pt>
                <c:pt idx="30">
                  <c:v>139.25329851999999</c:v>
                </c:pt>
                <c:pt idx="31">
                  <c:v>127.61330142999999</c:v>
                </c:pt>
                <c:pt idx="32">
                  <c:v>116.14663762999999</c:v>
                </c:pt>
                <c:pt idx="33">
                  <c:v>104.77330713999999</c:v>
                </c:pt>
                <c:pt idx="34">
                  <c:v>88.19997794999999</c:v>
                </c:pt>
                <c:pt idx="35">
                  <c:v>68.413316229999992</c:v>
                </c:pt>
                <c:pt idx="36">
                  <c:v>47.959988009999996</c:v>
                </c:pt>
                <c:pt idx="37">
                  <c:v>29.773325889999999</c:v>
                </c:pt>
                <c:pt idx="38">
                  <c:v>18.173328789999999</c:v>
                </c:pt>
                <c:pt idx="39">
                  <c:v>12.45333022</c:v>
                </c:pt>
                <c:pt idx="40">
                  <c:v>9.5733309399999982</c:v>
                </c:pt>
                <c:pt idx="41">
                  <c:v>7.8533313699999994</c:v>
                </c:pt>
                <c:pt idx="42">
                  <c:v>6.6799983299999992</c:v>
                </c:pt>
                <c:pt idx="43">
                  <c:v>5.839998539999999</c:v>
                </c:pt>
                <c:pt idx="44">
                  <c:v>5.1999986999999992</c:v>
                </c:pt>
                <c:pt idx="45">
                  <c:v>4.7066654899999989</c:v>
                </c:pt>
                <c:pt idx="46">
                  <c:v>4.3066655899999988</c:v>
                </c:pt>
                <c:pt idx="47">
                  <c:v>3.9866656699999994</c:v>
                </c:pt>
                <c:pt idx="48">
                  <c:v>3.7199990699999996</c:v>
                </c:pt>
                <c:pt idx="49">
                  <c:v>3.4933324599999995</c:v>
                </c:pt>
                <c:pt idx="50">
                  <c:v>3.30666584</c:v>
                </c:pt>
                <c:pt idx="51">
                  <c:v>3.1333325499999996</c:v>
                </c:pt>
                <c:pt idx="52">
                  <c:v>2.9733325899999996</c:v>
                </c:pt>
                <c:pt idx="53">
                  <c:v>2.8266659599999997</c:v>
                </c:pt>
                <c:pt idx="54">
                  <c:v>2.7066659899999999</c:v>
                </c:pt>
                <c:pt idx="55">
                  <c:v>2.6266660099999997</c:v>
                </c:pt>
                <c:pt idx="56">
                  <c:v>2.5866660199999996</c:v>
                </c:pt>
                <c:pt idx="57">
                  <c:v>2.5599993599999995</c:v>
                </c:pt>
                <c:pt idx="58">
                  <c:v>2.5333326999999999</c:v>
                </c:pt>
                <c:pt idx="59">
                  <c:v>2.5066660399999998</c:v>
                </c:pt>
                <c:pt idx="60">
                  <c:v>2.4933327099999998</c:v>
                </c:pt>
                <c:pt idx="61">
                  <c:v>2.4666660499999997</c:v>
                </c:pt>
                <c:pt idx="62">
                  <c:v>2.4533327199999997</c:v>
                </c:pt>
                <c:pt idx="63">
                  <c:v>2.4399993899999997</c:v>
                </c:pt>
                <c:pt idx="64">
                  <c:v>2.4266660599999996</c:v>
                </c:pt>
                <c:pt idx="65">
                  <c:v>2.4266660599999996</c:v>
                </c:pt>
                <c:pt idx="66">
                  <c:v>2.41333273</c:v>
                </c:pt>
                <c:pt idx="67">
                  <c:v>2.41333273</c:v>
                </c:pt>
                <c:pt idx="68">
                  <c:v>2.3999993999999996</c:v>
                </c:pt>
                <c:pt idx="69">
                  <c:v>2.3999993999999996</c:v>
                </c:pt>
                <c:pt idx="70">
                  <c:v>2.3999993999999996</c:v>
                </c:pt>
                <c:pt idx="71">
                  <c:v>2.3999993999999996</c:v>
                </c:pt>
                <c:pt idx="72">
                  <c:v>2.3999993999999996</c:v>
                </c:pt>
                <c:pt idx="73">
                  <c:v>2.3999993999999996</c:v>
                </c:pt>
                <c:pt idx="74">
                  <c:v>2.3999993999999996</c:v>
                </c:pt>
                <c:pt idx="75">
                  <c:v>2.3999993999999996</c:v>
                </c:pt>
                <c:pt idx="76">
                  <c:v>2.3999993999999996</c:v>
                </c:pt>
                <c:pt idx="77">
                  <c:v>2.41333273</c:v>
                </c:pt>
                <c:pt idx="78">
                  <c:v>2.41333273</c:v>
                </c:pt>
                <c:pt idx="79">
                  <c:v>2.41333273</c:v>
                </c:pt>
                <c:pt idx="80">
                  <c:v>2.41333273</c:v>
                </c:pt>
                <c:pt idx="81">
                  <c:v>2.4266660599999996</c:v>
                </c:pt>
                <c:pt idx="82">
                  <c:v>2.4266660599999996</c:v>
                </c:pt>
                <c:pt idx="83">
                  <c:v>2.4266660599999996</c:v>
                </c:pt>
                <c:pt idx="84">
                  <c:v>2.4266660599999996</c:v>
                </c:pt>
                <c:pt idx="85">
                  <c:v>2.4399993899999997</c:v>
                </c:pt>
                <c:pt idx="86">
                  <c:v>2.4533327199999997</c:v>
                </c:pt>
                <c:pt idx="87">
                  <c:v>2.4533327199999997</c:v>
                </c:pt>
                <c:pt idx="88">
                  <c:v>2.4666660499999997</c:v>
                </c:pt>
                <c:pt idx="89">
                  <c:v>2.4666660499999997</c:v>
                </c:pt>
                <c:pt idx="90">
                  <c:v>2.4666660499999997</c:v>
                </c:pt>
                <c:pt idx="91">
                  <c:v>2.4799993799999998</c:v>
                </c:pt>
                <c:pt idx="92">
                  <c:v>2.4799993799999998</c:v>
                </c:pt>
                <c:pt idx="93">
                  <c:v>2.4799993799999998</c:v>
                </c:pt>
                <c:pt idx="94">
                  <c:v>2.4799993799999998</c:v>
                </c:pt>
                <c:pt idx="95">
                  <c:v>2.4933327099999998</c:v>
                </c:pt>
                <c:pt idx="96">
                  <c:v>2.4933327099999998</c:v>
                </c:pt>
                <c:pt idx="97">
                  <c:v>2.5066660399999998</c:v>
                </c:pt>
                <c:pt idx="98">
                  <c:v>2.5066660399999998</c:v>
                </c:pt>
                <c:pt idx="99">
                  <c:v>2.5066660399999998</c:v>
                </c:pt>
                <c:pt idx="100">
                  <c:v>2.5199993699999994</c:v>
                </c:pt>
                <c:pt idx="101">
                  <c:v>2.5199993699999994</c:v>
                </c:pt>
                <c:pt idx="102">
                  <c:v>2.5199993699999994</c:v>
                </c:pt>
                <c:pt idx="103">
                  <c:v>2.5333326999999999</c:v>
                </c:pt>
                <c:pt idx="104">
                  <c:v>2.5333326999999999</c:v>
                </c:pt>
                <c:pt idx="105">
                  <c:v>2.5466660299999999</c:v>
                </c:pt>
                <c:pt idx="106">
                  <c:v>2.5466660299999999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E7-436D-B839-C5EA6AE08137}"/>
            </c:ext>
          </c:extLst>
        </c:ser>
        <c:ser>
          <c:idx val="4"/>
          <c:order val="4"/>
          <c:tx>
            <c:v>50ml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'10-100ml'!$K$3:$K$109</c:f>
              <c:numCache>
                <c:formatCode>General</c:formatCode>
                <c:ptCount val="107"/>
                <c:pt idx="0">
                  <c:v>2.6666659999999998E-2</c:v>
                </c:pt>
                <c:pt idx="1">
                  <c:v>3.9999989999999992E-2</c:v>
                </c:pt>
                <c:pt idx="2">
                  <c:v>3.9999989999999992E-2</c:v>
                </c:pt>
                <c:pt idx="3">
                  <c:v>3.9999989999999992E-2</c:v>
                </c:pt>
                <c:pt idx="4">
                  <c:v>3.9999989999999992E-2</c:v>
                </c:pt>
                <c:pt idx="5">
                  <c:v>3.9999989999999992E-2</c:v>
                </c:pt>
                <c:pt idx="6">
                  <c:v>5.3333319999999997E-2</c:v>
                </c:pt>
                <c:pt idx="7">
                  <c:v>6.6666649999999994E-2</c:v>
                </c:pt>
                <c:pt idx="8">
                  <c:v>7.9999979999999984E-2</c:v>
                </c:pt>
                <c:pt idx="9">
                  <c:v>9.3333309999999989E-2</c:v>
                </c:pt>
                <c:pt idx="10">
                  <c:v>9.3333309999999989E-2</c:v>
                </c:pt>
                <c:pt idx="11">
                  <c:v>0.10666663999999999</c:v>
                </c:pt>
                <c:pt idx="12">
                  <c:v>0.10666663999999999</c:v>
                </c:pt>
                <c:pt idx="13">
                  <c:v>0.13333329999999999</c:v>
                </c:pt>
                <c:pt idx="14">
                  <c:v>0.27999993000000001</c:v>
                </c:pt>
                <c:pt idx="15">
                  <c:v>1.11999972</c:v>
                </c:pt>
                <c:pt idx="16">
                  <c:v>4.5466655299999994</c:v>
                </c:pt>
                <c:pt idx="17">
                  <c:v>18.039995489999999</c:v>
                </c:pt>
                <c:pt idx="18">
                  <c:v>52.413320229999997</c:v>
                </c:pt>
                <c:pt idx="19">
                  <c:v>92.226643609999996</c:v>
                </c:pt>
                <c:pt idx="20">
                  <c:v>123.89330235999999</c:v>
                </c:pt>
                <c:pt idx="21">
                  <c:v>149.03996273999999</c:v>
                </c:pt>
                <c:pt idx="22">
                  <c:v>163.91995901999999</c:v>
                </c:pt>
                <c:pt idx="23">
                  <c:v>159.37329348999998</c:v>
                </c:pt>
                <c:pt idx="24">
                  <c:v>145.65329692</c:v>
                </c:pt>
                <c:pt idx="25">
                  <c:v>134.21329978</c:v>
                </c:pt>
                <c:pt idx="26">
                  <c:v>124.51996886999999</c:v>
                </c:pt>
                <c:pt idx="27">
                  <c:v>114.57330468999999</c:v>
                </c:pt>
                <c:pt idx="28">
                  <c:v>102.82664095999999</c:v>
                </c:pt>
                <c:pt idx="29">
                  <c:v>89.866644199999996</c:v>
                </c:pt>
                <c:pt idx="30">
                  <c:v>72.799981799999998</c:v>
                </c:pt>
                <c:pt idx="31">
                  <c:v>53.626653259999991</c:v>
                </c:pt>
                <c:pt idx="32">
                  <c:v>36.213324280000002</c:v>
                </c:pt>
                <c:pt idx="33">
                  <c:v>23.999993999999997</c:v>
                </c:pt>
                <c:pt idx="34">
                  <c:v>16.493329209999999</c:v>
                </c:pt>
                <c:pt idx="35">
                  <c:v>11.893330359999998</c:v>
                </c:pt>
                <c:pt idx="36">
                  <c:v>9.159997709999999</c:v>
                </c:pt>
                <c:pt idx="37">
                  <c:v>7.4799981299999994</c:v>
                </c:pt>
                <c:pt idx="38">
                  <c:v>6.3599984100000002</c:v>
                </c:pt>
                <c:pt idx="39">
                  <c:v>5.54666528</c:v>
                </c:pt>
                <c:pt idx="40">
                  <c:v>4.9333320999999994</c:v>
                </c:pt>
                <c:pt idx="41">
                  <c:v>4.4666655499999992</c:v>
                </c:pt>
                <c:pt idx="42">
                  <c:v>4.0799989800000001</c:v>
                </c:pt>
                <c:pt idx="43">
                  <c:v>3.7733323899999998</c:v>
                </c:pt>
                <c:pt idx="44">
                  <c:v>3.5066657899999996</c:v>
                </c:pt>
                <c:pt idx="45">
                  <c:v>3.2933325099999995</c:v>
                </c:pt>
                <c:pt idx="46">
                  <c:v>3.14666588</c:v>
                </c:pt>
                <c:pt idx="47">
                  <c:v>3.0133325799999997</c:v>
                </c:pt>
                <c:pt idx="48">
                  <c:v>2.9066659399999999</c:v>
                </c:pt>
                <c:pt idx="49">
                  <c:v>2.8266659599999997</c:v>
                </c:pt>
                <c:pt idx="50">
                  <c:v>2.74666598</c:v>
                </c:pt>
                <c:pt idx="51">
                  <c:v>2.6666659999999998</c:v>
                </c:pt>
                <c:pt idx="52">
                  <c:v>2.6133326800000001</c:v>
                </c:pt>
                <c:pt idx="53">
                  <c:v>2.5599993599999995</c:v>
                </c:pt>
                <c:pt idx="54">
                  <c:v>2.5066660399999998</c:v>
                </c:pt>
                <c:pt idx="55">
                  <c:v>2.4799993799999998</c:v>
                </c:pt>
                <c:pt idx="56">
                  <c:v>2.4666660499999997</c:v>
                </c:pt>
                <c:pt idx="57">
                  <c:v>2.4533327199999997</c:v>
                </c:pt>
                <c:pt idx="58">
                  <c:v>2.4399993899999997</c:v>
                </c:pt>
                <c:pt idx="59">
                  <c:v>2.4399993899999997</c:v>
                </c:pt>
                <c:pt idx="60">
                  <c:v>2.4399993899999997</c:v>
                </c:pt>
                <c:pt idx="61">
                  <c:v>2.4266660599999996</c:v>
                </c:pt>
                <c:pt idx="62">
                  <c:v>2.4266660599999996</c:v>
                </c:pt>
                <c:pt idx="63">
                  <c:v>2.4266660599999996</c:v>
                </c:pt>
                <c:pt idx="64">
                  <c:v>2.4266660599999996</c:v>
                </c:pt>
                <c:pt idx="65">
                  <c:v>2.4266660599999996</c:v>
                </c:pt>
                <c:pt idx="66">
                  <c:v>2.4266660599999996</c:v>
                </c:pt>
                <c:pt idx="67">
                  <c:v>2.4266660599999996</c:v>
                </c:pt>
                <c:pt idx="68">
                  <c:v>2.4266660599999996</c:v>
                </c:pt>
                <c:pt idx="69">
                  <c:v>2.4266660599999996</c:v>
                </c:pt>
                <c:pt idx="70">
                  <c:v>2.4266660599999996</c:v>
                </c:pt>
                <c:pt idx="71">
                  <c:v>2.4266660599999996</c:v>
                </c:pt>
                <c:pt idx="72">
                  <c:v>2.4399993899999997</c:v>
                </c:pt>
                <c:pt idx="73">
                  <c:v>2.4399993899999997</c:v>
                </c:pt>
                <c:pt idx="74">
                  <c:v>2.4399993899999997</c:v>
                </c:pt>
                <c:pt idx="75">
                  <c:v>2.4533327199999997</c:v>
                </c:pt>
                <c:pt idx="76">
                  <c:v>2.4666660499999997</c:v>
                </c:pt>
                <c:pt idx="77">
                  <c:v>2.4666660499999997</c:v>
                </c:pt>
                <c:pt idx="78">
                  <c:v>2.4799993799999998</c:v>
                </c:pt>
                <c:pt idx="79">
                  <c:v>2.4799993799999998</c:v>
                </c:pt>
                <c:pt idx="80">
                  <c:v>2.4933327099999998</c:v>
                </c:pt>
                <c:pt idx="81">
                  <c:v>2.4933327099999998</c:v>
                </c:pt>
                <c:pt idx="82">
                  <c:v>2.4933327099999998</c:v>
                </c:pt>
                <c:pt idx="83">
                  <c:v>2.5066660399999998</c:v>
                </c:pt>
                <c:pt idx="84">
                  <c:v>2.5199993699999994</c:v>
                </c:pt>
                <c:pt idx="85">
                  <c:v>2.5199993699999994</c:v>
                </c:pt>
                <c:pt idx="86">
                  <c:v>2.5199993699999994</c:v>
                </c:pt>
                <c:pt idx="87">
                  <c:v>2.5333326999999999</c:v>
                </c:pt>
                <c:pt idx="88">
                  <c:v>2.5466660299999999</c:v>
                </c:pt>
                <c:pt idx="89">
                  <c:v>2.5466660299999999</c:v>
                </c:pt>
                <c:pt idx="90">
                  <c:v>2.5599993599999995</c:v>
                </c:pt>
                <c:pt idx="91">
                  <c:v>2.5599993599999995</c:v>
                </c:pt>
                <c:pt idx="92">
                  <c:v>2.57333269</c:v>
                </c:pt>
                <c:pt idx="93">
                  <c:v>2.57333269</c:v>
                </c:pt>
                <c:pt idx="94">
                  <c:v>2.5866660199999996</c:v>
                </c:pt>
                <c:pt idx="95">
                  <c:v>2.5999993499999996</c:v>
                </c:pt>
                <c:pt idx="96">
                  <c:v>2.5999993499999996</c:v>
                </c:pt>
                <c:pt idx="97">
                  <c:v>2.6133326800000001</c:v>
                </c:pt>
                <c:pt idx="98">
                  <c:v>2.6266660099999997</c:v>
                </c:pt>
                <c:pt idx="99">
                  <c:v>2.6399993399999997</c:v>
                </c:pt>
                <c:pt idx="100">
                  <c:v>2.6266660099999997</c:v>
                </c:pt>
                <c:pt idx="101">
                  <c:v>2.6399993399999997</c:v>
                </c:pt>
                <c:pt idx="102">
                  <c:v>2.6399993399999997</c:v>
                </c:pt>
                <c:pt idx="103">
                  <c:v>2.6533326699999997</c:v>
                </c:pt>
                <c:pt idx="104">
                  <c:v>2.6533326699999997</c:v>
                </c:pt>
                <c:pt idx="105">
                  <c:v>2.6666659999999998</c:v>
                </c:pt>
                <c:pt idx="106">
                  <c:v>2.6666659999999998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E7-436D-B839-C5EA6AE08137}"/>
            </c:ext>
          </c:extLst>
        </c:ser>
        <c:ser>
          <c:idx val="5"/>
          <c:order val="5"/>
          <c:tx>
            <c:v>60ml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'10-100ml'!$M$3:$M$109</c:f>
              <c:numCache>
                <c:formatCode>General</c:formatCode>
                <c:ptCount val="107"/>
                <c:pt idx="0">
                  <c:v>0.43999988999999995</c:v>
                </c:pt>
                <c:pt idx="1">
                  <c:v>0.50666653999999989</c:v>
                </c:pt>
                <c:pt idx="2">
                  <c:v>0.57333318999999994</c:v>
                </c:pt>
                <c:pt idx="3">
                  <c:v>0.62666650999999995</c:v>
                </c:pt>
                <c:pt idx="4">
                  <c:v>0.67999982999999986</c:v>
                </c:pt>
                <c:pt idx="5">
                  <c:v>0.73333314999999999</c:v>
                </c:pt>
                <c:pt idx="6">
                  <c:v>0.78666647000000001</c:v>
                </c:pt>
                <c:pt idx="7">
                  <c:v>0.83999978999999991</c:v>
                </c:pt>
                <c:pt idx="8">
                  <c:v>0.8799997799999999</c:v>
                </c:pt>
                <c:pt idx="9">
                  <c:v>0.93333309999999992</c:v>
                </c:pt>
                <c:pt idx="10">
                  <c:v>1.0133330799999998</c:v>
                </c:pt>
                <c:pt idx="11">
                  <c:v>1.0933330599999997</c:v>
                </c:pt>
                <c:pt idx="12">
                  <c:v>1.1599997099999999</c:v>
                </c:pt>
                <c:pt idx="13">
                  <c:v>1.1999996999999998</c:v>
                </c:pt>
                <c:pt idx="14">
                  <c:v>1.2266663599999998</c:v>
                </c:pt>
                <c:pt idx="15">
                  <c:v>1.2533330199999999</c:v>
                </c:pt>
                <c:pt idx="16">
                  <c:v>1.2666663499999999</c:v>
                </c:pt>
                <c:pt idx="17">
                  <c:v>1.2933330099999998</c:v>
                </c:pt>
                <c:pt idx="18">
                  <c:v>1.30666634</c:v>
                </c:pt>
                <c:pt idx="19">
                  <c:v>1.3333329999999999</c:v>
                </c:pt>
                <c:pt idx="20">
                  <c:v>1.3999996499999998</c:v>
                </c:pt>
                <c:pt idx="21">
                  <c:v>1.5466662799999997</c:v>
                </c:pt>
                <c:pt idx="22">
                  <c:v>1.63999959</c:v>
                </c:pt>
                <c:pt idx="23">
                  <c:v>1.65333292</c:v>
                </c:pt>
                <c:pt idx="24">
                  <c:v>1.63999959</c:v>
                </c:pt>
                <c:pt idx="25">
                  <c:v>1.6799995799999998</c:v>
                </c:pt>
                <c:pt idx="26">
                  <c:v>1.8133328799999997</c:v>
                </c:pt>
                <c:pt idx="27">
                  <c:v>2.4799993799999998</c:v>
                </c:pt>
                <c:pt idx="28">
                  <c:v>4.8533321199999993</c:v>
                </c:pt>
                <c:pt idx="29">
                  <c:v>10.31999742</c:v>
                </c:pt>
                <c:pt idx="30">
                  <c:v>26.613326679999997</c:v>
                </c:pt>
                <c:pt idx="31">
                  <c:v>65.74665023</c:v>
                </c:pt>
                <c:pt idx="32">
                  <c:v>106.59997334999998</c:v>
                </c:pt>
                <c:pt idx="33">
                  <c:v>134.89329960999999</c:v>
                </c:pt>
                <c:pt idx="34">
                  <c:v>154.63996133999999</c:v>
                </c:pt>
                <c:pt idx="35">
                  <c:v>168.85329111999999</c:v>
                </c:pt>
                <c:pt idx="36">
                  <c:v>170.87995727999999</c:v>
                </c:pt>
                <c:pt idx="37">
                  <c:v>158.18662712</c:v>
                </c:pt>
                <c:pt idx="38">
                  <c:v>145.55996360999998</c:v>
                </c:pt>
                <c:pt idx="39">
                  <c:v>131.09330055999999</c:v>
                </c:pt>
                <c:pt idx="40">
                  <c:v>104.94664042999999</c:v>
                </c:pt>
                <c:pt idx="41">
                  <c:v>76.14664762999999</c:v>
                </c:pt>
                <c:pt idx="42">
                  <c:v>49.879987530000001</c:v>
                </c:pt>
                <c:pt idx="43">
                  <c:v>31.599992099999998</c:v>
                </c:pt>
                <c:pt idx="44">
                  <c:v>21.959994509999998</c:v>
                </c:pt>
                <c:pt idx="45">
                  <c:v>16.599995849999999</c:v>
                </c:pt>
                <c:pt idx="46">
                  <c:v>13.29333001</c:v>
                </c:pt>
                <c:pt idx="47">
                  <c:v>11.066663899999998</c:v>
                </c:pt>
                <c:pt idx="48">
                  <c:v>9.479997629999998</c:v>
                </c:pt>
                <c:pt idx="49">
                  <c:v>8.3466645799999988</c:v>
                </c:pt>
                <c:pt idx="50">
                  <c:v>7.5333314499999995</c:v>
                </c:pt>
                <c:pt idx="51">
                  <c:v>6.9333315999999989</c:v>
                </c:pt>
                <c:pt idx="52">
                  <c:v>6.4666650499999996</c:v>
                </c:pt>
                <c:pt idx="53">
                  <c:v>6.0933318099999996</c:v>
                </c:pt>
                <c:pt idx="54">
                  <c:v>5.7866652199999997</c:v>
                </c:pt>
                <c:pt idx="55">
                  <c:v>5.54666528</c:v>
                </c:pt>
                <c:pt idx="56">
                  <c:v>5.3466653299999995</c:v>
                </c:pt>
                <c:pt idx="57">
                  <c:v>5.1866653699999992</c:v>
                </c:pt>
                <c:pt idx="58">
                  <c:v>5.0533320699999997</c:v>
                </c:pt>
                <c:pt idx="59">
                  <c:v>4.9333320999999994</c:v>
                </c:pt>
                <c:pt idx="60">
                  <c:v>4.8399987899999992</c:v>
                </c:pt>
                <c:pt idx="61">
                  <c:v>4.7466654799999999</c:v>
                </c:pt>
                <c:pt idx="62">
                  <c:v>4.6666654999999997</c:v>
                </c:pt>
                <c:pt idx="63">
                  <c:v>4.5999988499999995</c:v>
                </c:pt>
                <c:pt idx="64">
                  <c:v>4.5199988699999993</c:v>
                </c:pt>
                <c:pt idx="65">
                  <c:v>4.4533322199999992</c:v>
                </c:pt>
                <c:pt idx="66">
                  <c:v>4.386665569999999</c:v>
                </c:pt>
                <c:pt idx="67">
                  <c:v>4.3333322499999998</c:v>
                </c:pt>
                <c:pt idx="68">
                  <c:v>4.2933322599999997</c:v>
                </c:pt>
                <c:pt idx="69">
                  <c:v>4.2533322699999996</c:v>
                </c:pt>
                <c:pt idx="70">
                  <c:v>4.2133322799999995</c:v>
                </c:pt>
                <c:pt idx="71">
                  <c:v>4.1866656199999994</c:v>
                </c:pt>
                <c:pt idx="72">
                  <c:v>4.1466656300000002</c:v>
                </c:pt>
                <c:pt idx="73">
                  <c:v>4.1199989699999993</c:v>
                </c:pt>
                <c:pt idx="74">
                  <c:v>4.0933323099999992</c:v>
                </c:pt>
                <c:pt idx="75">
                  <c:v>4.06666565</c:v>
                </c:pt>
                <c:pt idx="76">
                  <c:v>4.03999899</c:v>
                </c:pt>
                <c:pt idx="77">
                  <c:v>4.0133323299999999</c:v>
                </c:pt>
                <c:pt idx="78">
                  <c:v>3.9999989999999999</c:v>
                </c:pt>
                <c:pt idx="79">
                  <c:v>3.9866656699999994</c:v>
                </c:pt>
                <c:pt idx="80">
                  <c:v>3.9599990099999998</c:v>
                </c:pt>
                <c:pt idx="81">
                  <c:v>3.9466656799999997</c:v>
                </c:pt>
                <c:pt idx="82">
                  <c:v>3.9466656799999997</c:v>
                </c:pt>
                <c:pt idx="83">
                  <c:v>3.9466656799999997</c:v>
                </c:pt>
                <c:pt idx="84">
                  <c:v>3.9466656799999997</c:v>
                </c:pt>
                <c:pt idx="85">
                  <c:v>3.9466656799999997</c:v>
                </c:pt>
                <c:pt idx="86">
                  <c:v>3.9466656799999997</c:v>
                </c:pt>
                <c:pt idx="87">
                  <c:v>3.9466656799999997</c:v>
                </c:pt>
                <c:pt idx="88">
                  <c:v>3.9466656799999997</c:v>
                </c:pt>
                <c:pt idx="89">
                  <c:v>3.9466656799999997</c:v>
                </c:pt>
                <c:pt idx="90">
                  <c:v>3.9466656799999997</c:v>
                </c:pt>
                <c:pt idx="91">
                  <c:v>3.9466656799999997</c:v>
                </c:pt>
                <c:pt idx="92">
                  <c:v>3.9599990099999998</c:v>
                </c:pt>
                <c:pt idx="93">
                  <c:v>3.9733323399999998</c:v>
                </c:pt>
                <c:pt idx="94">
                  <c:v>3.9733323399999998</c:v>
                </c:pt>
                <c:pt idx="95">
                  <c:v>3.9733323399999998</c:v>
                </c:pt>
                <c:pt idx="96">
                  <c:v>3.9866656699999994</c:v>
                </c:pt>
                <c:pt idx="97">
                  <c:v>3.9866656699999994</c:v>
                </c:pt>
                <c:pt idx="98">
                  <c:v>3.9999989999999999</c:v>
                </c:pt>
                <c:pt idx="99">
                  <c:v>3.9999989999999999</c:v>
                </c:pt>
                <c:pt idx="100">
                  <c:v>4.0133323299999999</c:v>
                </c:pt>
                <c:pt idx="101">
                  <c:v>4.0133323299999999</c:v>
                </c:pt>
                <c:pt idx="102">
                  <c:v>4.0133323299999999</c:v>
                </c:pt>
                <c:pt idx="103">
                  <c:v>4.0133323299999999</c:v>
                </c:pt>
                <c:pt idx="104">
                  <c:v>4.0133323299999999</c:v>
                </c:pt>
                <c:pt idx="105">
                  <c:v>4.0133323299999999</c:v>
                </c:pt>
                <c:pt idx="106">
                  <c:v>4.0266656599999999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E7-436D-B839-C5EA6AE08137}"/>
            </c:ext>
          </c:extLst>
        </c:ser>
        <c:ser>
          <c:idx val="6"/>
          <c:order val="6"/>
          <c:tx>
            <c:v>70ml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'10-100ml'!$O$3:$O$109</c:f>
              <c:numCache>
                <c:formatCode>General</c:formatCode>
                <c:ptCount val="107"/>
                <c:pt idx="0">
                  <c:v>0.22666660999999996</c:v>
                </c:pt>
                <c:pt idx="1">
                  <c:v>0.26666659999999998</c:v>
                </c:pt>
                <c:pt idx="2">
                  <c:v>0.29333325999999998</c:v>
                </c:pt>
                <c:pt idx="3">
                  <c:v>0.31999991999999994</c:v>
                </c:pt>
                <c:pt idx="4">
                  <c:v>0.34666658</c:v>
                </c:pt>
                <c:pt idx="5">
                  <c:v>0.37333323999999996</c:v>
                </c:pt>
                <c:pt idx="6">
                  <c:v>0.39999989999999996</c:v>
                </c:pt>
                <c:pt idx="7">
                  <c:v>0.43999988999999995</c:v>
                </c:pt>
                <c:pt idx="8">
                  <c:v>0.49333320999999997</c:v>
                </c:pt>
                <c:pt idx="9">
                  <c:v>0.66666649999999994</c:v>
                </c:pt>
                <c:pt idx="10">
                  <c:v>0.8799997799999999</c:v>
                </c:pt>
                <c:pt idx="11">
                  <c:v>1.0533330699999999</c:v>
                </c:pt>
                <c:pt idx="12">
                  <c:v>1.1599997099999999</c:v>
                </c:pt>
                <c:pt idx="13">
                  <c:v>1.2266663599999998</c:v>
                </c:pt>
                <c:pt idx="14">
                  <c:v>1.2533330199999999</c:v>
                </c:pt>
                <c:pt idx="15">
                  <c:v>1.2399996899999999</c:v>
                </c:pt>
                <c:pt idx="16">
                  <c:v>1.18666637</c:v>
                </c:pt>
                <c:pt idx="17">
                  <c:v>1.1599997099999999</c:v>
                </c:pt>
                <c:pt idx="18">
                  <c:v>1.3199996699999998</c:v>
                </c:pt>
                <c:pt idx="19">
                  <c:v>2.4266660599999996</c:v>
                </c:pt>
                <c:pt idx="20">
                  <c:v>5.9199985199999992</c:v>
                </c:pt>
                <c:pt idx="21">
                  <c:v>16.773329139999998</c:v>
                </c:pt>
                <c:pt idx="22">
                  <c:v>41.679989579999997</c:v>
                </c:pt>
                <c:pt idx="23">
                  <c:v>71.06664889999999</c:v>
                </c:pt>
                <c:pt idx="24">
                  <c:v>96.679975829999989</c:v>
                </c:pt>
                <c:pt idx="25">
                  <c:v>115.51997111999998</c:v>
                </c:pt>
                <c:pt idx="26">
                  <c:v>128.93330109999999</c:v>
                </c:pt>
                <c:pt idx="27">
                  <c:v>140.29329826</c:v>
                </c:pt>
                <c:pt idx="28">
                  <c:v>151.15996221</c:v>
                </c:pt>
                <c:pt idx="29">
                  <c:v>159.46662679999997</c:v>
                </c:pt>
                <c:pt idx="30">
                  <c:v>166.33329174999997</c:v>
                </c:pt>
                <c:pt idx="31">
                  <c:v>169.70662423999997</c:v>
                </c:pt>
                <c:pt idx="32">
                  <c:v>161.69329291</c:v>
                </c:pt>
                <c:pt idx="33">
                  <c:v>149.27996267999998</c:v>
                </c:pt>
                <c:pt idx="34">
                  <c:v>138.57329868999997</c:v>
                </c:pt>
                <c:pt idx="35">
                  <c:v>127.78663471999998</c:v>
                </c:pt>
                <c:pt idx="36">
                  <c:v>111.93330534999998</c:v>
                </c:pt>
                <c:pt idx="37">
                  <c:v>92.946643429999995</c:v>
                </c:pt>
                <c:pt idx="38">
                  <c:v>72.906648439999984</c:v>
                </c:pt>
                <c:pt idx="39">
                  <c:v>53.199986699999997</c:v>
                </c:pt>
                <c:pt idx="40">
                  <c:v>36.626657509999994</c:v>
                </c:pt>
                <c:pt idx="41">
                  <c:v>24.106660639999998</c:v>
                </c:pt>
                <c:pt idx="42">
                  <c:v>16.706662489999999</c:v>
                </c:pt>
                <c:pt idx="43">
                  <c:v>12.679996829999999</c:v>
                </c:pt>
                <c:pt idx="44">
                  <c:v>10.31999742</c:v>
                </c:pt>
                <c:pt idx="45">
                  <c:v>8.773331139999998</c:v>
                </c:pt>
                <c:pt idx="46">
                  <c:v>7.6666647499999989</c:v>
                </c:pt>
                <c:pt idx="47">
                  <c:v>6.8533316199999996</c:v>
                </c:pt>
                <c:pt idx="48">
                  <c:v>6.2266651099999999</c:v>
                </c:pt>
                <c:pt idx="49">
                  <c:v>5.7466652299999996</c:v>
                </c:pt>
                <c:pt idx="50">
                  <c:v>5.3599986599999996</c:v>
                </c:pt>
                <c:pt idx="51">
                  <c:v>5.0533320699999997</c:v>
                </c:pt>
                <c:pt idx="52">
                  <c:v>4.7999987999999991</c:v>
                </c:pt>
                <c:pt idx="53">
                  <c:v>4.5866655199999995</c:v>
                </c:pt>
                <c:pt idx="54">
                  <c:v>4.3999988999999999</c:v>
                </c:pt>
                <c:pt idx="55">
                  <c:v>4.2666655999999996</c:v>
                </c:pt>
                <c:pt idx="56">
                  <c:v>4.1999989499999995</c:v>
                </c:pt>
                <c:pt idx="57">
                  <c:v>4.1599989599999994</c:v>
                </c:pt>
                <c:pt idx="58">
                  <c:v>4.1199989699999993</c:v>
                </c:pt>
                <c:pt idx="59">
                  <c:v>4.0933323099999992</c:v>
                </c:pt>
                <c:pt idx="60">
                  <c:v>4.06666565</c:v>
                </c:pt>
                <c:pt idx="61">
                  <c:v>4.03999899</c:v>
                </c:pt>
                <c:pt idx="62">
                  <c:v>4.0133323299999999</c:v>
                </c:pt>
                <c:pt idx="63">
                  <c:v>3.9866656699999994</c:v>
                </c:pt>
                <c:pt idx="64">
                  <c:v>3.9599990099999998</c:v>
                </c:pt>
                <c:pt idx="65">
                  <c:v>3.9466656799999997</c:v>
                </c:pt>
                <c:pt idx="66">
                  <c:v>3.9199990199999997</c:v>
                </c:pt>
                <c:pt idx="67">
                  <c:v>3.9066656899999996</c:v>
                </c:pt>
                <c:pt idx="68">
                  <c:v>3.8933323599999996</c:v>
                </c:pt>
                <c:pt idx="69">
                  <c:v>3.87999903</c:v>
                </c:pt>
                <c:pt idx="70">
                  <c:v>3.8666656999999995</c:v>
                </c:pt>
                <c:pt idx="71">
                  <c:v>3.8533323699999995</c:v>
                </c:pt>
                <c:pt idx="72">
                  <c:v>3.8533323699999995</c:v>
                </c:pt>
                <c:pt idx="73">
                  <c:v>3.8399990399999999</c:v>
                </c:pt>
                <c:pt idx="74">
                  <c:v>3.8266657099999994</c:v>
                </c:pt>
                <c:pt idx="75">
                  <c:v>3.8266657099999994</c:v>
                </c:pt>
                <c:pt idx="76">
                  <c:v>3.8266657099999994</c:v>
                </c:pt>
                <c:pt idx="77">
                  <c:v>3.8133323799999999</c:v>
                </c:pt>
                <c:pt idx="78">
                  <c:v>3.8133323799999999</c:v>
                </c:pt>
                <c:pt idx="79">
                  <c:v>3.8133323799999999</c:v>
                </c:pt>
                <c:pt idx="80">
                  <c:v>3.8133323799999999</c:v>
                </c:pt>
                <c:pt idx="81">
                  <c:v>3.8133323799999999</c:v>
                </c:pt>
                <c:pt idx="82">
                  <c:v>3.8133323799999999</c:v>
                </c:pt>
                <c:pt idx="83">
                  <c:v>3.8133323799999999</c:v>
                </c:pt>
                <c:pt idx="84">
                  <c:v>3.8133323799999999</c:v>
                </c:pt>
                <c:pt idx="85">
                  <c:v>3.8133323799999999</c:v>
                </c:pt>
                <c:pt idx="86">
                  <c:v>3.8133323799999999</c:v>
                </c:pt>
                <c:pt idx="87">
                  <c:v>3.8133323799999999</c:v>
                </c:pt>
                <c:pt idx="88">
                  <c:v>3.8133323799999999</c:v>
                </c:pt>
                <c:pt idx="89">
                  <c:v>3.8133323799999999</c:v>
                </c:pt>
                <c:pt idx="90">
                  <c:v>3.8266657099999994</c:v>
                </c:pt>
                <c:pt idx="91">
                  <c:v>3.8266657099999994</c:v>
                </c:pt>
                <c:pt idx="92">
                  <c:v>3.8399990399999999</c:v>
                </c:pt>
                <c:pt idx="93">
                  <c:v>3.8399990399999999</c:v>
                </c:pt>
                <c:pt idx="94">
                  <c:v>3.8533323699999995</c:v>
                </c:pt>
                <c:pt idx="95">
                  <c:v>3.8533323699999995</c:v>
                </c:pt>
                <c:pt idx="96">
                  <c:v>3.8533323699999995</c:v>
                </c:pt>
                <c:pt idx="97">
                  <c:v>3.8666656999999995</c:v>
                </c:pt>
                <c:pt idx="98">
                  <c:v>3.8666656999999995</c:v>
                </c:pt>
                <c:pt idx="99">
                  <c:v>3.87999903</c:v>
                </c:pt>
                <c:pt idx="100">
                  <c:v>3.8933323599999996</c:v>
                </c:pt>
                <c:pt idx="101">
                  <c:v>3.8933323599999996</c:v>
                </c:pt>
                <c:pt idx="102">
                  <c:v>3.8933323599999996</c:v>
                </c:pt>
                <c:pt idx="103">
                  <c:v>3.9066656899999996</c:v>
                </c:pt>
                <c:pt idx="104">
                  <c:v>3.9066656899999996</c:v>
                </c:pt>
                <c:pt idx="105">
                  <c:v>3.9199990199999997</c:v>
                </c:pt>
                <c:pt idx="106">
                  <c:v>3.9199990199999997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2E7-436D-B839-C5EA6AE08137}"/>
            </c:ext>
          </c:extLst>
        </c:ser>
        <c:ser>
          <c:idx val="7"/>
          <c:order val="7"/>
          <c:tx>
            <c:v>80ml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'10-100ml'!$Q$3:$Q$109</c:f>
              <c:numCache>
                <c:formatCode>General</c:formatCode>
                <c:ptCount val="107"/>
                <c:pt idx="0">
                  <c:v>0.29333325999999998</c:v>
                </c:pt>
                <c:pt idx="1">
                  <c:v>0.34666658</c:v>
                </c:pt>
                <c:pt idx="2">
                  <c:v>0.38666656999999993</c:v>
                </c:pt>
                <c:pt idx="3">
                  <c:v>0.43999988999999995</c:v>
                </c:pt>
                <c:pt idx="4">
                  <c:v>0.49333320999999997</c:v>
                </c:pt>
                <c:pt idx="5">
                  <c:v>0.57333318999999994</c:v>
                </c:pt>
                <c:pt idx="6">
                  <c:v>0.70666648999999992</c:v>
                </c:pt>
                <c:pt idx="7">
                  <c:v>0.8799997799999999</c:v>
                </c:pt>
                <c:pt idx="8">
                  <c:v>1.0799997299999999</c:v>
                </c:pt>
                <c:pt idx="9">
                  <c:v>1.3199996699999998</c:v>
                </c:pt>
                <c:pt idx="10">
                  <c:v>1.5866662699999998</c:v>
                </c:pt>
                <c:pt idx="11">
                  <c:v>1.8933328599999997</c:v>
                </c:pt>
                <c:pt idx="12">
                  <c:v>2.3066660899999998</c:v>
                </c:pt>
                <c:pt idx="13">
                  <c:v>3.3466658300000001</c:v>
                </c:pt>
                <c:pt idx="14">
                  <c:v>5.8266652099999998</c:v>
                </c:pt>
                <c:pt idx="15">
                  <c:v>13.933329849999998</c:v>
                </c:pt>
                <c:pt idx="16">
                  <c:v>32.559991859999997</c:v>
                </c:pt>
                <c:pt idx="17">
                  <c:v>52.306653589999996</c:v>
                </c:pt>
                <c:pt idx="18">
                  <c:v>72.959981760000005</c:v>
                </c:pt>
                <c:pt idx="19">
                  <c:v>91.893310360000001</c:v>
                </c:pt>
                <c:pt idx="20">
                  <c:v>111.45330546999999</c:v>
                </c:pt>
                <c:pt idx="21">
                  <c:v>128.75996781000001</c:v>
                </c:pt>
                <c:pt idx="22">
                  <c:v>140.54663152999998</c:v>
                </c:pt>
                <c:pt idx="23">
                  <c:v>149.02662941</c:v>
                </c:pt>
                <c:pt idx="24">
                  <c:v>156.85329411999999</c:v>
                </c:pt>
                <c:pt idx="25">
                  <c:v>164.89329211</c:v>
                </c:pt>
                <c:pt idx="26">
                  <c:v>172.34662357999997</c:v>
                </c:pt>
                <c:pt idx="27">
                  <c:v>177.70662223999997</c:v>
                </c:pt>
                <c:pt idx="28">
                  <c:v>173.59995659999998</c:v>
                </c:pt>
                <c:pt idx="29">
                  <c:v>160.95995976</c:v>
                </c:pt>
                <c:pt idx="30">
                  <c:v>149.23996268999997</c:v>
                </c:pt>
                <c:pt idx="31">
                  <c:v>139.55996511000001</c:v>
                </c:pt>
                <c:pt idx="32">
                  <c:v>131.45330046999999</c:v>
                </c:pt>
                <c:pt idx="33">
                  <c:v>124.42663555999999</c:v>
                </c:pt>
                <c:pt idx="34">
                  <c:v>118.06663714999999</c:v>
                </c:pt>
                <c:pt idx="35">
                  <c:v>112.26663859999999</c:v>
                </c:pt>
                <c:pt idx="36">
                  <c:v>106.75997330999999</c:v>
                </c:pt>
                <c:pt idx="37">
                  <c:v>101.31997466999999</c:v>
                </c:pt>
                <c:pt idx="38">
                  <c:v>95.826642710000002</c:v>
                </c:pt>
                <c:pt idx="39">
                  <c:v>90.106644139999986</c:v>
                </c:pt>
                <c:pt idx="40">
                  <c:v>83.986645669999987</c:v>
                </c:pt>
                <c:pt idx="41">
                  <c:v>77.426647309999993</c:v>
                </c:pt>
                <c:pt idx="42">
                  <c:v>70.479982379999996</c:v>
                </c:pt>
                <c:pt idx="43">
                  <c:v>63.319984169999991</c:v>
                </c:pt>
                <c:pt idx="44">
                  <c:v>56.106652639999993</c:v>
                </c:pt>
                <c:pt idx="45">
                  <c:v>49.159987709999996</c:v>
                </c:pt>
                <c:pt idx="46">
                  <c:v>42.679989329999998</c:v>
                </c:pt>
                <c:pt idx="47">
                  <c:v>36.799990799999996</c:v>
                </c:pt>
                <c:pt idx="48">
                  <c:v>31.599992099999998</c:v>
                </c:pt>
                <c:pt idx="49">
                  <c:v>27.133326549999996</c:v>
                </c:pt>
                <c:pt idx="50">
                  <c:v>23.399994149999998</c:v>
                </c:pt>
                <c:pt idx="51">
                  <c:v>20.679994829999998</c:v>
                </c:pt>
                <c:pt idx="52">
                  <c:v>19.239995189999998</c:v>
                </c:pt>
                <c:pt idx="53">
                  <c:v>18.226662109999996</c:v>
                </c:pt>
                <c:pt idx="54">
                  <c:v>17.293329009999997</c:v>
                </c:pt>
                <c:pt idx="55">
                  <c:v>16.466662549999999</c:v>
                </c:pt>
                <c:pt idx="56">
                  <c:v>15.733329399999999</c:v>
                </c:pt>
                <c:pt idx="57">
                  <c:v>15.093329559999999</c:v>
                </c:pt>
                <c:pt idx="58">
                  <c:v>14.506663039999998</c:v>
                </c:pt>
                <c:pt idx="59">
                  <c:v>13.973329839999998</c:v>
                </c:pt>
                <c:pt idx="60">
                  <c:v>13.479996629999999</c:v>
                </c:pt>
                <c:pt idx="61">
                  <c:v>13.039996739999998</c:v>
                </c:pt>
                <c:pt idx="62">
                  <c:v>12.679996829999999</c:v>
                </c:pt>
                <c:pt idx="63">
                  <c:v>12.35999691</c:v>
                </c:pt>
                <c:pt idx="64">
                  <c:v>12.119996969999999</c:v>
                </c:pt>
                <c:pt idx="65">
                  <c:v>11.946663679999999</c:v>
                </c:pt>
                <c:pt idx="66">
                  <c:v>11.813330379999998</c:v>
                </c:pt>
                <c:pt idx="67">
                  <c:v>11.706663739999998</c:v>
                </c:pt>
                <c:pt idx="68">
                  <c:v>11.613330429999998</c:v>
                </c:pt>
                <c:pt idx="69">
                  <c:v>11.519997119999999</c:v>
                </c:pt>
                <c:pt idx="70">
                  <c:v>11.453330469999999</c:v>
                </c:pt>
                <c:pt idx="71">
                  <c:v>11.386663819999999</c:v>
                </c:pt>
                <c:pt idx="72">
                  <c:v>11.346663829999999</c:v>
                </c:pt>
                <c:pt idx="73">
                  <c:v>11.306663839999999</c:v>
                </c:pt>
                <c:pt idx="74">
                  <c:v>11.279997179999999</c:v>
                </c:pt>
                <c:pt idx="75">
                  <c:v>11.25333052</c:v>
                </c:pt>
                <c:pt idx="76">
                  <c:v>11.226663859999999</c:v>
                </c:pt>
                <c:pt idx="77">
                  <c:v>11.199997199999999</c:v>
                </c:pt>
                <c:pt idx="78">
                  <c:v>11.18666387</c:v>
                </c:pt>
                <c:pt idx="79">
                  <c:v>11.15999721</c:v>
                </c:pt>
                <c:pt idx="80">
                  <c:v>11.146663879999998</c:v>
                </c:pt>
                <c:pt idx="81">
                  <c:v>11.146663879999998</c:v>
                </c:pt>
                <c:pt idx="82">
                  <c:v>11.133330549999998</c:v>
                </c:pt>
                <c:pt idx="83">
                  <c:v>11.11999722</c:v>
                </c:pt>
                <c:pt idx="84">
                  <c:v>11.11999722</c:v>
                </c:pt>
                <c:pt idx="85">
                  <c:v>11.106663889999998</c:v>
                </c:pt>
                <c:pt idx="86">
                  <c:v>11.106663889999998</c:v>
                </c:pt>
                <c:pt idx="87">
                  <c:v>11.106663889999998</c:v>
                </c:pt>
                <c:pt idx="88">
                  <c:v>11.09333056</c:v>
                </c:pt>
                <c:pt idx="89">
                  <c:v>11.09333056</c:v>
                </c:pt>
                <c:pt idx="90">
                  <c:v>11.09333056</c:v>
                </c:pt>
                <c:pt idx="91">
                  <c:v>11.09333056</c:v>
                </c:pt>
                <c:pt idx="92">
                  <c:v>11.09333056</c:v>
                </c:pt>
                <c:pt idx="93">
                  <c:v>11.09333056</c:v>
                </c:pt>
                <c:pt idx="94">
                  <c:v>11.09333056</c:v>
                </c:pt>
                <c:pt idx="95">
                  <c:v>11.09333056</c:v>
                </c:pt>
                <c:pt idx="96">
                  <c:v>11.09333056</c:v>
                </c:pt>
                <c:pt idx="97">
                  <c:v>11.106663889999998</c:v>
                </c:pt>
                <c:pt idx="98">
                  <c:v>11.106663889999998</c:v>
                </c:pt>
                <c:pt idx="99">
                  <c:v>11.106663889999998</c:v>
                </c:pt>
                <c:pt idx="100">
                  <c:v>11.106663889999998</c:v>
                </c:pt>
                <c:pt idx="101">
                  <c:v>11.106663889999998</c:v>
                </c:pt>
                <c:pt idx="102">
                  <c:v>11.106663889999998</c:v>
                </c:pt>
                <c:pt idx="103">
                  <c:v>11.106663889999998</c:v>
                </c:pt>
                <c:pt idx="104">
                  <c:v>11.11999722</c:v>
                </c:pt>
                <c:pt idx="105">
                  <c:v>11.11999722</c:v>
                </c:pt>
                <c:pt idx="106">
                  <c:v>11.11999722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2E7-436D-B839-C5EA6AE08137}"/>
            </c:ext>
          </c:extLst>
        </c:ser>
        <c:ser>
          <c:idx val="8"/>
          <c:order val="8"/>
          <c:tx>
            <c:v>90ml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'10-100ml'!$S$3:$S$109</c:f>
              <c:numCache>
                <c:formatCode>General</c:formatCode>
                <c:ptCount val="107"/>
                <c:pt idx="0">
                  <c:v>2.6666659999999998E-2</c:v>
                </c:pt>
                <c:pt idx="1">
                  <c:v>2.6666659999999998E-2</c:v>
                </c:pt>
                <c:pt idx="2">
                  <c:v>3.9999989999999992E-2</c:v>
                </c:pt>
                <c:pt idx="3">
                  <c:v>3.9999989999999992E-2</c:v>
                </c:pt>
                <c:pt idx="4">
                  <c:v>3.9999989999999992E-2</c:v>
                </c:pt>
                <c:pt idx="5">
                  <c:v>5.3333319999999997E-2</c:v>
                </c:pt>
                <c:pt idx="6">
                  <c:v>5.3333319999999997E-2</c:v>
                </c:pt>
                <c:pt idx="7">
                  <c:v>5.3333319999999997E-2</c:v>
                </c:pt>
                <c:pt idx="8">
                  <c:v>6.6666649999999994E-2</c:v>
                </c:pt>
                <c:pt idx="9">
                  <c:v>6.6666649999999994E-2</c:v>
                </c:pt>
                <c:pt idx="10">
                  <c:v>6.6666649999999994E-2</c:v>
                </c:pt>
                <c:pt idx="11">
                  <c:v>7.9999979999999984E-2</c:v>
                </c:pt>
                <c:pt idx="12">
                  <c:v>7.9999979999999984E-2</c:v>
                </c:pt>
                <c:pt idx="13">
                  <c:v>9.3333309999999989E-2</c:v>
                </c:pt>
                <c:pt idx="14">
                  <c:v>9.3333309999999989E-2</c:v>
                </c:pt>
                <c:pt idx="15">
                  <c:v>0.10666663999999999</c:v>
                </c:pt>
                <c:pt idx="16">
                  <c:v>0.10666663999999999</c:v>
                </c:pt>
                <c:pt idx="17">
                  <c:v>0.13333329999999999</c:v>
                </c:pt>
                <c:pt idx="18">
                  <c:v>0.33333324999999997</c:v>
                </c:pt>
                <c:pt idx="19">
                  <c:v>1.5066662899999999</c:v>
                </c:pt>
                <c:pt idx="20">
                  <c:v>4.6266655099999996</c:v>
                </c:pt>
                <c:pt idx="21">
                  <c:v>10.559997359999999</c:v>
                </c:pt>
                <c:pt idx="22">
                  <c:v>23.506660789999998</c:v>
                </c:pt>
                <c:pt idx="23">
                  <c:v>38.266657099999996</c:v>
                </c:pt>
                <c:pt idx="24">
                  <c:v>52.413320229999997</c:v>
                </c:pt>
                <c:pt idx="25">
                  <c:v>66.986649919999991</c:v>
                </c:pt>
                <c:pt idx="26">
                  <c:v>80.453313219999984</c:v>
                </c:pt>
                <c:pt idx="27">
                  <c:v>89.719977569999983</c:v>
                </c:pt>
                <c:pt idx="28">
                  <c:v>96.453309219999994</c:v>
                </c:pt>
                <c:pt idx="29">
                  <c:v>102.95997426</c:v>
                </c:pt>
                <c:pt idx="30">
                  <c:v>108.25330626999998</c:v>
                </c:pt>
                <c:pt idx="31">
                  <c:v>112.11997196999998</c:v>
                </c:pt>
                <c:pt idx="32">
                  <c:v>114.29330476</c:v>
                </c:pt>
                <c:pt idx="33">
                  <c:v>117.07997073</c:v>
                </c:pt>
                <c:pt idx="34">
                  <c:v>121.85330286999998</c:v>
                </c:pt>
                <c:pt idx="35">
                  <c:v>131.21330053</c:v>
                </c:pt>
                <c:pt idx="36">
                  <c:v>142.85329762000001</c:v>
                </c:pt>
                <c:pt idx="37">
                  <c:v>156.79996079999998</c:v>
                </c:pt>
                <c:pt idx="38">
                  <c:v>174.13328979999997</c:v>
                </c:pt>
                <c:pt idx="39">
                  <c:v>182.10662113999999</c:v>
                </c:pt>
                <c:pt idx="40">
                  <c:v>171.37329048999999</c:v>
                </c:pt>
                <c:pt idx="41">
                  <c:v>158.01329382999998</c:v>
                </c:pt>
                <c:pt idx="42">
                  <c:v>147.23996318999997</c:v>
                </c:pt>
                <c:pt idx="43">
                  <c:v>138.31996541999999</c:v>
                </c:pt>
                <c:pt idx="44">
                  <c:v>130.83996728999998</c:v>
                </c:pt>
                <c:pt idx="45">
                  <c:v>124.31996891999998</c:v>
                </c:pt>
                <c:pt idx="46">
                  <c:v>118.37330373999998</c:v>
                </c:pt>
                <c:pt idx="47">
                  <c:v>112.75997181</c:v>
                </c:pt>
                <c:pt idx="48">
                  <c:v>107.29330650999999</c:v>
                </c:pt>
                <c:pt idx="49">
                  <c:v>101.69330791</c:v>
                </c:pt>
                <c:pt idx="50">
                  <c:v>95.839976039999982</c:v>
                </c:pt>
                <c:pt idx="51">
                  <c:v>89.733310899999992</c:v>
                </c:pt>
                <c:pt idx="52">
                  <c:v>83.34664583</c:v>
                </c:pt>
                <c:pt idx="53">
                  <c:v>76.666647499999996</c:v>
                </c:pt>
                <c:pt idx="54">
                  <c:v>69.639982589999988</c:v>
                </c:pt>
                <c:pt idx="55">
                  <c:v>62.213317779999997</c:v>
                </c:pt>
                <c:pt idx="56">
                  <c:v>53.98665316999999</c:v>
                </c:pt>
                <c:pt idx="57">
                  <c:v>44.239988939999996</c:v>
                </c:pt>
                <c:pt idx="58">
                  <c:v>33.853324869999994</c:v>
                </c:pt>
                <c:pt idx="59">
                  <c:v>24.959993759999996</c:v>
                </c:pt>
                <c:pt idx="60">
                  <c:v>18.359995409999996</c:v>
                </c:pt>
                <c:pt idx="61">
                  <c:v>13.759996559999999</c:v>
                </c:pt>
                <c:pt idx="62">
                  <c:v>10.719997319999999</c:v>
                </c:pt>
                <c:pt idx="63">
                  <c:v>8.9066644399999984</c:v>
                </c:pt>
                <c:pt idx="64">
                  <c:v>8.0533313199999998</c:v>
                </c:pt>
                <c:pt idx="65">
                  <c:v>7.6666647499999989</c:v>
                </c:pt>
                <c:pt idx="66">
                  <c:v>7.3733314899999991</c:v>
                </c:pt>
                <c:pt idx="67">
                  <c:v>7.1466648799999994</c:v>
                </c:pt>
                <c:pt idx="68">
                  <c:v>6.9599982599999999</c:v>
                </c:pt>
                <c:pt idx="69">
                  <c:v>6.7999982999999995</c:v>
                </c:pt>
                <c:pt idx="70">
                  <c:v>6.6799983299999992</c:v>
                </c:pt>
                <c:pt idx="71">
                  <c:v>6.573331689999999</c:v>
                </c:pt>
                <c:pt idx="72">
                  <c:v>6.4799983799999996</c:v>
                </c:pt>
                <c:pt idx="73">
                  <c:v>6.3999983999999994</c:v>
                </c:pt>
                <c:pt idx="74">
                  <c:v>6.3333317499999993</c:v>
                </c:pt>
                <c:pt idx="75">
                  <c:v>6.2666650999999991</c:v>
                </c:pt>
                <c:pt idx="76">
                  <c:v>6.2266651099999999</c:v>
                </c:pt>
                <c:pt idx="77">
                  <c:v>6.1866651199999989</c:v>
                </c:pt>
                <c:pt idx="78">
                  <c:v>6.1466651299999997</c:v>
                </c:pt>
                <c:pt idx="79">
                  <c:v>6.1199984699999996</c:v>
                </c:pt>
                <c:pt idx="80">
                  <c:v>6.1066651399999987</c:v>
                </c:pt>
                <c:pt idx="81">
                  <c:v>6.0799984799999995</c:v>
                </c:pt>
                <c:pt idx="82">
                  <c:v>6.0666651499999995</c:v>
                </c:pt>
                <c:pt idx="83">
                  <c:v>6.0666651499999995</c:v>
                </c:pt>
                <c:pt idx="84">
                  <c:v>6.0533318199999995</c:v>
                </c:pt>
                <c:pt idx="85">
                  <c:v>6.0533318199999995</c:v>
                </c:pt>
                <c:pt idx="86">
                  <c:v>6.0533318199999995</c:v>
                </c:pt>
                <c:pt idx="87">
                  <c:v>6.0533318199999995</c:v>
                </c:pt>
                <c:pt idx="88">
                  <c:v>6.0533318199999995</c:v>
                </c:pt>
                <c:pt idx="89">
                  <c:v>6.0666651499999995</c:v>
                </c:pt>
                <c:pt idx="90">
                  <c:v>6.0666651499999995</c:v>
                </c:pt>
                <c:pt idx="91">
                  <c:v>6.0666651499999995</c:v>
                </c:pt>
                <c:pt idx="92">
                  <c:v>6.0799984799999995</c:v>
                </c:pt>
                <c:pt idx="93">
                  <c:v>6.0933318099999996</c:v>
                </c:pt>
                <c:pt idx="94">
                  <c:v>6.0933318099999996</c:v>
                </c:pt>
                <c:pt idx="95">
                  <c:v>6.1066651399999987</c:v>
                </c:pt>
                <c:pt idx="96">
                  <c:v>6.1199984699999996</c:v>
                </c:pt>
                <c:pt idx="97">
                  <c:v>6.1199984699999996</c:v>
                </c:pt>
                <c:pt idx="98">
                  <c:v>6.1333317999999997</c:v>
                </c:pt>
                <c:pt idx="99">
                  <c:v>6.1466651299999997</c:v>
                </c:pt>
                <c:pt idx="100">
                  <c:v>6.1599984599999997</c:v>
                </c:pt>
                <c:pt idx="101">
                  <c:v>6.1733317899999989</c:v>
                </c:pt>
                <c:pt idx="102">
                  <c:v>6.1866651199999989</c:v>
                </c:pt>
                <c:pt idx="103">
                  <c:v>6.1999984499999998</c:v>
                </c:pt>
                <c:pt idx="104">
                  <c:v>6.2266651099999999</c:v>
                </c:pt>
                <c:pt idx="105">
                  <c:v>6.2533317699999991</c:v>
                </c:pt>
                <c:pt idx="106">
                  <c:v>6.2666650999999991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2E7-436D-B839-C5EA6AE08137}"/>
            </c:ext>
          </c:extLst>
        </c:ser>
        <c:ser>
          <c:idx val="9"/>
          <c:order val="9"/>
          <c:tx>
            <c:v>100ml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'10-100ml'!$A$3:$A$109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'10-100ml'!$U$3:$U$109</c:f>
              <c:numCache>
                <c:formatCode>General</c:formatCode>
                <c:ptCount val="107"/>
                <c:pt idx="0">
                  <c:v>0.27999993000000001</c:v>
                </c:pt>
                <c:pt idx="1">
                  <c:v>0.39999989999999996</c:v>
                </c:pt>
                <c:pt idx="2">
                  <c:v>0.50666653999999989</c:v>
                </c:pt>
                <c:pt idx="3">
                  <c:v>0.59999984999999989</c:v>
                </c:pt>
                <c:pt idx="4">
                  <c:v>0.67999982999999986</c:v>
                </c:pt>
                <c:pt idx="5">
                  <c:v>0.78666647000000001</c:v>
                </c:pt>
                <c:pt idx="6">
                  <c:v>0.90666643999999985</c:v>
                </c:pt>
                <c:pt idx="7">
                  <c:v>1.02666641</c:v>
                </c:pt>
                <c:pt idx="8">
                  <c:v>1.1599997099999999</c:v>
                </c:pt>
                <c:pt idx="9">
                  <c:v>1.30666634</c:v>
                </c:pt>
                <c:pt idx="10">
                  <c:v>1.5999995999999999</c:v>
                </c:pt>
                <c:pt idx="11">
                  <c:v>2.4533327199999997</c:v>
                </c:pt>
                <c:pt idx="12">
                  <c:v>4.6933321599999998</c:v>
                </c:pt>
                <c:pt idx="13">
                  <c:v>10.639997339999999</c:v>
                </c:pt>
                <c:pt idx="14">
                  <c:v>25.026660409999995</c:v>
                </c:pt>
                <c:pt idx="15">
                  <c:v>43.159989209999992</c:v>
                </c:pt>
                <c:pt idx="16">
                  <c:v>63.746650729999999</c:v>
                </c:pt>
                <c:pt idx="17">
                  <c:v>85.039978739999981</c:v>
                </c:pt>
                <c:pt idx="18">
                  <c:v>97.599975599999993</c:v>
                </c:pt>
                <c:pt idx="19">
                  <c:v>69.893315860000001</c:v>
                </c:pt>
                <c:pt idx="20">
                  <c:v>92.813310129999991</c:v>
                </c:pt>
                <c:pt idx="21">
                  <c:v>136.71996582</c:v>
                </c:pt>
                <c:pt idx="22">
                  <c:v>143.50663078999997</c:v>
                </c:pt>
                <c:pt idx="23">
                  <c:v>147.18662986999999</c:v>
                </c:pt>
                <c:pt idx="24">
                  <c:v>152.85329511999998</c:v>
                </c:pt>
                <c:pt idx="25">
                  <c:v>157.90662718999997</c:v>
                </c:pt>
                <c:pt idx="26">
                  <c:v>160.29329325999998</c:v>
                </c:pt>
                <c:pt idx="27">
                  <c:v>160.18662662</c:v>
                </c:pt>
                <c:pt idx="28">
                  <c:v>160.06662664999999</c:v>
                </c:pt>
                <c:pt idx="29">
                  <c:v>159.47996012999997</c:v>
                </c:pt>
                <c:pt idx="30">
                  <c:v>158.37329373999998</c:v>
                </c:pt>
                <c:pt idx="31">
                  <c:v>157.19996069999999</c:v>
                </c:pt>
                <c:pt idx="32">
                  <c:v>157.41329397999996</c:v>
                </c:pt>
                <c:pt idx="33">
                  <c:v>156.99996074999999</c:v>
                </c:pt>
                <c:pt idx="34">
                  <c:v>156.46662755</c:v>
                </c:pt>
                <c:pt idx="35">
                  <c:v>156.95996076</c:v>
                </c:pt>
                <c:pt idx="36">
                  <c:v>155.30662783999998</c:v>
                </c:pt>
                <c:pt idx="37">
                  <c:v>149.75996255999999</c:v>
                </c:pt>
                <c:pt idx="38">
                  <c:v>141.83996453999998</c:v>
                </c:pt>
                <c:pt idx="39">
                  <c:v>133.95996650999999</c:v>
                </c:pt>
                <c:pt idx="40">
                  <c:v>127.11996821999999</c:v>
                </c:pt>
                <c:pt idx="41">
                  <c:v>121.03996973999999</c:v>
                </c:pt>
                <c:pt idx="42">
                  <c:v>115.47997113</c:v>
                </c:pt>
                <c:pt idx="43">
                  <c:v>110.25330576999998</c:v>
                </c:pt>
                <c:pt idx="44">
                  <c:v>105.17330703999998</c:v>
                </c:pt>
                <c:pt idx="45">
                  <c:v>100.09330831</c:v>
                </c:pt>
                <c:pt idx="46">
                  <c:v>94.839976289999981</c:v>
                </c:pt>
                <c:pt idx="47">
                  <c:v>89.253311019999984</c:v>
                </c:pt>
                <c:pt idx="48">
                  <c:v>83.186645869999992</c:v>
                </c:pt>
                <c:pt idx="49">
                  <c:v>76.70664748999998</c:v>
                </c:pt>
                <c:pt idx="50">
                  <c:v>69.986649169999993</c:v>
                </c:pt>
                <c:pt idx="51">
                  <c:v>63.439984139999993</c:v>
                </c:pt>
                <c:pt idx="52">
                  <c:v>58.453318719999992</c:v>
                </c:pt>
                <c:pt idx="53">
                  <c:v>55.493319459999995</c:v>
                </c:pt>
                <c:pt idx="54">
                  <c:v>52.613320179999995</c:v>
                </c:pt>
                <c:pt idx="55">
                  <c:v>49.653320919999992</c:v>
                </c:pt>
                <c:pt idx="56">
                  <c:v>46.91998826999999</c:v>
                </c:pt>
                <c:pt idx="57">
                  <c:v>44.37332224</c:v>
                </c:pt>
                <c:pt idx="58">
                  <c:v>41.159989709999998</c:v>
                </c:pt>
                <c:pt idx="59">
                  <c:v>32.346658579999996</c:v>
                </c:pt>
                <c:pt idx="60">
                  <c:v>25.546660279999998</c:v>
                </c:pt>
                <c:pt idx="61">
                  <c:v>24.093327309999996</c:v>
                </c:pt>
                <c:pt idx="62">
                  <c:v>23.119994219999999</c:v>
                </c:pt>
                <c:pt idx="63">
                  <c:v>22.226661109999995</c:v>
                </c:pt>
                <c:pt idx="64">
                  <c:v>21.37332799</c:v>
                </c:pt>
                <c:pt idx="65">
                  <c:v>20.666661499999996</c:v>
                </c:pt>
                <c:pt idx="66">
                  <c:v>20.133328299999999</c:v>
                </c:pt>
                <c:pt idx="67">
                  <c:v>19.71999507</c:v>
                </c:pt>
                <c:pt idx="68">
                  <c:v>19.373328489999999</c:v>
                </c:pt>
                <c:pt idx="69">
                  <c:v>19.079995229999998</c:v>
                </c:pt>
                <c:pt idx="70">
                  <c:v>18.826661959999996</c:v>
                </c:pt>
                <c:pt idx="71">
                  <c:v>18.613328679999999</c:v>
                </c:pt>
                <c:pt idx="72">
                  <c:v>18.426662059999998</c:v>
                </c:pt>
                <c:pt idx="73">
                  <c:v>18.266662099999998</c:v>
                </c:pt>
                <c:pt idx="74">
                  <c:v>18.146662129999999</c:v>
                </c:pt>
                <c:pt idx="75">
                  <c:v>18.039995489999999</c:v>
                </c:pt>
                <c:pt idx="76">
                  <c:v>17.933328849999999</c:v>
                </c:pt>
                <c:pt idx="77">
                  <c:v>17.83999554</c:v>
                </c:pt>
                <c:pt idx="78">
                  <c:v>17.759995559999997</c:v>
                </c:pt>
                <c:pt idx="79">
                  <c:v>17.693328909999998</c:v>
                </c:pt>
                <c:pt idx="80">
                  <c:v>17.626662259999996</c:v>
                </c:pt>
                <c:pt idx="81">
                  <c:v>17.57332894</c:v>
                </c:pt>
                <c:pt idx="82">
                  <c:v>17.51999562</c:v>
                </c:pt>
                <c:pt idx="83">
                  <c:v>17.479995629999998</c:v>
                </c:pt>
                <c:pt idx="84">
                  <c:v>17.439995639999999</c:v>
                </c:pt>
                <c:pt idx="85">
                  <c:v>17.399995649999997</c:v>
                </c:pt>
                <c:pt idx="86">
                  <c:v>17.373328990000001</c:v>
                </c:pt>
                <c:pt idx="87">
                  <c:v>17.346662329999997</c:v>
                </c:pt>
                <c:pt idx="88">
                  <c:v>17.319995670000001</c:v>
                </c:pt>
                <c:pt idx="89">
                  <c:v>17.293329009999997</c:v>
                </c:pt>
                <c:pt idx="90">
                  <c:v>17.279995679999999</c:v>
                </c:pt>
                <c:pt idx="91">
                  <c:v>17.186662370000001</c:v>
                </c:pt>
                <c:pt idx="92">
                  <c:v>14.65332967</c:v>
                </c:pt>
                <c:pt idx="93">
                  <c:v>9.3466643299999976</c:v>
                </c:pt>
                <c:pt idx="94">
                  <c:v>8.2933312600000004</c:v>
                </c:pt>
                <c:pt idx="95">
                  <c:v>8.4666645499999991</c:v>
                </c:pt>
                <c:pt idx="96">
                  <c:v>8.5866645199999994</c:v>
                </c:pt>
                <c:pt idx="97">
                  <c:v>8.6666644999999995</c:v>
                </c:pt>
                <c:pt idx="98">
                  <c:v>8.746664479999998</c:v>
                </c:pt>
                <c:pt idx="99">
                  <c:v>8.8133311299999981</c:v>
                </c:pt>
                <c:pt idx="100">
                  <c:v>8.86666445</c:v>
                </c:pt>
                <c:pt idx="101">
                  <c:v>8.9066644399999984</c:v>
                </c:pt>
                <c:pt idx="102">
                  <c:v>8.9466644299999984</c:v>
                </c:pt>
                <c:pt idx="103">
                  <c:v>8.9999977499999986</c:v>
                </c:pt>
                <c:pt idx="104">
                  <c:v>9.0266644100000004</c:v>
                </c:pt>
                <c:pt idx="105">
                  <c:v>9.0666643999999987</c:v>
                </c:pt>
                <c:pt idx="106">
                  <c:v>9.1066643899999988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2E7-436D-B839-C5EA6AE08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471336"/>
        <c:axId val="906469536"/>
      </c:scatterChart>
      <c:valAx>
        <c:axId val="90647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Counter (9600 Baud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69536"/>
        <c:crosses val="autoZero"/>
        <c:crossBetween val="midCat"/>
      </c:valAx>
      <c:valAx>
        <c:axId val="9064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(kPa)</a:t>
                </a:r>
                <a:r>
                  <a:rPr lang="en-GB" sz="1000" b="0" i="0" u="none" strike="noStrike" baseline="0">
                    <a:effectLst/>
                  </a:rPr>
                  <a:t>kpa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71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HX711 Pressure Measurements - Bubbles Left Pressure and vacuum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10ml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'10-100ml'!$Y$3:$Y$109</c:f>
              <c:numCache>
                <c:formatCode>General</c:formatCode>
                <c:ptCount val="107"/>
                <c:pt idx="0">
                  <c:v>-1.3333329999999999E-2</c:v>
                </c:pt>
                <c:pt idx="1">
                  <c:v>-2.6666659999999998E-2</c:v>
                </c:pt>
                <c:pt idx="2">
                  <c:v>-5.3333319999999997E-2</c:v>
                </c:pt>
                <c:pt idx="3">
                  <c:v>-9.3333309999999989E-2</c:v>
                </c:pt>
                <c:pt idx="4">
                  <c:v>-9.3333309999999989E-2</c:v>
                </c:pt>
                <c:pt idx="5">
                  <c:v>-7.9999979999999984E-2</c:v>
                </c:pt>
                <c:pt idx="6">
                  <c:v>-6.6666649999999994E-2</c:v>
                </c:pt>
                <c:pt idx="7">
                  <c:v>-5.3333319999999997E-2</c:v>
                </c:pt>
                <c:pt idx="8">
                  <c:v>-3.9999989999999992E-2</c:v>
                </c:pt>
                <c:pt idx="9">
                  <c:v>-3.9999989999999992E-2</c:v>
                </c:pt>
                <c:pt idx="10">
                  <c:v>-2.6666659999999998E-2</c:v>
                </c:pt>
                <c:pt idx="11">
                  <c:v>-1.3333329999999999E-2</c:v>
                </c:pt>
                <c:pt idx="12">
                  <c:v>-1.3333329999999999E-2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1.3333329999999999E-2</c:v>
                </c:pt>
                <c:pt idx="19">
                  <c:v>1.3333329999999999E-2</c:v>
                </c:pt>
                <c:pt idx="20">
                  <c:v>1.3333329999999999E-2</c:v>
                </c:pt>
                <c:pt idx="21">
                  <c:v>2.6666659999999998E-2</c:v>
                </c:pt>
                <c:pt idx="22">
                  <c:v>3.9999989999999992E-2</c:v>
                </c:pt>
                <c:pt idx="23">
                  <c:v>3.9999989999999992E-2</c:v>
                </c:pt>
                <c:pt idx="24">
                  <c:v>3.9999989999999992E-2</c:v>
                </c:pt>
                <c:pt idx="25">
                  <c:v>3.9999989999999992E-2</c:v>
                </c:pt>
                <c:pt idx="26">
                  <c:v>5.3333319999999997E-2</c:v>
                </c:pt>
                <c:pt idx="27">
                  <c:v>6.6666649999999994E-2</c:v>
                </c:pt>
                <c:pt idx="28">
                  <c:v>7.9999979999999984E-2</c:v>
                </c:pt>
                <c:pt idx="29">
                  <c:v>0.11999997</c:v>
                </c:pt>
                <c:pt idx="30">
                  <c:v>0.29333325999999998</c:v>
                </c:pt>
                <c:pt idx="31">
                  <c:v>1.0399997399999998</c:v>
                </c:pt>
                <c:pt idx="32">
                  <c:v>3.4266658099999998</c:v>
                </c:pt>
                <c:pt idx="33">
                  <c:v>15.719996069999999</c:v>
                </c:pt>
                <c:pt idx="34">
                  <c:v>38.666656999999994</c:v>
                </c:pt>
                <c:pt idx="35">
                  <c:v>59.986651669999993</c:v>
                </c:pt>
                <c:pt idx="36">
                  <c:v>70.733315649999994</c:v>
                </c:pt>
                <c:pt idx="37">
                  <c:v>64.919983769999988</c:v>
                </c:pt>
                <c:pt idx="38">
                  <c:v>56.053319319999993</c:v>
                </c:pt>
                <c:pt idx="39">
                  <c:v>47.919988019999991</c:v>
                </c:pt>
                <c:pt idx="40">
                  <c:v>40.306656589999996</c:v>
                </c:pt>
                <c:pt idx="41">
                  <c:v>31.77332539</c:v>
                </c:pt>
                <c:pt idx="42">
                  <c:v>22.559994359999997</c:v>
                </c:pt>
                <c:pt idx="43">
                  <c:v>15.879996029999997</c:v>
                </c:pt>
                <c:pt idx="44">
                  <c:v>11.973330339999999</c:v>
                </c:pt>
                <c:pt idx="45">
                  <c:v>9.5733309399999982</c:v>
                </c:pt>
                <c:pt idx="46">
                  <c:v>8.039997989999998</c:v>
                </c:pt>
                <c:pt idx="47">
                  <c:v>7.02666491</c:v>
                </c:pt>
                <c:pt idx="48">
                  <c:v>6.3066650899999992</c:v>
                </c:pt>
                <c:pt idx="49">
                  <c:v>5.7866652199999997</c:v>
                </c:pt>
                <c:pt idx="50">
                  <c:v>5.3866653199999996</c:v>
                </c:pt>
                <c:pt idx="51">
                  <c:v>5.0533320699999997</c:v>
                </c:pt>
                <c:pt idx="52">
                  <c:v>4.7866654699999991</c:v>
                </c:pt>
                <c:pt idx="53">
                  <c:v>4.5599988600000003</c:v>
                </c:pt>
                <c:pt idx="54">
                  <c:v>4.373332239999999</c:v>
                </c:pt>
                <c:pt idx="55">
                  <c:v>4.1999989499999995</c:v>
                </c:pt>
                <c:pt idx="56">
                  <c:v>4.0533323199999991</c:v>
                </c:pt>
                <c:pt idx="57">
                  <c:v>3.9333323499999997</c:v>
                </c:pt>
                <c:pt idx="58">
                  <c:v>3.8266657099999994</c:v>
                </c:pt>
                <c:pt idx="59">
                  <c:v>3.7199990699999996</c:v>
                </c:pt>
                <c:pt idx="60">
                  <c:v>3.6399990899999999</c:v>
                </c:pt>
                <c:pt idx="61">
                  <c:v>3.5599991099999997</c:v>
                </c:pt>
                <c:pt idx="62">
                  <c:v>3.5066657899999996</c:v>
                </c:pt>
                <c:pt idx="63">
                  <c:v>3.4533324699999994</c:v>
                </c:pt>
                <c:pt idx="64">
                  <c:v>3.3866658199999997</c:v>
                </c:pt>
                <c:pt idx="65">
                  <c:v>3.3333324999999996</c:v>
                </c:pt>
                <c:pt idx="66">
                  <c:v>3.2933325099999995</c:v>
                </c:pt>
                <c:pt idx="67">
                  <c:v>3.2533325199999994</c:v>
                </c:pt>
                <c:pt idx="68">
                  <c:v>3.2133325299999997</c:v>
                </c:pt>
                <c:pt idx="69">
                  <c:v>3.1733325399999996</c:v>
                </c:pt>
                <c:pt idx="70">
                  <c:v>3.14666588</c:v>
                </c:pt>
                <c:pt idx="71">
                  <c:v>3.1199992199999995</c:v>
                </c:pt>
                <c:pt idx="72">
                  <c:v>3.0933325599999995</c:v>
                </c:pt>
                <c:pt idx="73">
                  <c:v>3.0799992299999999</c:v>
                </c:pt>
                <c:pt idx="74">
                  <c:v>3.0666658999999998</c:v>
                </c:pt>
                <c:pt idx="75">
                  <c:v>3.0533325699999994</c:v>
                </c:pt>
                <c:pt idx="76">
                  <c:v>3.0266659099999997</c:v>
                </c:pt>
                <c:pt idx="77">
                  <c:v>3.0133325799999997</c:v>
                </c:pt>
                <c:pt idx="78">
                  <c:v>2.9999992499999997</c:v>
                </c:pt>
                <c:pt idx="79">
                  <c:v>2.9999992499999997</c:v>
                </c:pt>
                <c:pt idx="80">
                  <c:v>2.9999992499999997</c:v>
                </c:pt>
                <c:pt idx="81">
                  <c:v>2.9999992499999997</c:v>
                </c:pt>
                <c:pt idx="82">
                  <c:v>2.9999992499999997</c:v>
                </c:pt>
                <c:pt idx="83">
                  <c:v>2.9999992499999997</c:v>
                </c:pt>
                <c:pt idx="84">
                  <c:v>3.0133325799999997</c:v>
                </c:pt>
                <c:pt idx="85">
                  <c:v>3.0133325799999997</c:v>
                </c:pt>
                <c:pt idx="86">
                  <c:v>3.0133325799999997</c:v>
                </c:pt>
                <c:pt idx="87">
                  <c:v>3.0133325799999997</c:v>
                </c:pt>
                <c:pt idx="88">
                  <c:v>3.0133325799999997</c:v>
                </c:pt>
                <c:pt idx="89">
                  <c:v>3.0133325799999997</c:v>
                </c:pt>
                <c:pt idx="90">
                  <c:v>3.0133325799999997</c:v>
                </c:pt>
                <c:pt idx="91">
                  <c:v>3.0266659099999997</c:v>
                </c:pt>
                <c:pt idx="92">
                  <c:v>3.0266659099999997</c:v>
                </c:pt>
                <c:pt idx="93">
                  <c:v>3.0266659099999997</c:v>
                </c:pt>
                <c:pt idx="94">
                  <c:v>3.0266659099999997</c:v>
                </c:pt>
                <c:pt idx="95">
                  <c:v>3.0266659099999997</c:v>
                </c:pt>
                <c:pt idx="96">
                  <c:v>3.0399992399999998</c:v>
                </c:pt>
                <c:pt idx="97">
                  <c:v>3.0399992399999998</c:v>
                </c:pt>
                <c:pt idx="98">
                  <c:v>3.0399992399999998</c:v>
                </c:pt>
                <c:pt idx="99">
                  <c:v>3.0399992399999998</c:v>
                </c:pt>
                <c:pt idx="100">
                  <c:v>3.0399992399999998</c:v>
                </c:pt>
                <c:pt idx="101">
                  <c:v>3.0533325699999994</c:v>
                </c:pt>
                <c:pt idx="102">
                  <c:v>3.0533325699999994</c:v>
                </c:pt>
                <c:pt idx="103">
                  <c:v>3.0533325699999994</c:v>
                </c:pt>
                <c:pt idx="104">
                  <c:v>3.0666658999999998</c:v>
                </c:pt>
                <c:pt idx="105">
                  <c:v>3.0666658999999998</c:v>
                </c:pt>
                <c:pt idx="106">
                  <c:v>3.0666658999999998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9D-471D-8863-8085046D3E6E}"/>
            </c:ext>
          </c:extLst>
        </c:ser>
        <c:ser>
          <c:idx val="1"/>
          <c:order val="1"/>
          <c:tx>
            <c:v>20ml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'10-100ml'!$AA$3:$AA$109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1.3333329999999999E-2</c:v>
                </c:pt>
                <c:pt idx="15">
                  <c:v>1.3333329999999999E-2</c:v>
                </c:pt>
                <c:pt idx="16">
                  <c:v>1.3333329999999999E-2</c:v>
                </c:pt>
                <c:pt idx="17">
                  <c:v>1.3333329999999999E-2</c:v>
                </c:pt>
                <c:pt idx="18">
                  <c:v>1.3333329999999999E-2</c:v>
                </c:pt>
                <c:pt idx="19">
                  <c:v>1.3333329999999999E-2</c:v>
                </c:pt>
                <c:pt idx="20">
                  <c:v>1.3333329999999999E-2</c:v>
                </c:pt>
                <c:pt idx="21">
                  <c:v>1.3333329999999999E-2</c:v>
                </c:pt>
                <c:pt idx="22">
                  <c:v>3.9999989999999992E-2</c:v>
                </c:pt>
                <c:pt idx="23">
                  <c:v>0.10666663999999999</c:v>
                </c:pt>
                <c:pt idx="24">
                  <c:v>0.15999995999999997</c:v>
                </c:pt>
                <c:pt idx="25">
                  <c:v>0.22666660999999996</c:v>
                </c:pt>
                <c:pt idx="26">
                  <c:v>0.34666658</c:v>
                </c:pt>
                <c:pt idx="27">
                  <c:v>0.73333314999999999</c:v>
                </c:pt>
                <c:pt idx="28">
                  <c:v>1.8933328599999997</c:v>
                </c:pt>
                <c:pt idx="29">
                  <c:v>6.3466650799999993</c:v>
                </c:pt>
                <c:pt idx="30">
                  <c:v>22.73332765</c:v>
                </c:pt>
                <c:pt idx="31">
                  <c:v>43.066655899999994</c:v>
                </c:pt>
                <c:pt idx="32">
                  <c:v>61.613317930000001</c:v>
                </c:pt>
                <c:pt idx="33">
                  <c:v>81.799979549999989</c:v>
                </c:pt>
                <c:pt idx="34">
                  <c:v>92.59997684999999</c:v>
                </c:pt>
                <c:pt idx="35">
                  <c:v>85.773311889999988</c:v>
                </c:pt>
                <c:pt idx="36">
                  <c:v>75.293314510000002</c:v>
                </c:pt>
                <c:pt idx="37">
                  <c:v>65.266650349999992</c:v>
                </c:pt>
                <c:pt idx="38">
                  <c:v>55.106652889999999</c:v>
                </c:pt>
                <c:pt idx="39">
                  <c:v>42.359989409999997</c:v>
                </c:pt>
                <c:pt idx="40">
                  <c:v>28.159992959999997</c:v>
                </c:pt>
                <c:pt idx="41">
                  <c:v>17.959995509999995</c:v>
                </c:pt>
                <c:pt idx="42">
                  <c:v>12.186663619999999</c:v>
                </c:pt>
                <c:pt idx="43">
                  <c:v>8.9333310999999984</c:v>
                </c:pt>
                <c:pt idx="44">
                  <c:v>6.9333315999999989</c:v>
                </c:pt>
                <c:pt idx="45">
                  <c:v>5.6266652600000002</c:v>
                </c:pt>
                <c:pt idx="46">
                  <c:v>4.7199988199999998</c:v>
                </c:pt>
                <c:pt idx="47">
                  <c:v>4.0266656599999999</c:v>
                </c:pt>
                <c:pt idx="48">
                  <c:v>3.5066657899999996</c:v>
                </c:pt>
                <c:pt idx="49">
                  <c:v>3.0933325599999995</c:v>
                </c:pt>
                <c:pt idx="50">
                  <c:v>2.77333264</c:v>
                </c:pt>
                <c:pt idx="51">
                  <c:v>2.5066660399999998</c:v>
                </c:pt>
                <c:pt idx="52">
                  <c:v>2.2933327599999997</c:v>
                </c:pt>
                <c:pt idx="53">
                  <c:v>2.1066661399999997</c:v>
                </c:pt>
                <c:pt idx="54">
                  <c:v>1.9466661799999998</c:v>
                </c:pt>
                <c:pt idx="55">
                  <c:v>1.8133328799999997</c:v>
                </c:pt>
                <c:pt idx="56">
                  <c:v>1.6933329099999999</c:v>
                </c:pt>
                <c:pt idx="57">
                  <c:v>1.5866662699999998</c:v>
                </c:pt>
                <c:pt idx="58">
                  <c:v>1.4933329599999998</c:v>
                </c:pt>
                <c:pt idx="59">
                  <c:v>1.3999996499999998</c:v>
                </c:pt>
                <c:pt idx="60">
                  <c:v>1.3199996699999998</c:v>
                </c:pt>
                <c:pt idx="61">
                  <c:v>1.2533330199999999</c:v>
                </c:pt>
                <c:pt idx="62">
                  <c:v>1.18666637</c:v>
                </c:pt>
                <c:pt idx="63">
                  <c:v>1.1333330499999998</c:v>
                </c:pt>
                <c:pt idx="64">
                  <c:v>1.0799997299999999</c:v>
                </c:pt>
                <c:pt idx="65">
                  <c:v>1.0399997399999998</c:v>
                </c:pt>
                <c:pt idx="66">
                  <c:v>0.99999974999999997</c:v>
                </c:pt>
                <c:pt idx="67">
                  <c:v>0.95999975999999998</c:v>
                </c:pt>
                <c:pt idx="68">
                  <c:v>0.91999976999999999</c:v>
                </c:pt>
                <c:pt idx="69">
                  <c:v>0.89333310999999993</c:v>
                </c:pt>
                <c:pt idx="70">
                  <c:v>0.86666644999999987</c:v>
                </c:pt>
                <c:pt idx="71">
                  <c:v>0.83999978999999991</c:v>
                </c:pt>
                <c:pt idx="72">
                  <c:v>0.82666645999999999</c:v>
                </c:pt>
                <c:pt idx="73">
                  <c:v>0.81333312999999985</c:v>
                </c:pt>
                <c:pt idx="74">
                  <c:v>0.78666647000000001</c:v>
                </c:pt>
                <c:pt idx="75">
                  <c:v>0.77333313999999986</c:v>
                </c:pt>
                <c:pt idx="76">
                  <c:v>0.75999980999999994</c:v>
                </c:pt>
                <c:pt idx="77">
                  <c:v>0.74666647999999991</c:v>
                </c:pt>
                <c:pt idx="78">
                  <c:v>0.73333314999999999</c:v>
                </c:pt>
                <c:pt idx="79">
                  <c:v>0.71999981999999996</c:v>
                </c:pt>
                <c:pt idx="80">
                  <c:v>0.70666648999999992</c:v>
                </c:pt>
                <c:pt idx="81">
                  <c:v>0.70666648999999992</c:v>
                </c:pt>
                <c:pt idx="82">
                  <c:v>0.69333316</c:v>
                </c:pt>
                <c:pt idx="83">
                  <c:v>0.69333316</c:v>
                </c:pt>
                <c:pt idx="84">
                  <c:v>0.67999982999999986</c:v>
                </c:pt>
                <c:pt idx="85">
                  <c:v>0.67999982999999986</c:v>
                </c:pt>
                <c:pt idx="86">
                  <c:v>0.67999982999999986</c:v>
                </c:pt>
                <c:pt idx="87">
                  <c:v>0.66666649999999994</c:v>
                </c:pt>
                <c:pt idx="88">
                  <c:v>0.65333317000000002</c:v>
                </c:pt>
                <c:pt idx="89">
                  <c:v>0.65333317000000002</c:v>
                </c:pt>
                <c:pt idx="90">
                  <c:v>0.63999983999999988</c:v>
                </c:pt>
                <c:pt idx="91">
                  <c:v>0.63999983999999988</c:v>
                </c:pt>
                <c:pt idx="92">
                  <c:v>0.63999983999999988</c:v>
                </c:pt>
                <c:pt idx="93">
                  <c:v>0.62666650999999995</c:v>
                </c:pt>
                <c:pt idx="94">
                  <c:v>0.62666650999999995</c:v>
                </c:pt>
                <c:pt idx="95">
                  <c:v>0.62666650999999995</c:v>
                </c:pt>
                <c:pt idx="96">
                  <c:v>0.62666650999999995</c:v>
                </c:pt>
                <c:pt idx="97">
                  <c:v>0.61333317999999992</c:v>
                </c:pt>
                <c:pt idx="98">
                  <c:v>0.61333317999999992</c:v>
                </c:pt>
                <c:pt idx="99">
                  <c:v>0.61333317999999992</c:v>
                </c:pt>
                <c:pt idx="100">
                  <c:v>0.59999984999999989</c:v>
                </c:pt>
                <c:pt idx="101">
                  <c:v>0.59999984999999989</c:v>
                </c:pt>
                <c:pt idx="102">
                  <c:v>0.59999984999999989</c:v>
                </c:pt>
                <c:pt idx="103">
                  <c:v>0.59999984999999989</c:v>
                </c:pt>
                <c:pt idx="104">
                  <c:v>0.59999984999999989</c:v>
                </c:pt>
                <c:pt idx="105">
                  <c:v>0.59999984999999989</c:v>
                </c:pt>
                <c:pt idx="106">
                  <c:v>0.59999984999999989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9D-471D-8863-8085046D3E6E}"/>
            </c:ext>
          </c:extLst>
        </c:ser>
        <c:ser>
          <c:idx val="2"/>
          <c:order val="2"/>
          <c:tx>
            <c:v>30ml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'10-100ml'!$AC$3:$AC$109</c:f>
              <c:numCache>
                <c:formatCode>General</c:formatCode>
                <c:ptCount val="107"/>
                <c:pt idx="0">
                  <c:v>0.23999993999999999</c:v>
                </c:pt>
                <c:pt idx="1">
                  <c:v>0.27999993000000001</c:v>
                </c:pt>
                <c:pt idx="2">
                  <c:v>0.30666658999999996</c:v>
                </c:pt>
                <c:pt idx="3">
                  <c:v>0.33333324999999997</c:v>
                </c:pt>
                <c:pt idx="4">
                  <c:v>0.35999990999999998</c:v>
                </c:pt>
                <c:pt idx="5">
                  <c:v>0.38666656999999993</c:v>
                </c:pt>
                <c:pt idx="6">
                  <c:v>0.41333323</c:v>
                </c:pt>
                <c:pt idx="7">
                  <c:v>0.43999988999999995</c:v>
                </c:pt>
                <c:pt idx="8">
                  <c:v>0.46666654999999996</c:v>
                </c:pt>
                <c:pt idx="9">
                  <c:v>0.51999986999999992</c:v>
                </c:pt>
                <c:pt idx="10">
                  <c:v>0.78666647000000001</c:v>
                </c:pt>
                <c:pt idx="11">
                  <c:v>1.9866661699999999</c:v>
                </c:pt>
                <c:pt idx="12">
                  <c:v>8.453331219999999</c:v>
                </c:pt>
                <c:pt idx="13">
                  <c:v>24.866660449999998</c:v>
                </c:pt>
                <c:pt idx="14">
                  <c:v>45.373321990000001</c:v>
                </c:pt>
                <c:pt idx="15">
                  <c:v>67.506649789999997</c:v>
                </c:pt>
                <c:pt idx="16">
                  <c:v>87.639978089999985</c:v>
                </c:pt>
                <c:pt idx="17">
                  <c:v>104.90664043999999</c:v>
                </c:pt>
                <c:pt idx="18">
                  <c:v>117.55997060999999</c:v>
                </c:pt>
                <c:pt idx="19">
                  <c:v>114.03997148999999</c:v>
                </c:pt>
                <c:pt idx="20">
                  <c:v>103.71997406999999</c:v>
                </c:pt>
                <c:pt idx="21">
                  <c:v>92.439976889999983</c:v>
                </c:pt>
                <c:pt idx="22">
                  <c:v>73.333314999999999</c:v>
                </c:pt>
                <c:pt idx="23">
                  <c:v>47.426654809999995</c:v>
                </c:pt>
                <c:pt idx="24">
                  <c:v>28.733326149999996</c:v>
                </c:pt>
                <c:pt idx="25">
                  <c:v>19.98666167</c:v>
                </c:pt>
                <c:pt idx="26">
                  <c:v>15.866662699999999</c:v>
                </c:pt>
                <c:pt idx="27">
                  <c:v>13.426663309999999</c:v>
                </c:pt>
                <c:pt idx="28">
                  <c:v>11.78666372</c:v>
                </c:pt>
                <c:pt idx="29">
                  <c:v>10.546664029999999</c:v>
                </c:pt>
                <c:pt idx="30">
                  <c:v>9.6133309299999983</c:v>
                </c:pt>
                <c:pt idx="31">
                  <c:v>8.9066644399999984</c:v>
                </c:pt>
                <c:pt idx="32">
                  <c:v>8.3466645799999988</c:v>
                </c:pt>
                <c:pt idx="33">
                  <c:v>7.8799980299999994</c:v>
                </c:pt>
                <c:pt idx="34">
                  <c:v>7.4933314599999994</c:v>
                </c:pt>
                <c:pt idx="35">
                  <c:v>7.1733315399999986</c:v>
                </c:pt>
                <c:pt idx="36">
                  <c:v>6.8933316099999997</c:v>
                </c:pt>
                <c:pt idx="37">
                  <c:v>6.6533316699999991</c:v>
                </c:pt>
                <c:pt idx="38">
                  <c:v>6.4533317199999995</c:v>
                </c:pt>
                <c:pt idx="39">
                  <c:v>6.2666650999999991</c:v>
                </c:pt>
                <c:pt idx="40">
                  <c:v>6.1066651399999987</c:v>
                </c:pt>
                <c:pt idx="41">
                  <c:v>5.9733318399999993</c:v>
                </c:pt>
                <c:pt idx="42">
                  <c:v>5.839998539999999</c:v>
                </c:pt>
                <c:pt idx="43">
                  <c:v>5.7199985699999996</c:v>
                </c:pt>
                <c:pt idx="44">
                  <c:v>5.6133319299999993</c:v>
                </c:pt>
                <c:pt idx="45">
                  <c:v>5.5199986199999991</c:v>
                </c:pt>
                <c:pt idx="46">
                  <c:v>5.4266653099999997</c:v>
                </c:pt>
                <c:pt idx="47">
                  <c:v>5.3466653299999995</c:v>
                </c:pt>
                <c:pt idx="48">
                  <c:v>5.2799986799999994</c:v>
                </c:pt>
                <c:pt idx="49">
                  <c:v>5.2133320300000001</c:v>
                </c:pt>
                <c:pt idx="50">
                  <c:v>5.14666538</c:v>
                </c:pt>
                <c:pt idx="51">
                  <c:v>5.0799987299999998</c:v>
                </c:pt>
                <c:pt idx="52">
                  <c:v>5.0266654099999997</c:v>
                </c:pt>
                <c:pt idx="53">
                  <c:v>4.9866654199999996</c:v>
                </c:pt>
                <c:pt idx="54">
                  <c:v>4.9333320999999994</c:v>
                </c:pt>
                <c:pt idx="55">
                  <c:v>4.8933321100000002</c:v>
                </c:pt>
                <c:pt idx="56">
                  <c:v>4.8533321199999993</c:v>
                </c:pt>
                <c:pt idx="57">
                  <c:v>4.8266654600000001</c:v>
                </c:pt>
                <c:pt idx="58">
                  <c:v>4.7999987999999991</c:v>
                </c:pt>
                <c:pt idx="59">
                  <c:v>4.7733321399999991</c:v>
                </c:pt>
                <c:pt idx="60">
                  <c:v>4.7466654799999999</c:v>
                </c:pt>
                <c:pt idx="61">
                  <c:v>4.7199988199999998</c:v>
                </c:pt>
                <c:pt idx="62">
                  <c:v>4.7066654899999989</c:v>
                </c:pt>
                <c:pt idx="63">
                  <c:v>4.6933321599999998</c:v>
                </c:pt>
                <c:pt idx="64">
                  <c:v>4.6799988299999997</c:v>
                </c:pt>
                <c:pt idx="65">
                  <c:v>4.6666654999999997</c:v>
                </c:pt>
                <c:pt idx="66">
                  <c:v>4.6533321699999997</c:v>
                </c:pt>
                <c:pt idx="67">
                  <c:v>4.6399988399999996</c:v>
                </c:pt>
                <c:pt idx="68">
                  <c:v>4.6266655099999996</c:v>
                </c:pt>
                <c:pt idx="69">
                  <c:v>4.6133321799999996</c:v>
                </c:pt>
                <c:pt idx="70">
                  <c:v>4.6133321799999996</c:v>
                </c:pt>
                <c:pt idx="71">
                  <c:v>4.5999988499999995</c:v>
                </c:pt>
                <c:pt idx="72">
                  <c:v>4.5999988499999995</c:v>
                </c:pt>
                <c:pt idx="73">
                  <c:v>4.5866655199999995</c:v>
                </c:pt>
                <c:pt idx="74">
                  <c:v>4.5866655199999995</c:v>
                </c:pt>
                <c:pt idx="75">
                  <c:v>4.5866655199999995</c:v>
                </c:pt>
                <c:pt idx="76">
                  <c:v>4.5733321899999995</c:v>
                </c:pt>
                <c:pt idx="77">
                  <c:v>4.5733321899999995</c:v>
                </c:pt>
                <c:pt idx="78">
                  <c:v>4.5733321899999995</c:v>
                </c:pt>
                <c:pt idx="79">
                  <c:v>4.5733321899999995</c:v>
                </c:pt>
                <c:pt idx="80">
                  <c:v>4.5599988600000003</c:v>
                </c:pt>
                <c:pt idx="81">
                  <c:v>4.5599988600000003</c:v>
                </c:pt>
                <c:pt idx="82">
                  <c:v>4.5599988600000003</c:v>
                </c:pt>
                <c:pt idx="83">
                  <c:v>4.5599988600000003</c:v>
                </c:pt>
                <c:pt idx="84">
                  <c:v>4.5599988600000003</c:v>
                </c:pt>
                <c:pt idx="85">
                  <c:v>4.5599988600000003</c:v>
                </c:pt>
                <c:pt idx="86">
                  <c:v>4.5599988600000003</c:v>
                </c:pt>
                <c:pt idx="87">
                  <c:v>4.5599988600000003</c:v>
                </c:pt>
                <c:pt idx="88">
                  <c:v>4.5599988600000003</c:v>
                </c:pt>
                <c:pt idx="89">
                  <c:v>4.5599988600000003</c:v>
                </c:pt>
                <c:pt idx="90">
                  <c:v>4.5599988600000003</c:v>
                </c:pt>
                <c:pt idx="91">
                  <c:v>4.5466655299999994</c:v>
                </c:pt>
                <c:pt idx="92">
                  <c:v>4.5599988600000003</c:v>
                </c:pt>
                <c:pt idx="93">
                  <c:v>4.5599988600000003</c:v>
                </c:pt>
                <c:pt idx="94">
                  <c:v>4.5599988600000003</c:v>
                </c:pt>
                <c:pt idx="95">
                  <c:v>4.5599988600000003</c:v>
                </c:pt>
                <c:pt idx="96">
                  <c:v>4.5599988600000003</c:v>
                </c:pt>
                <c:pt idx="97">
                  <c:v>4.5599988600000003</c:v>
                </c:pt>
                <c:pt idx="98">
                  <c:v>4.5599988600000003</c:v>
                </c:pt>
                <c:pt idx="99">
                  <c:v>4.5599988600000003</c:v>
                </c:pt>
                <c:pt idx="100">
                  <c:v>4.5599988600000003</c:v>
                </c:pt>
                <c:pt idx="101">
                  <c:v>4.5599988600000003</c:v>
                </c:pt>
                <c:pt idx="102">
                  <c:v>4.5599988600000003</c:v>
                </c:pt>
                <c:pt idx="103">
                  <c:v>4.5599988600000003</c:v>
                </c:pt>
                <c:pt idx="104">
                  <c:v>4.5599988600000003</c:v>
                </c:pt>
                <c:pt idx="105">
                  <c:v>4.5599988600000003</c:v>
                </c:pt>
                <c:pt idx="106">
                  <c:v>4.5599988600000003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9D-471D-8863-8085046D3E6E}"/>
            </c:ext>
          </c:extLst>
        </c:ser>
        <c:ser>
          <c:idx val="3"/>
          <c:order val="3"/>
          <c:tx>
            <c:v>40ml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'10-100ml'!$AE$3:$AE$109</c:f>
              <c:numCache>
                <c:formatCode>General</c:formatCode>
                <c:ptCount val="107"/>
                <c:pt idx="0">
                  <c:v>0.35999990999999998</c:v>
                </c:pt>
                <c:pt idx="1">
                  <c:v>0.41333323</c:v>
                </c:pt>
                <c:pt idx="2">
                  <c:v>0.45333321999999993</c:v>
                </c:pt>
                <c:pt idx="3">
                  <c:v>0.49333320999999997</c:v>
                </c:pt>
                <c:pt idx="4">
                  <c:v>0.53333319999999995</c:v>
                </c:pt>
                <c:pt idx="5">
                  <c:v>0.57333318999999994</c:v>
                </c:pt>
                <c:pt idx="6">
                  <c:v>0.61333317999999992</c:v>
                </c:pt>
                <c:pt idx="7">
                  <c:v>0.63999983999999988</c:v>
                </c:pt>
                <c:pt idx="8">
                  <c:v>0.67999982999999986</c:v>
                </c:pt>
                <c:pt idx="9">
                  <c:v>0.70666648999999992</c:v>
                </c:pt>
                <c:pt idx="10">
                  <c:v>0.74666647999999991</c:v>
                </c:pt>
                <c:pt idx="11">
                  <c:v>0.77333313999999986</c:v>
                </c:pt>
                <c:pt idx="12">
                  <c:v>0.85333311999999995</c:v>
                </c:pt>
                <c:pt idx="13">
                  <c:v>1.0533330699999999</c:v>
                </c:pt>
                <c:pt idx="14">
                  <c:v>1.5066662899999999</c:v>
                </c:pt>
                <c:pt idx="15">
                  <c:v>2.5866660199999996</c:v>
                </c:pt>
                <c:pt idx="16">
                  <c:v>6.62666501</c:v>
                </c:pt>
                <c:pt idx="17">
                  <c:v>18.173328789999999</c:v>
                </c:pt>
                <c:pt idx="18">
                  <c:v>33.799991549999994</c:v>
                </c:pt>
                <c:pt idx="19">
                  <c:v>51.479987129999998</c:v>
                </c:pt>
                <c:pt idx="20">
                  <c:v>70.959982260000004</c:v>
                </c:pt>
                <c:pt idx="21">
                  <c:v>92.053310319999994</c:v>
                </c:pt>
                <c:pt idx="22">
                  <c:v>110.54663902999999</c:v>
                </c:pt>
                <c:pt idx="23">
                  <c:v>125.10663538999998</c:v>
                </c:pt>
                <c:pt idx="24">
                  <c:v>134.87996627999999</c:v>
                </c:pt>
                <c:pt idx="25">
                  <c:v>129.50663428999999</c:v>
                </c:pt>
                <c:pt idx="26">
                  <c:v>118.71997031999999</c:v>
                </c:pt>
                <c:pt idx="27">
                  <c:v>109.21330603</c:v>
                </c:pt>
                <c:pt idx="28">
                  <c:v>100.43997488999999</c:v>
                </c:pt>
                <c:pt idx="29">
                  <c:v>91.693310409999995</c:v>
                </c:pt>
                <c:pt idx="30">
                  <c:v>81.479979630000003</c:v>
                </c:pt>
                <c:pt idx="31">
                  <c:v>66.066650150000001</c:v>
                </c:pt>
                <c:pt idx="32">
                  <c:v>45.879988529999999</c:v>
                </c:pt>
                <c:pt idx="33">
                  <c:v>30.186659119999998</c:v>
                </c:pt>
                <c:pt idx="34">
                  <c:v>20.866661449999999</c:v>
                </c:pt>
                <c:pt idx="35">
                  <c:v>16.2666626</c:v>
                </c:pt>
                <c:pt idx="36">
                  <c:v>13.813329879999998</c:v>
                </c:pt>
                <c:pt idx="37">
                  <c:v>12.199996949999999</c:v>
                </c:pt>
                <c:pt idx="38">
                  <c:v>11.039997239999998</c:v>
                </c:pt>
                <c:pt idx="39">
                  <c:v>10.18666412</c:v>
                </c:pt>
                <c:pt idx="40">
                  <c:v>9.5333309499999999</c:v>
                </c:pt>
                <c:pt idx="41">
                  <c:v>8.9866644200000003</c:v>
                </c:pt>
                <c:pt idx="42">
                  <c:v>8.5333311999999992</c:v>
                </c:pt>
                <c:pt idx="43">
                  <c:v>8.1599979600000001</c:v>
                </c:pt>
                <c:pt idx="44">
                  <c:v>7.8399980399999993</c:v>
                </c:pt>
                <c:pt idx="45">
                  <c:v>7.5733314399999987</c:v>
                </c:pt>
                <c:pt idx="46">
                  <c:v>7.3466648299999999</c:v>
                </c:pt>
                <c:pt idx="47">
                  <c:v>7.1466648799999994</c:v>
                </c:pt>
                <c:pt idx="48">
                  <c:v>6.9599982599999999</c:v>
                </c:pt>
                <c:pt idx="49">
                  <c:v>6.8133316299999995</c:v>
                </c:pt>
                <c:pt idx="50">
                  <c:v>6.6666649999999992</c:v>
                </c:pt>
                <c:pt idx="51">
                  <c:v>6.5333316999999997</c:v>
                </c:pt>
                <c:pt idx="52">
                  <c:v>6.4266650599999995</c:v>
                </c:pt>
                <c:pt idx="53">
                  <c:v>6.3199984199999992</c:v>
                </c:pt>
                <c:pt idx="54">
                  <c:v>6.2266651099999999</c:v>
                </c:pt>
                <c:pt idx="55">
                  <c:v>6.1466651299999997</c:v>
                </c:pt>
                <c:pt idx="56">
                  <c:v>6.0666651499999995</c:v>
                </c:pt>
                <c:pt idx="57">
                  <c:v>5.9999984999999993</c:v>
                </c:pt>
                <c:pt idx="58">
                  <c:v>5.9333318499999992</c:v>
                </c:pt>
                <c:pt idx="59">
                  <c:v>5.8799985299999999</c:v>
                </c:pt>
                <c:pt idx="60">
                  <c:v>5.8266652099999998</c:v>
                </c:pt>
                <c:pt idx="61">
                  <c:v>5.7866652199999997</c:v>
                </c:pt>
                <c:pt idx="62">
                  <c:v>5.7599985599999997</c:v>
                </c:pt>
                <c:pt idx="63">
                  <c:v>5.7333318999999996</c:v>
                </c:pt>
                <c:pt idx="64">
                  <c:v>5.7066652399999995</c:v>
                </c:pt>
                <c:pt idx="65">
                  <c:v>5.6666652499999994</c:v>
                </c:pt>
                <c:pt idx="66">
                  <c:v>5.6399985899999994</c:v>
                </c:pt>
                <c:pt idx="67">
                  <c:v>5.6133319299999993</c:v>
                </c:pt>
                <c:pt idx="68">
                  <c:v>5.5866652699999992</c:v>
                </c:pt>
                <c:pt idx="69">
                  <c:v>5.5599986100000001</c:v>
                </c:pt>
                <c:pt idx="70">
                  <c:v>5.5333319499999991</c:v>
                </c:pt>
                <c:pt idx="71">
                  <c:v>5.5199986199999991</c:v>
                </c:pt>
                <c:pt idx="72">
                  <c:v>5.4933319599999999</c:v>
                </c:pt>
                <c:pt idx="73">
                  <c:v>5.4799986299999999</c:v>
                </c:pt>
                <c:pt idx="74">
                  <c:v>5.4666652999999998</c:v>
                </c:pt>
                <c:pt idx="75">
                  <c:v>5.4533319699999989</c:v>
                </c:pt>
                <c:pt idx="76">
                  <c:v>5.4399986399999989</c:v>
                </c:pt>
                <c:pt idx="77">
                  <c:v>5.4266653099999997</c:v>
                </c:pt>
                <c:pt idx="78">
                  <c:v>5.4266653099999997</c:v>
                </c:pt>
                <c:pt idx="79">
                  <c:v>5.4133319799999997</c:v>
                </c:pt>
                <c:pt idx="80">
                  <c:v>5.3999986499999997</c:v>
                </c:pt>
                <c:pt idx="81">
                  <c:v>5.3999986499999997</c:v>
                </c:pt>
                <c:pt idx="82">
                  <c:v>5.3866653199999996</c:v>
                </c:pt>
                <c:pt idx="83">
                  <c:v>5.3866653199999996</c:v>
                </c:pt>
                <c:pt idx="84">
                  <c:v>5.3866653199999996</c:v>
                </c:pt>
                <c:pt idx="85">
                  <c:v>5.3866653199999996</c:v>
                </c:pt>
                <c:pt idx="86">
                  <c:v>5.3733319899999987</c:v>
                </c:pt>
                <c:pt idx="87">
                  <c:v>5.3733319899999987</c:v>
                </c:pt>
                <c:pt idx="88">
                  <c:v>5.3733319899999987</c:v>
                </c:pt>
                <c:pt idx="89">
                  <c:v>5.3733319899999987</c:v>
                </c:pt>
                <c:pt idx="90">
                  <c:v>5.3733319899999987</c:v>
                </c:pt>
                <c:pt idx="91">
                  <c:v>5.3733319899999987</c:v>
                </c:pt>
                <c:pt idx="92">
                  <c:v>5.3599986599999996</c:v>
                </c:pt>
                <c:pt idx="93">
                  <c:v>5.3599986599999996</c:v>
                </c:pt>
                <c:pt idx="94">
                  <c:v>5.3599986599999996</c:v>
                </c:pt>
                <c:pt idx="95">
                  <c:v>5.3599986599999996</c:v>
                </c:pt>
                <c:pt idx="96">
                  <c:v>5.3599986599999996</c:v>
                </c:pt>
                <c:pt idx="97">
                  <c:v>5.3599986599999996</c:v>
                </c:pt>
                <c:pt idx="98">
                  <c:v>5.3599986599999996</c:v>
                </c:pt>
                <c:pt idx="99">
                  <c:v>5.3599986599999996</c:v>
                </c:pt>
                <c:pt idx="100">
                  <c:v>5.3733319899999987</c:v>
                </c:pt>
                <c:pt idx="101">
                  <c:v>5.3733319899999987</c:v>
                </c:pt>
                <c:pt idx="102">
                  <c:v>5.3733319899999987</c:v>
                </c:pt>
                <c:pt idx="103">
                  <c:v>5.3733319899999987</c:v>
                </c:pt>
                <c:pt idx="104">
                  <c:v>5.3733319899999987</c:v>
                </c:pt>
                <c:pt idx="105">
                  <c:v>5.3733319899999987</c:v>
                </c:pt>
                <c:pt idx="106">
                  <c:v>5.3733319899999987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9D-471D-8863-8085046D3E6E}"/>
            </c:ext>
          </c:extLst>
        </c:ser>
        <c:ser>
          <c:idx val="4"/>
          <c:order val="4"/>
          <c:tx>
            <c:v>50ml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'10-100ml'!$AG$3:$AG$109</c:f>
              <c:numCache>
                <c:formatCode>General</c:formatCode>
                <c:ptCount val="107"/>
                <c:pt idx="0">
                  <c:v>0.29333325999999998</c:v>
                </c:pt>
                <c:pt idx="1">
                  <c:v>0.33333324999999997</c:v>
                </c:pt>
                <c:pt idx="2">
                  <c:v>0.35999990999999998</c:v>
                </c:pt>
                <c:pt idx="3">
                  <c:v>0.39999989999999996</c:v>
                </c:pt>
                <c:pt idx="4">
                  <c:v>0.43999988999999995</c:v>
                </c:pt>
                <c:pt idx="5">
                  <c:v>0.47999987999999999</c:v>
                </c:pt>
                <c:pt idx="6">
                  <c:v>0.55999986000000002</c:v>
                </c:pt>
                <c:pt idx="7">
                  <c:v>0.71999981999999996</c:v>
                </c:pt>
                <c:pt idx="8">
                  <c:v>1.0133330799999998</c:v>
                </c:pt>
                <c:pt idx="9">
                  <c:v>1.8266662099999997</c:v>
                </c:pt>
                <c:pt idx="10">
                  <c:v>3.7866657199999993</c:v>
                </c:pt>
                <c:pt idx="11">
                  <c:v>9.5733309399999982</c:v>
                </c:pt>
                <c:pt idx="12">
                  <c:v>24.293327259999995</c:v>
                </c:pt>
                <c:pt idx="13">
                  <c:v>48.079987979999999</c:v>
                </c:pt>
                <c:pt idx="14">
                  <c:v>73.99998149999999</c:v>
                </c:pt>
                <c:pt idx="15">
                  <c:v>94.719976319999986</c:v>
                </c:pt>
                <c:pt idx="16">
                  <c:v>109.97330583999998</c:v>
                </c:pt>
                <c:pt idx="17">
                  <c:v>121.82663620999999</c:v>
                </c:pt>
                <c:pt idx="18">
                  <c:v>131.94663367999999</c:v>
                </c:pt>
                <c:pt idx="19">
                  <c:v>141.55996460999998</c:v>
                </c:pt>
                <c:pt idx="20">
                  <c:v>146.78662997000001</c:v>
                </c:pt>
                <c:pt idx="21">
                  <c:v>140.06663164999998</c:v>
                </c:pt>
                <c:pt idx="22">
                  <c:v>128.43996788999999</c:v>
                </c:pt>
                <c:pt idx="23">
                  <c:v>118.35997040999999</c:v>
                </c:pt>
                <c:pt idx="24">
                  <c:v>108.03997298999998</c:v>
                </c:pt>
                <c:pt idx="25">
                  <c:v>89.186644369999982</c:v>
                </c:pt>
                <c:pt idx="26">
                  <c:v>60.679984829999995</c:v>
                </c:pt>
                <c:pt idx="27">
                  <c:v>36.893324109999995</c:v>
                </c:pt>
                <c:pt idx="28">
                  <c:v>23.359994159999996</c:v>
                </c:pt>
                <c:pt idx="29">
                  <c:v>17.386662319999999</c:v>
                </c:pt>
                <c:pt idx="30">
                  <c:v>14.346663079999997</c:v>
                </c:pt>
                <c:pt idx="31">
                  <c:v>12.45333022</c:v>
                </c:pt>
                <c:pt idx="32">
                  <c:v>11.146663879999998</c:v>
                </c:pt>
                <c:pt idx="33">
                  <c:v>10.19999745</c:v>
                </c:pt>
                <c:pt idx="34">
                  <c:v>9.4666642999999997</c:v>
                </c:pt>
                <c:pt idx="35">
                  <c:v>8.85333112</c:v>
                </c:pt>
                <c:pt idx="36">
                  <c:v>8.3199979199999987</c:v>
                </c:pt>
                <c:pt idx="37">
                  <c:v>7.9333313499999996</c:v>
                </c:pt>
                <c:pt idx="38">
                  <c:v>7.6399980899999989</c:v>
                </c:pt>
                <c:pt idx="39">
                  <c:v>7.3999981499999992</c:v>
                </c:pt>
                <c:pt idx="40">
                  <c:v>7.1866648699999995</c:v>
                </c:pt>
                <c:pt idx="41">
                  <c:v>7.0133315799999991</c:v>
                </c:pt>
                <c:pt idx="42">
                  <c:v>6.8533316199999996</c:v>
                </c:pt>
                <c:pt idx="43">
                  <c:v>6.7066649899999993</c:v>
                </c:pt>
                <c:pt idx="44">
                  <c:v>6.573331689999999</c:v>
                </c:pt>
                <c:pt idx="45">
                  <c:v>6.4533317199999995</c:v>
                </c:pt>
                <c:pt idx="46">
                  <c:v>6.3333317499999993</c:v>
                </c:pt>
                <c:pt idx="47">
                  <c:v>6.239998439999999</c:v>
                </c:pt>
                <c:pt idx="48">
                  <c:v>6.1466651299999997</c:v>
                </c:pt>
                <c:pt idx="49">
                  <c:v>6.0533318199999995</c:v>
                </c:pt>
                <c:pt idx="50">
                  <c:v>5.9599985100000001</c:v>
                </c:pt>
                <c:pt idx="51">
                  <c:v>5.8666651999999999</c:v>
                </c:pt>
                <c:pt idx="52">
                  <c:v>5.7866652199999997</c:v>
                </c:pt>
                <c:pt idx="53">
                  <c:v>5.7199985699999996</c:v>
                </c:pt>
                <c:pt idx="54">
                  <c:v>5.6666652499999994</c:v>
                </c:pt>
                <c:pt idx="55">
                  <c:v>5.6133319299999993</c:v>
                </c:pt>
                <c:pt idx="56">
                  <c:v>5.5733319399999992</c:v>
                </c:pt>
                <c:pt idx="57">
                  <c:v>5.54666528</c:v>
                </c:pt>
                <c:pt idx="58">
                  <c:v>5.5333319499999991</c:v>
                </c:pt>
                <c:pt idx="59">
                  <c:v>5.506665289999999</c:v>
                </c:pt>
                <c:pt idx="60">
                  <c:v>5.4799986299999999</c:v>
                </c:pt>
                <c:pt idx="61">
                  <c:v>5.4399986399999989</c:v>
                </c:pt>
                <c:pt idx="62">
                  <c:v>5.4133319799999997</c:v>
                </c:pt>
                <c:pt idx="63">
                  <c:v>5.3866653199999996</c:v>
                </c:pt>
                <c:pt idx="64">
                  <c:v>5.3599986599999996</c:v>
                </c:pt>
                <c:pt idx="65">
                  <c:v>5.3333319999999995</c:v>
                </c:pt>
                <c:pt idx="66">
                  <c:v>5.3066653399999995</c:v>
                </c:pt>
                <c:pt idx="67">
                  <c:v>5.2933320100000003</c:v>
                </c:pt>
                <c:pt idx="68">
                  <c:v>5.2799986799999994</c:v>
                </c:pt>
                <c:pt idx="69">
                  <c:v>5.2666653499999994</c:v>
                </c:pt>
                <c:pt idx="70">
                  <c:v>5.2533320199999993</c:v>
                </c:pt>
                <c:pt idx="71">
                  <c:v>5.2399986899999993</c:v>
                </c:pt>
                <c:pt idx="72">
                  <c:v>5.2266653600000001</c:v>
                </c:pt>
                <c:pt idx="73">
                  <c:v>5.2266653600000001</c:v>
                </c:pt>
                <c:pt idx="74">
                  <c:v>5.2133320300000001</c:v>
                </c:pt>
                <c:pt idx="75">
                  <c:v>5.1999986999999992</c:v>
                </c:pt>
                <c:pt idx="76">
                  <c:v>5.1999986999999992</c:v>
                </c:pt>
                <c:pt idx="77">
                  <c:v>5.1999986999999992</c:v>
                </c:pt>
                <c:pt idx="78">
                  <c:v>5.1866653699999992</c:v>
                </c:pt>
                <c:pt idx="79">
                  <c:v>5.1866653699999992</c:v>
                </c:pt>
                <c:pt idx="80">
                  <c:v>5.1866653699999992</c:v>
                </c:pt>
                <c:pt idx="81">
                  <c:v>5.1733320399999991</c:v>
                </c:pt>
                <c:pt idx="82">
                  <c:v>5.1733320399999991</c:v>
                </c:pt>
                <c:pt idx="83">
                  <c:v>5.1733320399999991</c:v>
                </c:pt>
                <c:pt idx="84">
                  <c:v>5.1733320399999991</c:v>
                </c:pt>
                <c:pt idx="85">
                  <c:v>5.1733320399999991</c:v>
                </c:pt>
                <c:pt idx="86">
                  <c:v>5.1733320399999991</c:v>
                </c:pt>
                <c:pt idx="87">
                  <c:v>5.1733320399999991</c:v>
                </c:pt>
                <c:pt idx="88">
                  <c:v>5.1733320399999991</c:v>
                </c:pt>
                <c:pt idx="89">
                  <c:v>5.15999871</c:v>
                </c:pt>
                <c:pt idx="90">
                  <c:v>5.1733320399999991</c:v>
                </c:pt>
                <c:pt idx="91">
                  <c:v>5.1733320399999991</c:v>
                </c:pt>
                <c:pt idx="92">
                  <c:v>5.1733320399999991</c:v>
                </c:pt>
                <c:pt idx="93">
                  <c:v>5.1733320399999991</c:v>
                </c:pt>
                <c:pt idx="94">
                  <c:v>5.1733320399999991</c:v>
                </c:pt>
                <c:pt idx="95">
                  <c:v>5.1733320399999991</c:v>
                </c:pt>
                <c:pt idx="96">
                  <c:v>5.1733320399999991</c:v>
                </c:pt>
                <c:pt idx="97">
                  <c:v>5.1733320399999991</c:v>
                </c:pt>
                <c:pt idx="98">
                  <c:v>5.1733320399999991</c:v>
                </c:pt>
                <c:pt idx="99">
                  <c:v>5.1733320399999991</c:v>
                </c:pt>
                <c:pt idx="100">
                  <c:v>5.1733320399999991</c:v>
                </c:pt>
                <c:pt idx="101">
                  <c:v>5.1733320399999991</c:v>
                </c:pt>
                <c:pt idx="102">
                  <c:v>5.1733320399999991</c:v>
                </c:pt>
                <c:pt idx="103">
                  <c:v>5.1866653699999992</c:v>
                </c:pt>
                <c:pt idx="104">
                  <c:v>5.1866653699999992</c:v>
                </c:pt>
                <c:pt idx="105">
                  <c:v>5.1866653699999992</c:v>
                </c:pt>
                <c:pt idx="106">
                  <c:v>5.1866653699999992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9D-471D-8863-8085046D3E6E}"/>
            </c:ext>
          </c:extLst>
        </c:ser>
        <c:ser>
          <c:idx val="5"/>
          <c:order val="5"/>
          <c:tx>
            <c:v>60ml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'10-100ml'!$AI$3:$AI$109</c:f>
              <c:numCache>
                <c:formatCode>General</c:formatCode>
                <c:ptCount val="107"/>
                <c:pt idx="0">
                  <c:v>0.23999993999999999</c:v>
                </c:pt>
                <c:pt idx="1">
                  <c:v>0.30666658999999996</c:v>
                </c:pt>
                <c:pt idx="2">
                  <c:v>0.35999990999999998</c:v>
                </c:pt>
                <c:pt idx="3">
                  <c:v>0.41333323</c:v>
                </c:pt>
                <c:pt idx="4">
                  <c:v>0.47999987999999999</c:v>
                </c:pt>
                <c:pt idx="5">
                  <c:v>0.54666652999999987</c:v>
                </c:pt>
                <c:pt idx="6">
                  <c:v>0.62666650999999995</c:v>
                </c:pt>
                <c:pt idx="7">
                  <c:v>0.73333314999999999</c:v>
                </c:pt>
                <c:pt idx="8">
                  <c:v>0.89333310999999993</c:v>
                </c:pt>
                <c:pt idx="9">
                  <c:v>1.0799997299999999</c:v>
                </c:pt>
                <c:pt idx="10">
                  <c:v>1.3333329999999999</c:v>
                </c:pt>
                <c:pt idx="11">
                  <c:v>1.7333328999999997</c:v>
                </c:pt>
                <c:pt idx="12">
                  <c:v>2.5066660399999998</c:v>
                </c:pt>
                <c:pt idx="13">
                  <c:v>4.42666556</c:v>
                </c:pt>
                <c:pt idx="14">
                  <c:v>9.7066642399999985</c:v>
                </c:pt>
                <c:pt idx="15">
                  <c:v>27.439993139999999</c:v>
                </c:pt>
                <c:pt idx="16">
                  <c:v>64.293317259999995</c:v>
                </c:pt>
                <c:pt idx="17">
                  <c:v>95.386642819999992</c:v>
                </c:pt>
                <c:pt idx="18">
                  <c:v>116.14663762999999</c:v>
                </c:pt>
                <c:pt idx="19">
                  <c:v>131.35996716</c:v>
                </c:pt>
                <c:pt idx="20">
                  <c:v>143.59996409999999</c:v>
                </c:pt>
                <c:pt idx="21">
                  <c:v>154.94662792999998</c:v>
                </c:pt>
                <c:pt idx="22">
                  <c:v>167.25329152</c:v>
                </c:pt>
                <c:pt idx="23">
                  <c:v>170.23995743999998</c:v>
                </c:pt>
                <c:pt idx="24">
                  <c:v>157.4666273</c:v>
                </c:pt>
                <c:pt idx="25">
                  <c:v>144.45329722</c:v>
                </c:pt>
                <c:pt idx="26">
                  <c:v>134.06663315</c:v>
                </c:pt>
                <c:pt idx="27">
                  <c:v>125.41330197999999</c:v>
                </c:pt>
                <c:pt idx="28">
                  <c:v>117.87997052999999</c:v>
                </c:pt>
                <c:pt idx="29">
                  <c:v>110.94663892999999</c:v>
                </c:pt>
                <c:pt idx="30">
                  <c:v>104.31997391999998</c:v>
                </c:pt>
                <c:pt idx="31">
                  <c:v>97.746642229999992</c:v>
                </c:pt>
                <c:pt idx="32">
                  <c:v>90.999977249999986</c:v>
                </c:pt>
                <c:pt idx="33">
                  <c:v>84.013312329999991</c:v>
                </c:pt>
                <c:pt idx="34">
                  <c:v>76.719980819999989</c:v>
                </c:pt>
                <c:pt idx="35">
                  <c:v>69.119982719999996</c:v>
                </c:pt>
                <c:pt idx="36">
                  <c:v>61.146651379999994</c:v>
                </c:pt>
                <c:pt idx="37">
                  <c:v>51.959987009999992</c:v>
                </c:pt>
                <c:pt idx="38">
                  <c:v>41.919989519999994</c:v>
                </c:pt>
                <c:pt idx="39">
                  <c:v>32.5333252</c:v>
                </c:pt>
                <c:pt idx="40">
                  <c:v>24.839993789999998</c:v>
                </c:pt>
                <c:pt idx="41">
                  <c:v>19.093328559999996</c:v>
                </c:pt>
                <c:pt idx="42">
                  <c:v>14.999996249999999</c:v>
                </c:pt>
                <c:pt idx="43">
                  <c:v>12.319996919999999</c:v>
                </c:pt>
                <c:pt idx="44">
                  <c:v>10.639997339999999</c:v>
                </c:pt>
                <c:pt idx="45">
                  <c:v>9.506664289999998</c:v>
                </c:pt>
                <c:pt idx="46">
                  <c:v>8.6666644999999995</c:v>
                </c:pt>
                <c:pt idx="47">
                  <c:v>8.039997989999998</c:v>
                </c:pt>
                <c:pt idx="48">
                  <c:v>7.5466647799999995</c:v>
                </c:pt>
                <c:pt idx="49">
                  <c:v>7.1466648799999994</c:v>
                </c:pt>
                <c:pt idx="50">
                  <c:v>6.8266649599999996</c:v>
                </c:pt>
                <c:pt idx="51">
                  <c:v>6.5599983599999998</c:v>
                </c:pt>
                <c:pt idx="52">
                  <c:v>6.3333317499999993</c:v>
                </c:pt>
                <c:pt idx="53">
                  <c:v>6.1466651299999997</c:v>
                </c:pt>
                <c:pt idx="54">
                  <c:v>5.9866651699999993</c:v>
                </c:pt>
                <c:pt idx="55">
                  <c:v>5.839998539999999</c:v>
                </c:pt>
                <c:pt idx="56">
                  <c:v>5.7066652399999995</c:v>
                </c:pt>
                <c:pt idx="57">
                  <c:v>5.5999985999999993</c:v>
                </c:pt>
                <c:pt idx="58">
                  <c:v>5.4933319599999999</c:v>
                </c:pt>
                <c:pt idx="59">
                  <c:v>5.4133319799999997</c:v>
                </c:pt>
                <c:pt idx="60">
                  <c:v>5.3333319999999995</c:v>
                </c:pt>
                <c:pt idx="61">
                  <c:v>5.2533320199999993</c:v>
                </c:pt>
                <c:pt idx="62">
                  <c:v>5.1866653699999992</c:v>
                </c:pt>
                <c:pt idx="63">
                  <c:v>5.119998719999999</c:v>
                </c:pt>
                <c:pt idx="64">
                  <c:v>5.0799987299999998</c:v>
                </c:pt>
                <c:pt idx="65">
                  <c:v>5.0266654099999997</c:v>
                </c:pt>
                <c:pt idx="66">
                  <c:v>4.9866654199999996</c:v>
                </c:pt>
                <c:pt idx="67">
                  <c:v>4.9466654299999995</c:v>
                </c:pt>
                <c:pt idx="68">
                  <c:v>4.9199987699999994</c:v>
                </c:pt>
                <c:pt idx="69">
                  <c:v>4.9066654399999994</c:v>
                </c:pt>
                <c:pt idx="70">
                  <c:v>4.9066654399999994</c:v>
                </c:pt>
                <c:pt idx="71">
                  <c:v>4.9199987699999994</c:v>
                </c:pt>
                <c:pt idx="72">
                  <c:v>4.9199987699999994</c:v>
                </c:pt>
                <c:pt idx="73">
                  <c:v>4.9333320999999994</c:v>
                </c:pt>
                <c:pt idx="74">
                  <c:v>4.9466654299999995</c:v>
                </c:pt>
                <c:pt idx="75">
                  <c:v>4.9599987599999995</c:v>
                </c:pt>
                <c:pt idx="76">
                  <c:v>4.9866654199999996</c:v>
                </c:pt>
                <c:pt idx="77">
                  <c:v>4.9999987499999996</c:v>
                </c:pt>
                <c:pt idx="78">
                  <c:v>5.0133320799999996</c:v>
                </c:pt>
                <c:pt idx="79">
                  <c:v>5.0266654099999997</c:v>
                </c:pt>
                <c:pt idx="80">
                  <c:v>5.0399987399999988</c:v>
                </c:pt>
                <c:pt idx="81">
                  <c:v>5.0533320699999997</c:v>
                </c:pt>
                <c:pt idx="82">
                  <c:v>5.0666653999999998</c:v>
                </c:pt>
                <c:pt idx="83">
                  <c:v>5.0799987299999998</c:v>
                </c:pt>
                <c:pt idx="84">
                  <c:v>5.0933320599999998</c:v>
                </c:pt>
                <c:pt idx="85">
                  <c:v>5.106665389999999</c:v>
                </c:pt>
                <c:pt idx="86">
                  <c:v>5.119998719999999</c:v>
                </c:pt>
                <c:pt idx="87">
                  <c:v>5.1333320499999999</c:v>
                </c:pt>
                <c:pt idx="88">
                  <c:v>5.15999871</c:v>
                </c:pt>
                <c:pt idx="89">
                  <c:v>5.1733320399999991</c:v>
                </c:pt>
                <c:pt idx="90">
                  <c:v>5.1866653699999992</c:v>
                </c:pt>
                <c:pt idx="91">
                  <c:v>5.1999986999999992</c:v>
                </c:pt>
                <c:pt idx="92">
                  <c:v>5.2133320300000001</c:v>
                </c:pt>
                <c:pt idx="93">
                  <c:v>5.2266653600000001</c:v>
                </c:pt>
                <c:pt idx="94">
                  <c:v>5.2399986899999993</c:v>
                </c:pt>
                <c:pt idx="95">
                  <c:v>5.2533320199999993</c:v>
                </c:pt>
                <c:pt idx="96">
                  <c:v>5.2666653499999994</c:v>
                </c:pt>
                <c:pt idx="97">
                  <c:v>5.2799986799999994</c:v>
                </c:pt>
                <c:pt idx="98">
                  <c:v>5.2933320100000003</c:v>
                </c:pt>
                <c:pt idx="99">
                  <c:v>5.3066653399999995</c:v>
                </c:pt>
                <c:pt idx="100">
                  <c:v>5.3199986699999995</c:v>
                </c:pt>
                <c:pt idx="101">
                  <c:v>5.3333319999999995</c:v>
                </c:pt>
                <c:pt idx="102">
                  <c:v>5.3466653299999995</c:v>
                </c:pt>
                <c:pt idx="103">
                  <c:v>5.3599986599999996</c:v>
                </c:pt>
                <c:pt idx="104">
                  <c:v>5.3733319899999987</c:v>
                </c:pt>
                <c:pt idx="105">
                  <c:v>5.3866653199999996</c:v>
                </c:pt>
                <c:pt idx="106">
                  <c:v>5.3999986499999997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9D-471D-8863-8085046D3E6E}"/>
            </c:ext>
          </c:extLst>
        </c:ser>
        <c:ser>
          <c:idx val="6"/>
          <c:order val="6"/>
          <c:tx>
            <c:v>70ml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'10-100ml'!$AK$3:$AK$109</c:f>
              <c:numCache>
                <c:formatCode>General</c:formatCode>
                <c:ptCount val="107"/>
                <c:pt idx="0">
                  <c:v>0.11999997</c:v>
                </c:pt>
                <c:pt idx="1">
                  <c:v>0.19999994999999998</c:v>
                </c:pt>
                <c:pt idx="2">
                  <c:v>0.25333326999999994</c:v>
                </c:pt>
                <c:pt idx="3">
                  <c:v>0.31999991999999994</c:v>
                </c:pt>
                <c:pt idx="4">
                  <c:v>0.41333323</c:v>
                </c:pt>
                <c:pt idx="5">
                  <c:v>0.54666652999999987</c:v>
                </c:pt>
                <c:pt idx="6">
                  <c:v>0.69333316</c:v>
                </c:pt>
                <c:pt idx="7">
                  <c:v>0.81333312999999985</c:v>
                </c:pt>
                <c:pt idx="8">
                  <c:v>0.8799997799999999</c:v>
                </c:pt>
                <c:pt idx="9">
                  <c:v>0.91999976999999999</c:v>
                </c:pt>
                <c:pt idx="10">
                  <c:v>0.90666643999999985</c:v>
                </c:pt>
                <c:pt idx="11">
                  <c:v>0.86666644999999987</c:v>
                </c:pt>
                <c:pt idx="12">
                  <c:v>0.81333312999999985</c:v>
                </c:pt>
                <c:pt idx="13">
                  <c:v>0.75999980999999994</c:v>
                </c:pt>
                <c:pt idx="14">
                  <c:v>0.71999981999999996</c:v>
                </c:pt>
                <c:pt idx="15">
                  <c:v>0.67999982999999986</c:v>
                </c:pt>
                <c:pt idx="16">
                  <c:v>0.63999983999999988</c:v>
                </c:pt>
                <c:pt idx="17">
                  <c:v>0.61333317999999992</c:v>
                </c:pt>
                <c:pt idx="18">
                  <c:v>0.57333318999999994</c:v>
                </c:pt>
                <c:pt idx="19">
                  <c:v>0.54666652999999987</c:v>
                </c:pt>
                <c:pt idx="20">
                  <c:v>0.55999986000000002</c:v>
                </c:pt>
                <c:pt idx="21">
                  <c:v>0.75999980999999994</c:v>
                </c:pt>
                <c:pt idx="22">
                  <c:v>1.9066661899999999</c:v>
                </c:pt>
                <c:pt idx="23">
                  <c:v>6.0399984899999994</c:v>
                </c:pt>
                <c:pt idx="24">
                  <c:v>23.693327409999995</c:v>
                </c:pt>
                <c:pt idx="25">
                  <c:v>64.786650469999998</c:v>
                </c:pt>
                <c:pt idx="26">
                  <c:v>96.493309209999993</c:v>
                </c:pt>
                <c:pt idx="27">
                  <c:v>117.30663733999998</c:v>
                </c:pt>
                <c:pt idx="28">
                  <c:v>132.91996676999997</c:v>
                </c:pt>
                <c:pt idx="29">
                  <c:v>145.7332969</c:v>
                </c:pt>
                <c:pt idx="30">
                  <c:v>157.05329406999999</c:v>
                </c:pt>
                <c:pt idx="31">
                  <c:v>164.79995879999998</c:v>
                </c:pt>
                <c:pt idx="32">
                  <c:v>166.54662502999997</c:v>
                </c:pt>
                <c:pt idx="33">
                  <c:v>163.15995920999998</c:v>
                </c:pt>
                <c:pt idx="34">
                  <c:v>163.89329236</c:v>
                </c:pt>
                <c:pt idx="35">
                  <c:v>160.35995990999999</c:v>
                </c:pt>
                <c:pt idx="36">
                  <c:v>148.57329618999998</c:v>
                </c:pt>
                <c:pt idx="37">
                  <c:v>137.57329893999997</c:v>
                </c:pt>
                <c:pt idx="38">
                  <c:v>128.09330130999999</c:v>
                </c:pt>
                <c:pt idx="39">
                  <c:v>118.17330378999998</c:v>
                </c:pt>
                <c:pt idx="40">
                  <c:v>103.45330746999998</c:v>
                </c:pt>
                <c:pt idx="41">
                  <c:v>82.09331281</c:v>
                </c:pt>
                <c:pt idx="42">
                  <c:v>57.306652339999999</c:v>
                </c:pt>
                <c:pt idx="43">
                  <c:v>36.19999095</c:v>
                </c:pt>
                <c:pt idx="44">
                  <c:v>23.906660689999999</c:v>
                </c:pt>
                <c:pt idx="45">
                  <c:v>17.586662269999998</c:v>
                </c:pt>
                <c:pt idx="46">
                  <c:v>14.279996429999997</c:v>
                </c:pt>
                <c:pt idx="47">
                  <c:v>12.226663609999999</c:v>
                </c:pt>
                <c:pt idx="48">
                  <c:v>10.786663969999999</c:v>
                </c:pt>
                <c:pt idx="49">
                  <c:v>9.5466642799999981</c:v>
                </c:pt>
                <c:pt idx="50">
                  <c:v>8.439997889999999</c:v>
                </c:pt>
                <c:pt idx="51">
                  <c:v>7.5999980999999996</c:v>
                </c:pt>
                <c:pt idx="52">
                  <c:v>6.9599982599999999</c:v>
                </c:pt>
                <c:pt idx="53">
                  <c:v>6.4533317199999995</c:v>
                </c:pt>
                <c:pt idx="54">
                  <c:v>6.0533318199999995</c:v>
                </c:pt>
                <c:pt idx="55">
                  <c:v>5.7199985699999996</c:v>
                </c:pt>
                <c:pt idx="56">
                  <c:v>5.4533319699999989</c:v>
                </c:pt>
                <c:pt idx="57">
                  <c:v>5.2266653600000001</c:v>
                </c:pt>
                <c:pt idx="58">
                  <c:v>5.0266654099999997</c:v>
                </c:pt>
                <c:pt idx="59">
                  <c:v>4.8533321199999993</c:v>
                </c:pt>
                <c:pt idx="60">
                  <c:v>4.7066654899999989</c:v>
                </c:pt>
                <c:pt idx="61">
                  <c:v>4.5866655199999995</c:v>
                </c:pt>
                <c:pt idx="62">
                  <c:v>4.4799988800000001</c:v>
                </c:pt>
                <c:pt idx="63">
                  <c:v>4.386665569999999</c:v>
                </c:pt>
                <c:pt idx="64">
                  <c:v>4.2933322599999997</c:v>
                </c:pt>
                <c:pt idx="65">
                  <c:v>4.2133322799999995</c:v>
                </c:pt>
                <c:pt idx="66">
                  <c:v>4.1466656300000002</c:v>
                </c:pt>
                <c:pt idx="67">
                  <c:v>4.0799989800000001</c:v>
                </c:pt>
                <c:pt idx="68">
                  <c:v>4.0266656599999999</c:v>
                </c:pt>
                <c:pt idx="69">
                  <c:v>3.9866656699999994</c:v>
                </c:pt>
                <c:pt idx="70">
                  <c:v>3.9599990099999998</c:v>
                </c:pt>
                <c:pt idx="71">
                  <c:v>3.9066656899999996</c:v>
                </c:pt>
                <c:pt idx="72">
                  <c:v>3.8533323699999995</c:v>
                </c:pt>
                <c:pt idx="73">
                  <c:v>3.8133323799999999</c:v>
                </c:pt>
                <c:pt idx="74">
                  <c:v>3.7733323899999998</c:v>
                </c:pt>
                <c:pt idx="75">
                  <c:v>3.7333323999999997</c:v>
                </c:pt>
                <c:pt idx="76">
                  <c:v>3.7066657399999996</c:v>
                </c:pt>
                <c:pt idx="77">
                  <c:v>3.6666657499999995</c:v>
                </c:pt>
                <c:pt idx="78">
                  <c:v>3.6399990899999999</c:v>
                </c:pt>
                <c:pt idx="79">
                  <c:v>3.6133324299999998</c:v>
                </c:pt>
                <c:pt idx="80">
                  <c:v>3.5866657699999993</c:v>
                </c:pt>
                <c:pt idx="81">
                  <c:v>3.5599991099999997</c:v>
                </c:pt>
                <c:pt idx="82">
                  <c:v>3.5333324499999996</c:v>
                </c:pt>
                <c:pt idx="83">
                  <c:v>3.5199991199999996</c:v>
                </c:pt>
                <c:pt idx="84">
                  <c:v>3.5066657899999996</c:v>
                </c:pt>
                <c:pt idx="85">
                  <c:v>3.4933324599999995</c:v>
                </c:pt>
                <c:pt idx="86">
                  <c:v>3.4666657999999995</c:v>
                </c:pt>
                <c:pt idx="87">
                  <c:v>3.4666657999999995</c:v>
                </c:pt>
                <c:pt idx="88">
                  <c:v>3.4666657999999995</c:v>
                </c:pt>
                <c:pt idx="89">
                  <c:v>3.4799991299999999</c:v>
                </c:pt>
                <c:pt idx="90">
                  <c:v>3.4933324599999995</c:v>
                </c:pt>
                <c:pt idx="91">
                  <c:v>3.4933324599999995</c:v>
                </c:pt>
                <c:pt idx="92">
                  <c:v>3.5066657899999996</c:v>
                </c:pt>
                <c:pt idx="93">
                  <c:v>3.5199991199999996</c:v>
                </c:pt>
                <c:pt idx="94">
                  <c:v>3.5333324499999996</c:v>
                </c:pt>
                <c:pt idx="95">
                  <c:v>3.5333324499999996</c:v>
                </c:pt>
                <c:pt idx="96">
                  <c:v>3.5466657799999997</c:v>
                </c:pt>
                <c:pt idx="97">
                  <c:v>3.5599991099999997</c:v>
                </c:pt>
                <c:pt idx="98">
                  <c:v>3.5599991099999997</c:v>
                </c:pt>
                <c:pt idx="99">
                  <c:v>3.5733324399999997</c:v>
                </c:pt>
                <c:pt idx="100">
                  <c:v>3.5866657699999993</c:v>
                </c:pt>
                <c:pt idx="101">
                  <c:v>3.5999990999999998</c:v>
                </c:pt>
                <c:pt idx="102">
                  <c:v>3.6133324299999998</c:v>
                </c:pt>
                <c:pt idx="103">
                  <c:v>3.6266657599999994</c:v>
                </c:pt>
                <c:pt idx="104">
                  <c:v>3.6399990899999999</c:v>
                </c:pt>
                <c:pt idx="105">
                  <c:v>3.6399990899999999</c:v>
                </c:pt>
                <c:pt idx="106">
                  <c:v>3.6533324199999995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9D-471D-8863-8085046D3E6E}"/>
            </c:ext>
          </c:extLst>
        </c:ser>
        <c:ser>
          <c:idx val="7"/>
          <c:order val="7"/>
          <c:tx>
            <c:v>80ml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'10-100ml'!$AM$3:$AM$109</c:f>
              <c:numCache>
                <c:formatCode>General</c:formatCode>
                <c:ptCount val="107"/>
                <c:pt idx="0">
                  <c:v>0.42666655999999997</c:v>
                </c:pt>
                <c:pt idx="1">
                  <c:v>0.49333320999999997</c:v>
                </c:pt>
                <c:pt idx="2">
                  <c:v>0.54666652999999987</c:v>
                </c:pt>
                <c:pt idx="3">
                  <c:v>0.61333317999999992</c:v>
                </c:pt>
                <c:pt idx="4">
                  <c:v>0.66666649999999994</c:v>
                </c:pt>
                <c:pt idx="5">
                  <c:v>0.71999981999999996</c:v>
                </c:pt>
                <c:pt idx="6">
                  <c:v>0.77333313999999986</c:v>
                </c:pt>
                <c:pt idx="7">
                  <c:v>0.82666645999999999</c:v>
                </c:pt>
                <c:pt idx="8">
                  <c:v>0.89333310999999993</c:v>
                </c:pt>
                <c:pt idx="9">
                  <c:v>1.0133330799999998</c:v>
                </c:pt>
                <c:pt idx="10">
                  <c:v>1.2933330099999998</c:v>
                </c:pt>
                <c:pt idx="11">
                  <c:v>1.63999959</c:v>
                </c:pt>
                <c:pt idx="12">
                  <c:v>2.0799994799999997</c:v>
                </c:pt>
                <c:pt idx="13">
                  <c:v>2.7599993099999995</c:v>
                </c:pt>
                <c:pt idx="14">
                  <c:v>3.9866656699999994</c:v>
                </c:pt>
                <c:pt idx="15">
                  <c:v>6.4133317299999995</c:v>
                </c:pt>
                <c:pt idx="16">
                  <c:v>10.29333076</c:v>
                </c:pt>
                <c:pt idx="17">
                  <c:v>18.293328759999998</c:v>
                </c:pt>
                <c:pt idx="18">
                  <c:v>40.946656429999997</c:v>
                </c:pt>
                <c:pt idx="19">
                  <c:v>71.013315579999997</c:v>
                </c:pt>
                <c:pt idx="20">
                  <c:v>96.173309289999992</c:v>
                </c:pt>
                <c:pt idx="21">
                  <c:v>118.50663703999999</c:v>
                </c:pt>
                <c:pt idx="22">
                  <c:v>136.06663264999997</c:v>
                </c:pt>
                <c:pt idx="23">
                  <c:v>145.90663018999999</c:v>
                </c:pt>
                <c:pt idx="24">
                  <c:v>153.27996167999999</c:v>
                </c:pt>
                <c:pt idx="25">
                  <c:v>160.67995982999997</c:v>
                </c:pt>
                <c:pt idx="26">
                  <c:v>166.85329161999999</c:v>
                </c:pt>
                <c:pt idx="27">
                  <c:v>170.78662396999999</c:v>
                </c:pt>
                <c:pt idx="28">
                  <c:v>174.15995645999999</c:v>
                </c:pt>
                <c:pt idx="29">
                  <c:v>172.07995697999996</c:v>
                </c:pt>
                <c:pt idx="30">
                  <c:v>160.03995998999997</c:v>
                </c:pt>
                <c:pt idx="31">
                  <c:v>147.79996304999997</c:v>
                </c:pt>
                <c:pt idx="32">
                  <c:v>137.78663222</c:v>
                </c:pt>
                <c:pt idx="33">
                  <c:v>129.33330099999998</c:v>
                </c:pt>
                <c:pt idx="34">
                  <c:v>121.97330283999999</c:v>
                </c:pt>
                <c:pt idx="35">
                  <c:v>115.33330449999998</c:v>
                </c:pt>
                <c:pt idx="36">
                  <c:v>109.11997271999999</c:v>
                </c:pt>
                <c:pt idx="37">
                  <c:v>103.10664088999998</c:v>
                </c:pt>
                <c:pt idx="38">
                  <c:v>97.079975730000001</c:v>
                </c:pt>
                <c:pt idx="39">
                  <c:v>90.879977279999991</c:v>
                </c:pt>
                <c:pt idx="40">
                  <c:v>84.426645559999997</c:v>
                </c:pt>
                <c:pt idx="41">
                  <c:v>77.71998056999999</c:v>
                </c:pt>
                <c:pt idx="42">
                  <c:v>70.879982279999993</c:v>
                </c:pt>
                <c:pt idx="43">
                  <c:v>64.17331729</c:v>
                </c:pt>
                <c:pt idx="44">
                  <c:v>57.826652209999992</c:v>
                </c:pt>
                <c:pt idx="45">
                  <c:v>51.866653699999993</c:v>
                </c:pt>
                <c:pt idx="46">
                  <c:v>46.30665509</c:v>
                </c:pt>
                <c:pt idx="47">
                  <c:v>41.199989699999996</c:v>
                </c:pt>
                <c:pt idx="48">
                  <c:v>36.599990849999998</c:v>
                </c:pt>
                <c:pt idx="49">
                  <c:v>32.506658539999997</c:v>
                </c:pt>
                <c:pt idx="50">
                  <c:v>28.919992769999997</c:v>
                </c:pt>
                <c:pt idx="51">
                  <c:v>25.77332689</c:v>
                </c:pt>
                <c:pt idx="52">
                  <c:v>23.039994239999999</c:v>
                </c:pt>
                <c:pt idx="53">
                  <c:v>20.679994829999998</c:v>
                </c:pt>
                <c:pt idx="54">
                  <c:v>18.639995339999999</c:v>
                </c:pt>
                <c:pt idx="55">
                  <c:v>16.879995779999998</c:v>
                </c:pt>
                <c:pt idx="56">
                  <c:v>15.346662829999998</c:v>
                </c:pt>
                <c:pt idx="57">
                  <c:v>13.91999652</c:v>
                </c:pt>
                <c:pt idx="58">
                  <c:v>12.49333021</c:v>
                </c:pt>
                <c:pt idx="59">
                  <c:v>11.18666387</c:v>
                </c:pt>
                <c:pt idx="60">
                  <c:v>10.19999745</c:v>
                </c:pt>
                <c:pt idx="61">
                  <c:v>9.479997629999998</c:v>
                </c:pt>
                <c:pt idx="62">
                  <c:v>8.9333310999999984</c:v>
                </c:pt>
                <c:pt idx="63">
                  <c:v>8.5066645399999992</c:v>
                </c:pt>
                <c:pt idx="64">
                  <c:v>8.1866646199999984</c:v>
                </c:pt>
                <c:pt idx="65">
                  <c:v>7.9066646899999986</c:v>
                </c:pt>
                <c:pt idx="66">
                  <c:v>7.6666647499999989</c:v>
                </c:pt>
                <c:pt idx="67">
                  <c:v>7.4799981299999994</c:v>
                </c:pt>
                <c:pt idx="68">
                  <c:v>7.319998169999999</c:v>
                </c:pt>
                <c:pt idx="69">
                  <c:v>7.1866648699999995</c:v>
                </c:pt>
                <c:pt idx="70">
                  <c:v>7.0666648999999992</c:v>
                </c:pt>
                <c:pt idx="71">
                  <c:v>6.973331589999999</c:v>
                </c:pt>
                <c:pt idx="72">
                  <c:v>6.9199982699999989</c:v>
                </c:pt>
                <c:pt idx="73">
                  <c:v>6.8933316099999997</c:v>
                </c:pt>
                <c:pt idx="74">
                  <c:v>6.8799982799999997</c:v>
                </c:pt>
                <c:pt idx="75">
                  <c:v>6.8666649499999997</c:v>
                </c:pt>
                <c:pt idx="76">
                  <c:v>6.8533316199999996</c:v>
                </c:pt>
                <c:pt idx="77">
                  <c:v>6.8399982899999987</c:v>
                </c:pt>
                <c:pt idx="78">
                  <c:v>6.8266649599999996</c:v>
                </c:pt>
                <c:pt idx="79">
                  <c:v>6.8266649599999996</c:v>
                </c:pt>
                <c:pt idx="80">
                  <c:v>6.8266649599999996</c:v>
                </c:pt>
                <c:pt idx="81">
                  <c:v>6.8266649599999996</c:v>
                </c:pt>
                <c:pt idx="82">
                  <c:v>6.8266649599999996</c:v>
                </c:pt>
                <c:pt idx="83">
                  <c:v>6.8266649599999996</c:v>
                </c:pt>
                <c:pt idx="84">
                  <c:v>6.8266649599999996</c:v>
                </c:pt>
                <c:pt idx="85">
                  <c:v>6.8399982899999987</c:v>
                </c:pt>
                <c:pt idx="86">
                  <c:v>6.8533316199999996</c:v>
                </c:pt>
                <c:pt idx="87">
                  <c:v>6.8666649499999997</c:v>
                </c:pt>
                <c:pt idx="88">
                  <c:v>6.8799982799999997</c:v>
                </c:pt>
                <c:pt idx="89">
                  <c:v>6.8933316099999997</c:v>
                </c:pt>
                <c:pt idx="90">
                  <c:v>6.9066649399999989</c:v>
                </c:pt>
                <c:pt idx="91">
                  <c:v>6.9066649399999989</c:v>
                </c:pt>
                <c:pt idx="92">
                  <c:v>6.9199982699999989</c:v>
                </c:pt>
                <c:pt idx="93">
                  <c:v>6.9333315999999989</c:v>
                </c:pt>
                <c:pt idx="94">
                  <c:v>6.9333315999999989</c:v>
                </c:pt>
                <c:pt idx="95">
                  <c:v>6.9333315999999989</c:v>
                </c:pt>
                <c:pt idx="96">
                  <c:v>6.9466649299999998</c:v>
                </c:pt>
                <c:pt idx="97">
                  <c:v>6.9599982599999999</c:v>
                </c:pt>
                <c:pt idx="98">
                  <c:v>6.973331589999999</c:v>
                </c:pt>
                <c:pt idx="99">
                  <c:v>6.9866649199999991</c:v>
                </c:pt>
                <c:pt idx="100">
                  <c:v>6.9999982499999991</c:v>
                </c:pt>
                <c:pt idx="101">
                  <c:v>7.0133315799999991</c:v>
                </c:pt>
                <c:pt idx="102">
                  <c:v>7.02666491</c:v>
                </c:pt>
                <c:pt idx="103">
                  <c:v>7.0399982399999992</c:v>
                </c:pt>
                <c:pt idx="104">
                  <c:v>7.0533315699999992</c:v>
                </c:pt>
                <c:pt idx="105">
                  <c:v>7.0666648999999992</c:v>
                </c:pt>
                <c:pt idx="106">
                  <c:v>7.0666648999999992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9D-471D-8863-8085046D3E6E}"/>
            </c:ext>
          </c:extLst>
        </c:ser>
        <c:ser>
          <c:idx val="8"/>
          <c:order val="8"/>
          <c:tx>
            <c:v>90ml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'10-100ml'!$AO$3:$AO$109</c:f>
              <c:numCache>
                <c:formatCode>General</c:formatCode>
                <c:ptCount val="107"/>
                <c:pt idx="0">
                  <c:v>9.3333309999999989E-2</c:v>
                </c:pt>
                <c:pt idx="1">
                  <c:v>0.10666663999999999</c:v>
                </c:pt>
                <c:pt idx="2">
                  <c:v>0.11999997</c:v>
                </c:pt>
                <c:pt idx="3">
                  <c:v>0.11999997</c:v>
                </c:pt>
                <c:pt idx="4">
                  <c:v>0.11999997</c:v>
                </c:pt>
                <c:pt idx="5">
                  <c:v>0.13333329999999999</c:v>
                </c:pt>
                <c:pt idx="6">
                  <c:v>0.14666662999999999</c:v>
                </c:pt>
                <c:pt idx="7">
                  <c:v>0.15999995999999997</c:v>
                </c:pt>
                <c:pt idx="8">
                  <c:v>0.17333329</c:v>
                </c:pt>
                <c:pt idx="9">
                  <c:v>0.18666661999999998</c:v>
                </c:pt>
                <c:pt idx="10">
                  <c:v>0.21333327999999999</c:v>
                </c:pt>
                <c:pt idx="11">
                  <c:v>0.27999993000000001</c:v>
                </c:pt>
                <c:pt idx="12">
                  <c:v>0.45333321999999993</c:v>
                </c:pt>
                <c:pt idx="13">
                  <c:v>0.67999982999999986</c:v>
                </c:pt>
                <c:pt idx="14">
                  <c:v>0.91999976999999999</c:v>
                </c:pt>
                <c:pt idx="15">
                  <c:v>1.3199996699999998</c:v>
                </c:pt>
                <c:pt idx="16">
                  <c:v>2.8799992799999998</c:v>
                </c:pt>
                <c:pt idx="17">
                  <c:v>7.7466647299999991</c:v>
                </c:pt>
                <c:pt idx="18">
                  <c:v>22.453327719999997</c:v>
                </c:pt>
                <c:pt idx="19">
                  <c:v>60.786651469999988</c:v>
                </c:pt>
                <c:pt idx="20">
                  <c:v>92.026643659999991</c:v>
                </c:pt>
                <c:pt idx="21">
                  <c:v>110.45330571999999</c:v>
                </c:pt>
                <c:pt idx="22">
                  <c:v>125.78663521999998</c:v>
                </c:pt>
                <c:pt idx="23">
                  <c:v>137.06663239999997</c:v>
                </c:pt>
                <c:pt idx="24">
                  <c:v>145.66663025</c:v>
                </c:pt>
                <c:pt idx="25">
                  <c:v>152.26662859999999</c:v>
                </c:pt>
                <c:pt idx="26">
                  <c:v>156.97329408999997</c:v>
                </c:pt>
                <c:pt idx="27">
                  <c:v>161.30662633999998</c:v>
                </c:pt>
                <c:pt idx="28">
                  <c:v>165.30662533999998</c:v>
                </c:pt>
                <c:pt idx="29">
                  <c:v>168.47995787999997</c:v>
                </c:pt>
                <c:pt idx="30">
                  <c:v>169.54662427999997</c:v>
                </c:pt>
                <c:pt idx="31">
                  <c:v>169.01329107999996</c:v>
                </c:pt>
                <c:pt idx="32">
                  <c:v>167.59995809999998</c:v>
                </c:pt>
                <c:pt idx="33">
                  <c:v>163.06662589999999</c:v>
                </c:pt>
                <c:pt idx="34">
                  <c:v>153.73329489999998</c:v>
                </c:pt>
                <c:pt idx="35">
                  <c:v>142.83996428999998</c:v>
                </c:pt>
                <c:pt idx="36">
                  <c:v>133.49329996</c:v>
                </c:pt>
                <c:pt idx="37">
                  <c:v>125.45330196999998</c:v>
                </c:pt>
                <c:pt idx="38">
                  <c:v>118.41330373</c:v>
                </c:pt>
                <c:pt idx="39">
                  <c:v>112.02663865999999</c:v>
                </c:pt>
                <c:pt idx="40">
                  <c:v>106.03997348999998</c:v>
                </c:pt>
                <c:pt idx="41">
                  <c:v>100.22664161</c:v>
                </c:pt>
                <c:pt idx="42">
                  <c:v>94.386643069999991</c:v>
                </c:pt>
                <c:pt idx="43">
                  <c:v>88.359977909999998</c:v>
                </c:pt>
                <c:pt idx="44">
                  <c:v>82.066646149999997</c:v>
                </c:pt>
                <c:pt idx="45">
                  <c:v>75.533314449999992</c:v>
                </c:pt>
                <c:pt idx="46">
                  <c:v>68.839982789999993</c:v>
                </c:pt>
                <c:pt idx="47">
                  <c:v>62.226651109999992</c:v>
                </c:pt>
                <c:pt idx="48">
                  <c:v>55.919986019999989</c:v>
                </c:pt>
                <c:pt idx="49">
                  <c:v>49.999987499999996</c:v>
                </c:pt>
                <c:pt idx="50">
                  <c:v>44.466655549999999</c:v>
                </c:pt>
                <c:pt idx="51">
                  <c:v>39.386656819999992</c:v>
                </c:pt>
                <c:pt idx="52">
                  <c:v>34.666657999999998</c:v>
                </c:pt>
                <c:pt idx="53">
                  <c:v>30.146659129999996</c:v>
                </c:pt>
                <c:pt idx="54">
                  <c:v>25.999993499999999</c:v>
                </c:pt>
                <c:pt idx="55">
                  <c:v>22.586661019999998</c:v>
                </c:pt>
                <c:pt idx="56">
                  <c:v>19.813328379999998</c:v>
                </c:pt>
                <c:pt idx="57">
                  <c:v>17.546662279999996</c:v>
                </c:pt>
                <c:pt idx="58">
                  <c:v>15.493329459999998</c:v>
                </c:pt>
                <c:pt idx="59">
                  <c:v>13.38666332</c:v>
                </c:pt>
                <c:pt idx="60">
                  <c:v>11.346663829999999</c:v>
                </c:pt>
                <c:pt idx="61">
                  <c:v>9.3999976499999995</c:v>
                </c:pt>
                <c:pt idx="62">
                  <c:v>8.2799979299999986</c:v>
                </c:pt>
                <c:pt idx="63">
                  <c:v>8.1733312899999984</c:v>
                </c:pt>
                <c:pt idx="64">
                  <c:v>8.1733312899999984</c:v>
                </c:pt>
                <c:pt idx="65">
                  <c:v>8.1733312899999984</c:v>
                </c:pt>
                <c:pt idx="66">
                  <c:v>8.1733312899999984</c:v>
                </c:pt>
                <c:pt idx="67">
                  <c:v>8.1733312899999984</c:v>
                </c:pt>
                <c:pt idx="68">
                  <c:v>8.1733312899999984</c:v>
                </c:pt>
                <c:pt idx="69">
                  <c:v>8.1733312899999984</c:v>
                </c:pt>
                <c:pt idx="70">
                  <c:v>8.1733312899999984</c:v>
                </c:pt>
                <c:pt idx="71">
                  <c:v>8.1733312899999984</c:v>
                </c:pt>
                <c:pt idx="72">
                  <c:v>8.1733312899999984</c:v>
                </c:pt>
                <c:pt idx="73">
                  <c:v>8.1866646199999984</c:v>
                </c:pt>
                <c:pt idx="74">
                  <c:v>8.1733312899999984</c:v>
                </c:pt>
                <c:pt idx="75">
                  <c:v>8.1733312899999984</c:v>
                </c:pt>
                <c:pt idx="76">
                  <c:v>8.1733312899999984</c:v>
                </c:pt>
                <c:pt idx="77">
                  <c:v>8.1733312899999984</c:v>
                </c:pt>
                <c:pt idx="78">
                  <c:v>8.1599979600000001</c:v>
                </c:pt>
                <c:pt idx="79">
                  <c:v>8.1599979600000001</c:v>
                </c:pt>
                <c:pt idx="80">
                  <c:v>8.1599979600000001</c:v>
                </c:pt>
                <c:pt idx="81">
                  <c:v>8.1466646300000001</c:v>
                </c:pt>
                <c:pt idx="82">
                  <c:v>8.1599979600000001</c:v>
                </c:pt>
                <c:pt idx="83">
                  <c:v>8.1599979600000001</c:v>
                </c:pt>
                <c:pt idx="84">
                  <c:v>8.1599979600000001</c:v>
                </c:pt>
                <c:pt idx="85">
                  <c:v>8.1599979600000001</c:v>
                </c:pt>
                <c:pt idx="86">
                  <c:v>8.1733312899999984</c:v>
                </c:pt>
                <c:pt idx="87">
                  <c:v>8.1733312899999984</c:v>
                </c:pt>
                <c:pt idx="88">
                  <c:v>8.1733312899999984</c:v>
                </c:pt>
                <c:pt idx="89">
                  <c:v>8.1599979600000001</c:v>
                </c:pt>
                <c:pt idx="90">
                  <c:v>8.1599979600000001</c:v>
                </c:pt>
                <c:pt idx="91">
                  <c:v>8.1733312899999984</c:v>
                </c:pt>
                <c:pt idx="92">
                  <c:v>8.1733312899999984</c:v>
                </c:pt>
                <c:pt idx="93">
                  <c:v>8.1733312899999984</c:v>
                </c:pt>
                <c:pt idx="94">
                  <c:v>8.1733312899999984</c:v>
                </c:pt>
                <c:pt idx="95">
                  <c:v>8.1733312899999984</c:v>
                </c:pt>
                <c:pt idx="96">
                  <c:v>8.1733312899999984</c:v>
                </c:pt>
                <c:pt idx="97">
                  <c:v>8.1733312899999984</c:v>
                </c:pt>
                <c:pt idx="98">
                  <c:v>8.1733312899999984</c:v>
                </c:pt>
                <c:pt idx="99">
                  <c:v>8.1733312899999984</c:v>
                </c:pt>
                <c:pt idx="100">
                  <c:v>8.1733312899999984</c:v>
                </c:pt>
                <c:pt idx="101">
                  <c:v>8.1733312899999984</c:v>
                </c:pt>
                <c:pt idx="102">
                  <c:v>8.1733312899999984</c:v>
                </c:pt>
                <c:pt idx="103">
                  <c:v>8.1733312899999984</c:v>
                </c:pt>
                <c:pt idx="104">
                  <c:v>8.1733312899999984</c:v>
                </c:pt>
                <c:pt idx="105">
                  <c:v>8.1733312899999984</c:v>
                </c:pt>
                <c:pt idx="106">
                  <c:v>8.1733312899999984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9D-471D-8863-8085046D3E6E}"/>
            </c:ext>
          </c:extLst>
        </c:ser>
        <c:ser>
          <c:idx val="9"/>
          <c:order val="9"/>
          <c:tx>
            <c:v>100ml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'10-100ml'!$W$3:$W$109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'10-100ml'!$AQ$3:$AQ$109</c:f>
              <c:numCache>
                <c:formatCode>General</c:formatCode>
                <c:ptCount val="107"/>
                <c:pt idx="0">
                  <c:v>0.81333312999999985</c:v>
                </c:pt>
                <c:pt idx="1">
                  <c:v>0.85333311999999995</c:v>
                </c:pt>
                <c:pt idx="2">
                  <c:v>0.93333309999999992</c:v>
                </c:pt>
                <c:pt idx="3">
                  <c:v>1.0666663999999999</c:v>
                </c:pt>
                <c:pt idx="4">
                  <c:v>1.2133330299999998</c:v>
                </c:pt>
                <c:pt idx="5">
                  <c:v>1.37333299</c:v>
                </c:pt>
                <c:pt idx="6">
                  <c:v>1.5199996199999999</c:v>
                </c:pt>
                <c:pt idx="7">
                  <c:v>1.65333292</c:v>
                </c:pt>
                <c:pt idx="8">
                  <c:v>1.7733328899999998</c:v>
                </c:pt>
                <c:pt idx="9">
                  <c:v>1.8799995299999999</c:v>
                </c:pt>
                <c:pt idx="10">
                  <c:v>1.9733328399999999</c:v>
                </c:pt>
                <c:pt idx="11">
                  <c:v>2.1866661199999995</c:v>
                </c:pt>
                <c:pt idx="12">
                  <c:v>2.57333269</c:v>
                </c:pt>
                <c:pt idx="13">
                  <c:v>3.1733325399999996</c:v>
                </c:pt>
                <c:pt idx="14">
                  <c:v>4.4399988899999991</c:v>
                </c:pt>
                <c:pt idx="15">
                  <c:v>7.35999816</c:v>
                </c:pt>
                <c:pt idx="16">
                  <c:v>12.666663499999999</c:v>
                </c:pt>
                <c:pt idx="17">
                  <c:v>28.119992969999998</c:v>
                </c:pt>
                <c:pt idx="18">
                  <c:v>60.839984789999995</c:v>
                </c:pt>
                <c:pt idx="19">
                  <c:v>84.239978939999986</c:v>
                </c:pt>
                <c:pt idx="20">
                  <c:v>98.506642039999988</c:v>
                </c:pt>
                <c:pt idx="21">
                  <c:v>110.34663907999999</c:v>
                </c:pt>
                <c:pt idx="22">
                  <c:v>120.27996992999999</c:v>
                </c:pt>
                <c:pt idx="23">
                  <c:v>127.95996801</c:v>
                </c:pt>
                <c:pt idx="24">
                  <c:v>134.83996628999998</c:v>
                </c:pt>
                <c:pt idx="25">
                  <c:v>141.49329796000001</c:v>
                </c:pt>
                <c:pt idx="26">
                  <c:v>147.06662989999998</c:v>
                </c:pt>
                <c:pt idx="27">
                  <c:v>152.10662863999997</c:v>
                </c:pt>
                <c:pt idx="28">
                  <c:v>157.11996071999999</c:v>
                </c:pt>
                <c:pt idx="29">
                  <c:v>161.90662618999997</c:v>
                </c:pt>
                <c:pt idx="30">
                  <c:v>167.51995811999998</c:v>
                </c:pt>
                <c:pt idx="31">
                  <c:v>175.17328953999998</c:v>
                </c:pt>
                <c:pt idx="32">
                  <c:v>184.27995392999998</c:v>
                </c:pt>
                <c:pt idx="33">
                  <c:v>187.07995322999997</c:v>
                </c:pt>
                <c:pt idx="34">
                  <c:v>175.62662276</c:v>
                </c:pt>
                <c:pt idx="35">
                  <c:v>162.02662615999998</c:v>
                </c:pt>
                <c:pt idx="36">
                  <c:v>151.10662888999997</c:v>
                </c:pt>
                <c:pt idx="37">
                  <c:v>142.06663114999998</c:v>
                </c:pt>
                <c:pt idx="38">
                  <c:v>134.33329974999998</c:v>
                </c:pt>
                <c:pt idx="39">
                  <c:v>127.50663478999998</c:v>
                </c:pt>
                <c:pt idx="40">
                  <c:v>121.31996966999999</c:v>
                </c:pt>
                <c:pt idx="41">
                  <c:v>115.57330443999999</c:v>
                </c:pt>
                <c:pt idx="42">
                  <c:v>110.21330578</c:v>
                </c:pt>
                <c:pt idx="43">
                  <c:v>105.09330706</c:v>
                </c:pt>
                <c:pt idx="44">
                  <c:v>100.07997497999999</c:v>
                </c:pt>
                <c:pt idx="45">
                  <c:v>95.026642909999993</c:v>
                </c:pt>
                <c:pt idx="46">
                  <c:v>89.826644209999998</c:v>
                </c:pt>
                <c:pt idx="47">
                  <c:v>84.319978919999983</c:v>
                </c:pt>
                <c:pt idx="48">
                  <c:v>78.466647049999992</c:v>
                </c:pt>
                <c:pt idx="49">
                  <c:v>72.333315249999998</c:v>
                </c:pt>
                <c:pt idx="50">
                  <c:v>66.079983479999996</c:v>
                </c:pt>
                <c:pt idx="51">
                  <c:v>59.933318349999993</c:v>
                </c:pt>
                <c:pt idx="52">
                  <c:v>54.066653149999993</c:v>
                </c:pt>
                <c:pt idx="53">
                  <c:v>48.519987869999994</c:v>
                </c:pt>
                <c:pt idx="54">
                  <c:v>43.319989169999992</c:v>
                </c:pt>
                <c:pt idx="55">
                  <c:v>38.533323699999997</c:v>
                </c:pt>
                <c:pt idx="56">
                  <c:v>34.119991469999995</c:v>
                </c:pt>
                <c:pt idx="57">
                  <c:v>29.946659179999997</c:v>
                </c:pt>
                <c:pt idx="58">
                  <c:v>25.826660209999996</c:v>
                </c:pt>
                <c:pt idx="59">
                  <c:v>21.613327929999997</c:v>
                </c:pt>
                <c:pt idx="60">
                  <c:v>17.70666224</c:v>
                </c:pt>
                <c:pt idx="61">
                  <c:v>14.746662979999998</c:v>
                </c:pt>
                <c:pt idx="62">
                  <c:v>12.65333017</c:v>
                </c:pt>
                <c:pt idx="63">
                  <c:v>11.146663879999998</c:v>
                </c:pt>
                <c:pt idx="64">
                  <c:v>10.013330829999997</c:v>
                </c:pt>
                <c:pt idx="65">
                  <c:v>9.173331039999999</c:v>
                </c:pt>
                <c:pt idx="66">
                  <c:v>8.6666644999999995</c:v>
                </c:pt>
                <c:pt idx="67">
                  <c:v>8.426664559999999</c:v>
                </c:pt>
                <c:pt idx="68">
                  <c:v>8.2399979399999985</c:v>
                </c:pt>
                <c:pt idx="69">
                  <c:v>8.0799979799999999</c:v>
                </c:pt>
                <c:pt idx="70">
                  <c:v>7.9466646799999996</c:v>
                </c:pt>
                <c:pt idx="71">
                  <c:v>7.8133313799999993</c:v>
                </c:pt>
                <c:pt idx="72">
                  <c:v>7.6933314099999999</c:v>
                </c:pt>
                <c:pt idx="73">
                  <c:v>7.5999980999999996</c:v>
                </c:pt>
                <c:pt idx="74">
                  <c:v>7.5199981199999995</c:v>
                </c:pt>
                <c:pt idx="75">
                  <c:v>7.4399981399999993</c:v>
                </c:pt>
                <c:pt idx="76">
                  <c:v>7.3733314899999991</c:v>
                </c:pt>
                <c:pt idx="77">
                  <c:v>7.319998169999999</c:v>
                </c:pt>
                <c:pt idx="78">
                  <c:v>7.2666648499999997</c:v>
                </c:pt>
                <c:pt idx="79">
                  <c:v>7.2133315299999996</c:v>
                </c:pt>
                <c:pt idx="80">
                  <c:v>7.1733315399999986</c:v>
                </c:pt>
                <c:pt idx="81">
                  <c:v>7.1333315499999994</c:v>
                </c:pt>
                <c:pt idx="82">
                  <c:v>7.1066648899999993</c:v>
                </c:pt>
                <c:pt idx="83">
                  <c:v>7.0799982299999993</c:v>
                </c:pt>
                <c:pt idx="84">
                  <c:v>7.0533315699999992</c:v>
                </c:pt>
                <c:pt idx="85">
                  <c:v>7.0399982399999992</c:v>
                </c:pt>
                <c:pt idx="86">
                  <c:v>7.02666491</c:v>
                </c:pt>
                <c:pt idx="87">
                  <c:v>7.0133315799999991</c:v>
                </c:pt>
                <c:pt idx="88">
                  <c:v>6.9999982499999991</c:v>
                </c:pt>
                <c:pt idx="89">
                  <c:v>6.9866649199999991</c:v>
                </c:pt>
                <c:pt idx="90">
                  <c:v>6.9866649199999991</c:v>
                </c:pt>
                <c:pt idx="91">
                  <c:v>6.973331589999999</c:v>
                </c:pt>
                <c:pt idx="92">
                  <c:v>6.973331589999999</c:v>
                </c:pt>
                <c:pt idx="93">
                  <c:v>6.973331589999999</c:v>
                </c:pt>
                <c:pt idx="94">
                  <c:v>6.973331589999999</c:v>
                </c:pt>
                <c:pt idx="95">
                  <c:v>6.973331589999999</c:v>
                </c:pt>
                <c:pt idx="96">
                  <c:v>6.973331589999999</c:v>
                </c:pt>
                <c:pt idx="97">
                  <c:v>6.9866649199999991</c:v>
                </c:pt>
                <c:pt idx="98">
                  <c:v>6.9866649199999991</c:v>
                </c:pt>
                <c:pt idx="99">
                  <c:v>6.9866649199999991</c:v>
                </c:pt>
                <c:pt idx="100">
                  <c:v>6.9999982499999991</c:v>
                </c:pt>
                <c:pt idx="101">
                  <c:v>6.9999982499999991</c:v>
                </c:pt>
                <c:pt idx="102">
                  <c:v>7.0133315799999991</c:v>
                </c:pt>
                <c:pt idx="103">
                  <c:v>7.02666491</c:v>
                </c:pt>
                <c:pt idx="104">
                  <c:v>7.0399982399999992</c:v>
                </c:pt>
                <c:pt idx="105">
                  <c:v>7.0533315699999992</c:v>
                </c:pt>
                <c:pt idx="106">
                  <c:v>7.0533315699999992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9D-471D-8863-8085046D3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467016"/>
        <c:axId val="906465576"/>
      </c:scatterChart>
      <c:valAx>
        <c:axId val="90646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Counter (9600 Baud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65576"/>
        <c:crosses val="autoZero"/>
        <c:crossBetween val="midCat"/>
      </c:valAx>
      <c:valAx>
        <c:axId val="90646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67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HX711 Pressure Measurements - Ripper Right Pressure and vacuum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10ml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'10-100ml'!$AU$3:$AU$109</c:f>
              <c:numCache>
                <c:formatCode>General</c:formatCode>
                <c:ptCount val="107"/>
                <c:pt idx="0">
                  <c:v>0.26666659999999998</c:v>
                </c:pt>
                <c:pt idx="1">
                  <c:v>0.85333311999999995</c:v>
                </c:pt>
                <c:pt idx="2">
                  <c:v>1.2799996799999998</c:v>
                </c:pt>
                <c:pt idx="3">
                  <c:v>1.5466662799999997</c:v>
                </c:pt>
                <c:pt idx="4">
                  <c:v>1.6666662499999998</c:v>
                </c:pt>
                <c:pt idx="5">
                  <c:v>1.7333328999999997</c:v>
                </c:pt>
                <c:pt idx="6">
                  <c:v>1.7999995499999999</c:v>
                </c:pt>
                <c:pt idx="7">
                  <c:v>1.9066661899999999</c:v>
                </c:pt>
                <c:pt idx="8">
                  <c:v>2.0533328200000001</c:v>
                </c:pt>
                <c:pt idx="9">
                  <c:v>2.1866661199999995</c:v>
                </c:pt>
                <c:pt idx="10">
                  <c:v>2.2799994300000002</c:v>
                </c:pt>
                <c:pt idx="11">
                  <c:v>2.2933327599999997</c:v>
                </c:pt>
                <c:pt idx="12">
                  <c:v>2.2933327599999997</c:v>
                </c:pt>
                <c:pt idx="13">
                  <c:v>2.3066660899999998</c:v>
                </c:pt>
                <c:pt idx="14">
                  <c:v>2.3333327499999998</c:v>
                </c:pt>
                <c:pt idx="15">
                  <c:v>2.3866660699999995</c:v>
                </c:pt>
                <c:pt idx="16">
                  <c:v>2.4799993799999998</c:v>
                </c:pt>
                <c:pt idx="17">
                  <c:v>2.5599993599999995</c:v>
                </c:pt>
                <c:pt idx="18">
                  <c:v>2.6133326800000001</c:v>
                </c:pt>
                <c:pt idx="19">
                  <c:v>2.5999993499999996</c:v>
                </c:pt>
                <c:pt idx="20">
                  <c:v>2.57333269</c:v>
                </c:pt>
                <c:pt idx="21">
                  <c:v>2.5999993499999996</c:v>
                </c:pt>
                <c:pt idx="22">
                  <c:v>2.6533326699999997</c:v>
                </c:pt>
                <c:pt idx="23">
                  <c:v>2.6933326599999998</c:v>
                </c:pt>
                <c:pt idx="24">
                  <c:v>2.74666598</c:v>
                </c:pt>
                <c:pt idx="25">
                  <c:v>2.8266659599999997</c:v>
                </c:pt>
                <c:pt idx="26">
                  <c:v>2.9333326</c:v>
                </c:pt>
                <c:pt idx="27">
                  <c:v>3.0799992299999999</c:v>
                </c:pt>
                <c:pt idx="28">
                  <c:v>3.2666658499999999</c:v>
                </c:pt>
                <c:pt idx="29">
                  <c:v>3.7199990699999996</c:v>
                </c:pt>
                <c:pt idx="30">
                  <c:v>5.6133319299999993</c:v>
                </c:pt>
                <c:pt idx="31">
                  <c:v>12.786663469999999</c:v>
                </c:pt>
                <c:pt idx="32">
                  <c:v>38.493323709999999</c:v>
                </c:pt>
                <c:pt idx="33">
                  <c:v>67.426649809999986</c:v>
                </c:pt>
                <c:pt idx="34">
                  <c:v>67.773316389999991</c:v>
                </c:pt>
                <c:pt idx="35">
                  <c:v>60.453318219999993</c:v>
                </c:pt>
                <c:pt idx="36">
                  <c:v>52.346653580000002</c:v>
                </c:pt>
                <c:pt idx="37">
                  <c:v>41.186656369999994</c:v>
                </c:pt>
                <c:pt idx="38">
                  <c:v>29.039992739999999</c:v>
                </c:pt>
                <c:pt idx="39">
                  <c:v>21.173328040000001</c:v>
                </c:pt>
                <c:pt idx="40">
                  <c:v>16.91999577</c:v>
                </c:pt>
                <c:pt idx="41">
                  <c:v>14.306663089999999</c:v>
                </c:pt>
                <c:pt idx="42">
                  <c:v>12.573330189999998</c:v>
                </c:pt>
                <c:pt idx="43">
                  <c:v>11.346663829999999</c:v>
                </c:pt>
                <c:pt idx="44">
                  <c:v>10.479997379999999</c:v>
                </c:pt>
                <c:pt idx="45">
                  <c:v>9.8266642099999988</c:v>
                </c:pt>
                <c:pt idx="46">
                  <c:v>9.3199976699999993</c:v>
                </c:pt>
                <c:pt idx="47">
                  <c:v>8.9333310999999984</c:v>
                </c:pt>
                <c:pt idx="48">
                  <c:v>8.6799978299999978</c:v>
                </c:pt>
                <c:pt idx="49">
                  <c:v>8.5066645399999992</c:v>
                </c:pt>
                <c:pt idx="50">
                  <c:v>8.3599979099999988</c:v>
                </c:pt>
                <c:pt idx="51">
                  <c:v>8.2133312800000002</c:v>
                </c:pt>
                <c:pt idx="52">
                  <c:v>8.1066646399999982</c:v>
                </c:pt>
                <c:pt idx="53">
                  <c:v>7.9866646699999988</c:v>
                </c:pt>
                <c:pt idx="54">
                  <c:v>7.8933313599999995</c:v>
                </c:pt>
                <c:pt idx="55">
                  <c:v>7.8133313799999993</c:v>
                </c:pt>
                <c:pt idx="56">
                  <c:v>7.7466647299999991</c:v>
                </c:pt>
                <c:pt idx="57">
                  <c:v>7.6799980799999998</c:v>
                </c:pt>
                <c:pt idx="58">
                  <c:v>7.6133314299999997</c:v>
                </c:pt>
                <c:pt idx="59">
                  <c:v>7.5599981099999995</c:v>
                </c:pt>
                <c:pt idx="60">
                  <c:v>7.5066647899999985</c:v>
                </c:pt>
                <c:pt idx="61">
                  <c:v>7.4666647999999993</c:v>
                </c:pt>
                <c:pt idx="62">
                  <c:v>7.4266648100000001</c:v>
                </c:pt>
                <c:pt idx="63">
                  <c:v>7.3866648199999991</c:v>
                </c:pt>
                <c:pt idx="64">
                  <c:v>7.35999816</c:v>
                </c:pt>
                <c:pt idx="65">
                  <c:v>7.333331499999999</c:v>
                </c:pt>
                <c:pt idx="66">
                  <c:v>7.3066648399999989</c:v>
                </c:pt>
                <c:pt idx="67">
                  <c:v>7.2933315099999998</c:v>
                </c:pt>
                <c:pt idx="68">
                  <c:v>7.2666648499999997</c:v>
                </c:pt>
                <c:pt idx="69">
                  <c:v>7.2533315199999988</c:v>
                </c:pt>
                <c:pt idx="70">
                  <c:v>7.2266648599999996</c:v>
                </c:pt>
                <c:pt idx="71">
                  <c:v>7.2133315299999996</c:v>
                </c:pt>
                <c:pt idx="72">
                  <c:v>7.2133315299999996</c:v>
                </c:pt>
                <c:pt idx="73">
                  <c:v>7.1999981999999996</c:v>
                </c:pt>
                <c:pt idx="74">
                  <c:v>7.1866648699999995</c:v>
                </c:pt>
                <c:pt idx="75">
                  <c:v>7.1733315399999986</c:v>
                </c:pt>
                <c:pt idx="76">
                  <c:v>7.1733315399999986</c:v>
                </c:pt>
                <c:pt idx="77">
                  <c:v>7.1599982099999995</c:v>
                </c:pt>
                <c:pt idx="78">
                  <c:v>7.1599982099999995</c:v>
                </c:pt>
                <c:pt idx="79">
                  <c:v>7.1599982099999995</c:v>
                </c:pt>
                <c:pt idx="80">
                  <c:v>7.1466648799999994</c:v>
                </c:pt>
                <c:pt idx="81">
                  <c:v>7.1466648799999994</c:v>
                </c:pt>
                <c:pt idx="82">
                  <c:v>7.1466648799999994</c:v>
                </c:pt>
                <c:pt idx="83">
                  <c:v>7.1466648799999994</c:v>
                </c:pt>
                <c:pt idx="84">
                  <c:v>7.1333315499999994</c:v>
                </c:pt>
                <c:pt idx="85">
                  <c:v>7.1333315499999994</c:v>
                </c:pt>
                <c:pt idx="86">
                  <c:v>7.1333315499999994</c:v>
                </c:pt>
                <c:pt idx="87">
                  <c:v>7.1333315499999994</c:v>
                </c:pt>
                <c:pt idx="88">
                  <c:v>7.1333315499999994</c:v>
                </c:pt>
                <c:pt idx="89">
                  <c:v>7.1333315499999994</c:v>
                </c:pt>
                <c:pt idx="90">
                  <c:v>7.1333315499999994</c:v>
                </c:pt>
                <c:pt idx="91">
                  <c:v>7.1333315499999994</c:v>
                </c:pt>
                <c:pt idx="92">
                  <c:v>7.1333315499999994</c:v>
                </c:pt>
                <c:pt idx="93">
                  <c:v>7.1333315499999994</c:v>
                </c:pt>
                <c:pt idx="94">
                  <c:v>7.1333315499999994</c:v>
                </c:pt>
                <c:pt idx="95">
                  <c:v>7.1333315499999994</c:v>
                </c:pt>
                <c:pt idx="96">
                  <c:v>7.1333315499999994</c:v>
                </c:pt>
                <c:pt idx="97">
                  <c:v>7.1333315499999994</c:v>
                </c:pt>
                <c:pt idx="98">
                  <c:v>7.1333315499999994</c:v>
                </c:pt>
                <c:pt idx="99">
                  <c:v>7.1333315499999994</c:v>
                </c:pt>
                <c:pt idx="100">
                  <c:v>7.1333315499999994</c:v>
                </c:pt>
                <c:pt idx="101">
                  <c:v>7.1333315499999994</c:v>
                </c:pt>
                <c:pt idx="102">
                  <c:v>7.1333315499999994</c:v>
                </c:pt>
                <c:pt idx="103">
                  <c:v>7.1333315499999994</c:v>
                </c:pt>
                <c:pt idx="104">
                  <c:v>7.1333315499999994</c:v>
                </c:pt>
                <c:pt idx="105">
                  <c:v>7.1333315499999994</c:v>
                </c:pt>
                <c:pt idx="106">
                  <c:v>7.1333315499999994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16-4AE2-8DFB-972030590746}"/>
            </c:ext>
          </c:extLst>
        </c:ser>
        <c:ser>
          <c:idx val="1"/>
          <c:order val="1"/>
          <c:tx>
            <c:v>20ml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'10-100ml'!$AW$3:$AW$109</c:f>
              <c:numCache>
                <c:formatCode>General</c:formatCode>
                <c:ptCount val="107"/>
                <c:pt idx="0">
                  <c:v>0.38666656999999993</c:v>
                </c:pt>
                <c:pt idx="1">
                  <c:v>0.43999988999999995</c:v>
                </c:pt>
                <c:pt idx="2">
                  <c:v>0.49333320999999997</c:v>
                </c:pt>
                <c:pt idx="3">
                  <c:v>0.53333319999999995</c:v>
                </c:pt>
                <c:pt idx="4">
                  <c:v>0.57333318999999994</c:v>
                </c:pt>
                <c:pt idx="5">
                  <c:v>0.59999984999999989</c:v>
                </c:pt>
                <c:pt idx="6">
                  <c:v>0.62666650999999995</c:v>
                </c:pt>
                <c:pt idx="7">
                  <c:v>0.66666649999999994</c:v>
                </c:pt>
                <c:pt idx="8">
                  <c:v>0.69333316</c:v>
                </c:pt>
                <c:pt idx="9">
                  <c:v>0.71999981999999996</c:v>
                </c:pt>
                <c:pt idx="10">
                  <c:v>0.74666647999999991</c:v>
                </c:pt>
                <c:pt idx="11">
                  <c:v>0.77333313999999986</c:v>
                </c:pt>
                <c:pt idx="12">
                  <c:v>0.81333312999999985</c:v>
                </c:pt>
                <c:pt idx="13">
                  <c:v>0.85333311999999995</c:v>
                </c:pt>
                <c:pt idx="14">
                  <c:v>0.89333310999999993</c:v>
                </c:pt>
                <c:pt idx="15">
                  <c:v>0.93333309999999992</c:v>
                </c:pt>
                <c:pt idx="16">
                  <c:v>0.95999975999999998</c:v>
                </c:pt>
                <c:pt idx="17">
                  <c:v>0.9733330899999999</c:v>
                </c:pt>
                <c:pt idx="18">
                  <c:v>0.98666641999999993</c:v>
                </c:pt>
                <c:pt idx="19">
                  <c:v>0.99999974999999997</c:v>
                </c:pt>
                <c:pt idx="20">
                  <c:v>0.99999974999999997</c:v>
                </c:pt>
                <c:pt idx="21">
                  <c:v>1.0133330799999998</c:v>
                </c:pt>
                <c:pt idx="22">
                  <c:v>1.0133330799999998</c:v>
                </c:pt>
                <c:pt idx="23">
                  <c:v>1.02666641</c:v>
                </c:pt>
                <c:pt idx="24">
                  <c:v>1.02666641</c:v>
                </c:pt>
                <c:pt idx="25">
                  <c:v>1.02666641</c:v>
                </c:pt>
                <c:pt idx="26">
                  <c:v>1.02666641</c:v>
                </c:pt>
                <c:pt idx="27">
                  <c:v>1.0133330799999998</c:v>
                </c:pt>
                <c:pt idx="28">
                  <c:v>1.02666641</c:v>
                </c:pt>
                <c:pt idx="29">
                  <c:v>1.0666663999999999</c:v>
                </c:pt>
                <c:pt idx="30">
                  <c:v>1.5466662799999997</c:v>
                </c:pt>
                <c:pt idx="31">
                  <c:v>4.9599987599999995</c:v>
                </c:pt>
                <c:pt idx="32">
                  <c:v>20.413328229999998</c:v>
                </c:pt>
                <c:pt idx="33">
                  <c:v>55.639986089999994</c:v>
                </c:pt>
                <c:pt idx="34">
                  <c:v>83.826645709999994</c:v>
                </c:pt>
                <c:pt idx="35">
                  <c:v>85.359978659999996</c:v>
                </c:pt>
                <c:pt idx="36">
                  <c:v>78.319980419999993</c:v>
                </c:pt>
                <c:pt idx="37">
                  <c:v>71.933315349999987</c:v>
                </c:pt>
                <c:pt idx="38">
                  <c:v>65.77331688999999</c:v>
                </c:pt>
                <c:pt idx="39">
                  <c:v>59.639985089999996</c:v>
                </c:pt>
                <c:pt idx="40">
                  <c:v>53.573319939999998</c:v>
                </c:pt>
                <c:pt idx="41">
                  <c:v>47.613321429999999</c:v>
                </c:pt>
                <c:pt idx="42">
                  <c:v>41.733322899999997</c:v>
                </c:pt>
                <c:pt idx="43">
                  <c:v>35.013324580000003</c:v>
                </c:pt>
                <c:pt idx="44">
                  <c:v>25.746660229999996</c:v>
                </c:pt>
                <c:pt idx="45">
                  <c:v>17.02666241</c:v>
                </c:pt>
                <c:pt idx="46">
                  <c:v>11.839997039999998</c:v>
                </c:pt>
                <c:pt idx="47">
                  <c:v>8.9066644399999984</c:v>
                </c:pt>
                <c:pt idx="48">
                  <c:v>7.0799982299999993</c:v>
                </c:pt>
                <c:pt idx="49">
                  <c:v>5.853331869999999</c:v>
                </c:pt>
                <c:pt idx="50">
                  <c:v>4.9866654199999996</c:v>
                </c:pt>
                <c:pt idx="51">
                  <c:v>4.373332239999999</c:v>
                </c:pt>
                <c:pt idx="52">
                  <c:v>4.0133323299999999</c:v>
                </c:pt>
                <c:pt idx="53">
                  <c:v>3.7866657199999993</c:v>
                </c:pt>
                <c:pt idx="54">
                  <c:v>3.5999990999999998</c:v>
                </c:pt>
                <c:pt idx="55">
                  <c:v>3.4399991399999998</c:v>
                </c:pt>
                <c:pt idx="56">
                  <c:v>3.30666584</c:v>
                </c:pt>
                <c:pt idx="57">
                  <c:v>3.1999991999999997</c:v>
                </c:pt>
                <c:pt idx="58">
                  <c:v>3.0933325599999995</c:v>
                </c:pt>
                <c:pt idx="59">
                  <c:v>3.0133325799999997</c:v>
                </c:pt>
                <c:pt idx="60">
                  <c:v>2.9333326</c:v>
                </c:pt>
                <c:pt idx="61">
                  <c:v>2.8666659499999998</c:v>
                </c:pt>
                <c:pt idx="62">
                  <c:v>2.7999992999999996</c:v>
                </c:pt>
                <c:pt idx="63">
                  <c:v>2.7333326499999999</c:v>
                </c:pt>
                <c:pt idx="64">
                  <c:v>2.6799993299999998</c:v>
                </c:pt>
                <c:pt idx="65">
                  <c:v>2.6399993399999997</c:v>
                </c:pt>
                <c:pt idx="66">
                  <c:v>2.5999993499999996</c:v>
                </c:pt>
                <c:pt idx="67">
                  <c:v>2.5599993599999995</c:v>
                </c:pt>
                <c:pt idx="68">
                  <c:v>2.5333326999999999</c:v>
                </c:pt>
                <c:pt idx="69">
                  <c:v>2.5066660399999998</c:v>
                </c:pt>
                <c:pt idx="70">
                  <c:v>2.4799993799999998</c:v>
                </c:pt>
                <c:pt idx="71">
                  <c:v>2.4533327199999997</c:v>
                </c:pt>
                <c:pt idx="72">
                  <c:v>2.4399993899999997</c:v>
                </c:pt>
                <c:pt idx="73">
                  <c:v>2.41333273</c:v>
                </c:pt>
                <c:pt idx="74">
                  <c:v>2.3999993999999996</c:v>
                </c:pt>
                <c:pt idx="75">
                  <c:v>2.3866660699999995</c:v>
                </c:pt>
                <c:pt idx="76">
                  <c:v>2.3733327399999999</c:v>
                </c:pt>
                <c:pt idx="77">
                  <c:v>2.3599994099999999</c:v>
                </c:pt>
                <c:pt idx="78">
                  <c:v>2.3599994099999999</c:v>
                </c:pt>
                <c:pt idx="79">
                  <c:v>2.3466660799999999</c:v>
                </c:pt>
                <c:pt idx="80">
                  <c:v>2.3333327499999998</c:v>
                </c:pt>
                <c:pt idx="81">
                  <c:v>2.3333327499999998</c:v>
                </c:pt>
                <c:pt idx="82">
                  <c:v>2.3199994199999998</c:v>
                </c:pt>
                <c:pt idx="83">
                  <c:v>2.3199994199999998</c:v>
                </c:pt>
                <c:pt idx="84">
                  <c:v>2.3199994199999998</c:v>
                </c:pt>
                <c:pt idx="85">
                  <c:v>2.3066660899999998</c:v>
                </c:pt>
                <c:pt idx="86">
                  <c:v>2.3066660899999998</c:v>
                </c:pt>
                <c:pt idx="87">
                  <c:v>2.3066660899999998</c:v>
                </c:pt>
                <c:pt idx="88">
                  <c:v>2.2933327599999997</c:v>
                </c:pt>
                <c:pt idx="89">
                  <c:v>2.2933327599999997</c:v>
                </c:pt>
                <c:pt idx="90">
                  <c:v>2.2933327599999997</c:v>
                </c:pt>
                <c:pt idx="91">
                  <c:v>2.2933327599999997</c:v>
                </c:pt>
                <c:pt idx="92">
                  <c:v>2.2933327599999997</c:v>
                </c:pt>
                <c:pt idx="93">
                  <c:v>2.2933327599999997</c:v>
                </c:pt>
                <c:pt idx="94">
                  <c:v>2.2933327599999997</c:v>
                </c:pt>
                <c:pt idx="95">
                  <c:v>2.2933327599999997</c:v>
                </c:pt>
                <c:pt idx="96">
                  <c:v>2.2933327599999997</c:v>
                </c:pt>
                <c:pt idx="97">
                  <c:v>2.2933327599999997</c:v>
                </c:pt>
                <c:pt idx="98">
                  <c:v>2.2933327599999997</c:v>
                </c:pt>
                <c:pt idx="99">
                  <c:v>2.2933327599999997</c:v>
                </c:pt>
                <c:pt idx="100">
                  <c:v>2.2933327599999997</c:v>
                </c:pt>
                <c:pt idx="101">
                  <c:v>2.2933327599999997</c:v>
                </c:pt>
                <c:pt idx="102">
                  <c:v>2.2933327599999997</c:v>
                </c:pt>
                <c:pt idx="103">
                  <c:v>2.2933327599999997</c:v>
                </c:pt>
                <c:pt idx="104">
                  <c:v>2.2933327599999997</c:v>
                </c:pt>
                <c:pt idx="105">
                  <c:v>2.2933327599999997</c:v>
                </c:pt>
                <c:pt idx="106">
                  <c:v>2.2933327599999997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16-4AE2-8DFB-972030590746}"/>
            </c:ext>
          </c:extLst>
        </c:ser>
        <c:ser>
          <c:idx val="2"/>
          <c:order val="2"/>
          <c:tx>
            <c:v>30ml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'10-100ml'!$AY$3:$AY$109</c:f>
              <c:numCache>
                <c:formatCode>General</c:formatCode>
                <c:ptCount val="107"/>
                <c:pt idx="0">
                  <c:v>0.42666655999999997</c:v>
                </c:pt>
                <c:pt idx="1">
                  <c:v>0.49333320999999997</c:v>
                </c:pt>
                <c:pt idx="2">
                  <c:v>0.53333319999999995</c:v>
                </c:pt>
                <c:pt idx="3">
                  <c:v>0.58666651999999997</c:v>
                </c:pt>
                <c:pt idx="4">
                  <c:v>0.61333317999999992</c:v>
                </c:pt>
                <c:pt idx="5">
                  <c:v>0.63999983999999988</c:v>
                </c:pt>
                <c:pt idx="6">
                  <c:v>0.65333317000000002</c:v>
                </c:pt>
                <c:pt idx="7">
                  <c:v>0.66666649999999994</c:v>
                </c:pt>
                <c:pt idx="8">
                  <c:v>0.69333316</c:v>
                </c:pt>
                <c:pt idx="9">
                  <c:v>0.71999981999999996</c:v>
                </c:pt>
                <c:pt idx="10">
                  <c:v>0.75999980999999994</c:v>
                </c:pt>
                <c:pt idx="11">
                  <c:v>0.79999979999999993</c:v>
                </c:pt>
                <c:pt idx="12">
                  <c:v>0.8799997799999999</c:v>
                </c:pt>
                <c:pt idx="13">
                  <c:v>0.95999975999999998</c:v>
                </c:pt>
                <c:pt idx="14">
                  <c:v>1.11999972</c:v>
                </c:pt>
                <c:pt idx="15">
                  <c:v>1.2799996799999998</c:v>
                </c:pt>
                <c:pt idx="16">
                  <c:v>1.4533329699999999</c:v>
                </c:pt>
                <c:pt idx="17">
                  <c:v>2.1466661299999998</c:v>
                </c:pt>
                <c:pt idx="18">
                  <c:v>5.2533320199999993</c:v>
                </c:pt>
                <c:pt idx="19">
                  <c:v>13.973329839999998</c:v>
                </c:pt>
                <c:pt idx="20">
                  <c:v>40.826656459999995</c:v>
                </c:pt>
                <c:pt idx="21">
                  <c:v>81.799979549999989</c:v>
                </c:pt>
                <c:pt idx="22">
                  <c:v>102.22664111</c:v>
                </c:pt>
                <c:pt idx="23">
                  <c:v>97.78664221999999</c:v>
                </c:pt>
                <c:pt idx="24">
                  <c:v>91.759977059999997</c:v>
                </c:pt>
                <c:pt idx="25">
                  <c:v>87.013311579999993</c:v>
                </c:pt>
                <c:pt idx="26">
                  <c:v>82.706645989999984</c:v>
                </c:pt>
                <c:pt idx="27">
                  <c:v>78.199980449999998</c:v>
                </c:pt>
                <c:pt idx="28">
                  <c:v>70.706648989999991</c:v>
                </c:pt>
                <c:pt idx="29">
                  <c:v>53.01332008</c:v>
                </c:pt>
                <c:pt idx="30">
                  <c:v>33.093325059999998</c:v>
                </c:pt>
                <c:pt idx="31">
                  <c:v>21.293328009999996</c:v>
                </c:pt>
                <c:pt idx="32">
                  <c:v>15.053329569999999</c:v>
                </c:pt>
                <c:pt idx="33">
                  <c:v>11.479997129999997</c:v>
                </c:pt>
                <c:pt idx="34">
                  <c:v>9.2666643499999992</c:v>
                </c:pt>
                <c:pt idx="35">
                  <c:v>7.8266647099999993</c:v>
                </c:pt>
                <c:pt idx="36">
                  <c:v>6.8399982899999987</c:v>
                </c:pt>
                <c:pt idx="37">
                  <c:v>6.1333317999999997</c:v>
                </c:pt>
                <c:pt idx="38">
                  <c:v>5.6133319299999993</c:v>
                </c:pt>
                <c:pt idx="39">
                  <c:v>5.1999986999999992</c:v>
                </c:pt>
                <c:pt idx="40">
                  <c:v>4.8799987799999993</c:v>
                </c:pt>
                <c:pt idx="41">
                  <c:v>4.6133321799999996</c:v>
                </c:pt>
                <c:pt idx="42">
                  <c:v>4.386665569999999</c:v>
                </c:pt>
                <c:pt idx="43">
                  <c:v>4.2133322799999995</c:v>
                </c:pt>
                <c:pt idx="44">
                  <c:v>4.0533323199999991</c:v>
                </c:pt>
                <c:pt idx="45">
                  <c:v>3.9066656899999996</c:v>
                </c:pt>
                <c:pt idx="46">
                  <c:v>3.7866657199999993</c:v>
                </c:pt>
                <c:pt idx="47">
                  <c:v>3.67999908</c:v>
                </c:pt>
                <c:pt idx="48">
                  <c:v>3.5866657699999993</c:v>
                </c:pt>
                <c:pt idx="49">
                  <c:v>3.5066657899999996</c:v>
                </c:pt>
                <c:pt idx="50">
                  <c:v>3.4266658099999998</c:v>
                </c:pt>
                <c:pt idx="51">
                  <c:v>3.3599991599999997</c:v>
                </c:pt>
                <c:pt idx="52">
                  <c:v>3.3199991699999996</c:v>
                </c:pt>
                <c:pt idx="53">
                  <c:v>3.2666658499999999</c:v>
                </c:pt>
                <c:pt idx="54">
                  <c:v>3.2266658599999998</c:v>
                </c:pt>
                <c:pt idx="55">
                  <c:v>3.1999991999999997</c:v>
                </c:pt>
                <c:pt idx="56">
                  <c:v>3.1733325399999996</c:v>
                </c:pt>
                <c:pt idx="57">
                  <c:v>3.1333325499999996</c:v>
                </c:pt>
                <c:pt idx="58">
                  <c:v>3.1066658899999999</c:v>
                </c:pt>
                <c:pt idx="59">
                  <c:v>3.0799992299999999</c:v>
                </c:pt>
                <c:pt idx="60">
                  <c:v>3.0666658999999998</c:v>
                </c:pt>
                <c:pt idx="61">
                  <c:v>3.0399992399999998</c:v>
                </c:pt>
                <c:pt idx="62">
                  <c:v>3.0266659099999997</c:v>
                </c:pt>
                <c:pt idx="63">
                  <c:v>2.9999992499999997</c:v>
                </c:pt>
                <c:pt idx="64">
                  <c:v>2.9866659199999996</c:v>
                </c:pt>
                <c:pt idx="65">
                  <c:v>2.9733325899999996</c:v>
                </c:pt>
                <c:pt idx="66">
                  <c:v>2.9599992599999996</c:v>
                </c:pt>
                <c:pt idx="67">
                  <c:v>2.94666593</c:v>
                </c:pt>
                <c:pt idx="68">
                  <c:v>2.94666593</c:v>
                </c:pt>
                <c:pt idx="69">
                  <c:v>2.9333326</c:v>
                </c:pt>
                <c:pt idx="70">
                  <c:v>2.9199992699999995</c:v>
                </c:pt>
                <c:pt idx="71">
                  <c:v>2.9199992699999995</c:v>
                </c:pt>
                <c:pt idx="72">
                  <c:v>2.9199992699999995</c:v>
                </c:pt>
                <c:pt idx="73">
                  <c:v>2.9066659399999999</c:v>
                </c:pt>
                <c:pt idx="74">
                  <c:v>2.9066659399999999</c:v>
                </c:pt>
                <c:pt idx="75">
                  <c:v>2.9066659399999999</c:v>
                </c:pt>
                <c:pt idx="76">
                  <c:v>2.8933326099999999</c:v>
                </c:pt>
                <c:pt idx="77">
                  <c:v>2.8933326099999999</c:v>
                </c:pt>
                <c:pt idx="78">
                  <c:v>2.8933326099999999</c:v>
                </c:pt>
                <c:pt idx="79">
                  <c:v>2.8933326099999999</c:v>
                </c:pt>
                <c:pt idx="80">
                  <c:v>2.8933326099999999</c:v>
                </c:pt>
                <c:pt idx="81">
                  <c:v>2.8799992799999998</c:v>
                </c:pt>
                <c:pt idx="82">
                  <c:v>2.8799992799999998</c:v>
                </c:pt>
                <c:pt idx="83">
                  <c:v>2.8799992799999998</c:v>
                </c:pt>
                <c:pt idx="84">
                  <c:v>2.8799992799999998</c:v>
                </c:pt>
                <c:pt idx="85">
                  <c:v>2.8799992799999998</c:v>
                </c:pt>
                <c:pt idx="86">
                  <c:v>2.8799992799999998</c:v>
                </c:pt>
                <c:pt idx="87">
                  <c:v>2.8799992799999998</c:v>
                </c:pt>
                <c:pt idx="88">
                  <c:v>2.8799992799999998</c:v>
                </c:pt>
                <c:pt idx="89">
                  <c:v>2.8933326099999999</c:v>
                </c:pt>
                <c:pt idx="90">
                  <c:v>2.8933326099999999</c:v>
                </c:pt>
                <c:pt idx="91">
                  <c:v>2.8933326099999999</c:v>
                </c:pt>
                <c:pt idx="92">
                  <c:v>2.8933326099999999</c:v>
                </c:pt>
                <c:pt idx="93">
                  <c:v>2.8933326099999999</c:v>
                </c:pt>
                <c:pt idx="94">
                  <c:v>2.8933326099999999</c:v>
                </c:pt>
                <c:pt idx="95">
                  <c:v>2.8933326099999999</c:v>
                </c:pt>
                <c:pt idx="96">
                  <c:v>2.8933326099999999</c:v>
                </c:pt>
                <c:pt idx="97">
                  <c:v>2.9066659399999999</c:v>
                </c:pt>
                <c:pt idx="98">
                  <c:v>2.9066659399999999</c:v>
                </c:pt>
                <c:pt idx="99">
                  <c:v>2.9066659399999999</c:v>
                </c:pt>
                <c:pt idx="100">
                  <c:v>2.9066659399999999</c:v>
                </c:pt>
                <c:pt idx="101">
                  <c:v>2.9066659399999999</c:v>
                </c:pt>
                <c:pt idx="102">
                  <c:v>2.9066659399999999</c:v>
                </c:pt>
                <c:pt idx="103">
                  <c:v>2.9066659399999999</c:v>
                </c:pt>
                <c:pt idx="104">
                  <c:v>2.9066659399999999</c:v>
                </c:pt>
                <c:pt idx="105">
                  <c:v>2.9199992699999995</c:v>
                </c:pt>
                <c:pt idx="106">
                  <c:v>2.9199992699999995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16-4AE2-8DFB-972030590746}"/>
            </c:ext>
          </c:extLst>
        </c:ser>
        <c:ser>
          <c:idx val="3"/>
          <c:order val="3"/>
          <c:tx>
            <c:v>40ml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'10-100ml'!$BA$3:$BA$109</c:f>
              <c:numCache>
                <c:formatCode>General</c:formatCode>
                <c:ptCount val="107"/>
                <c:pt idx="0">
                  <c:v>0.15999995999999997</c:v>
                </c:pt>
                <c:pt idx="1">
                  <c:v>0.17333329</c:v>
                </c:pt>
                <c:pt idx="2">
                  <c:v>0.21333327999999999</c:v>
                </c:pt>
                <c:pt idx="3">
                  <c:v>0.27999993000000001</c:v>
                </c:pt>
                <c:pt idx="4">
                  <c:v>0.37333323999999996</c:v>
                </c:pt>
                <c:pt idx="5">
                  <c:v>0.45333321999999993</c:v>
                </c:pt>
                <c:pt idx="6">
                  <c:v>0.47999987999999999</c:v>
                </c:pt>
                <c:pt idx="7">
                  <c:v>0.50666653999999989</c:v>
                </c:pt>
                <c:pt idx="8">
                  <c:v>0.51999986999999992</c:v>
                </c:pt>
                <c:pt idx="9">
                  <c:v>0.54666652999999987</c:v>
                </c:pt>
                <c:pt idx="10">
                  <c:v>0.54666652999999987</c:v>
                </c:pt>
                <c:pt idx="11">
                  <c:v>0.54666652999999987</c:v>
                </c:pt>
                <c:pt idx="12">
                  <c:v>0.54666652999999987</c:v>
                </c:pt>
                <c:pt idx="13">
                  <c:v>0.54666652999999987</c:v>
                </c:pt>
                <c:pt idx="14">
                  <c:v>0.54666652999999987</c:v>
                </c:pt>
                <c:pt idx="15">
                  <c:v>0.55999986000000002</c:v>
                </c:pt>
                <c:pt idx="16">
                  <c:v>0.57333318999999994</c:v>
                </c:pt>
                <c:pt idx="17">
                  <c:v>0.61333317999999992</c:v>
                </c:pt>
                <c:pt idx="18">
                  <c:v>0.73333314999999999</c:v>
                </c:pt>
                <c:pt idx="19">
                  <c:v>1.2266663599999998</c:v>
                </c:pt>
                <c:pt idx="20">
                  <c:v>2.9999992499999997</c:v>
                </c:pt>
                <c:pt idx="21">
                  <c:v>7.4799981299999994</c:v>
                </c:pt>
                <c:pt idx="22">
                  <c:v>18.879995279999999</c:v>
                </c:pt>
                <c:pt idx="23">
                  <c:v>45.879988529999999</c:v>
                </c:pt>
                <c:pt idx="24">
                  <c:v>75.266647849999998</c:v>
                </c:pt>
                <c:pt idx="25">
                  <c:v>98.559975359999996</c:v>
                </c:pt>
                <c:pt idx="26">
                  <c:v>114.42663806</c:v>
                </c:pt>
                <c:pt idx="27">
                  <c:v>115.03997123999999</c:v>
                </c:pt>
                <c:pt idx="28">
                  <c:v>107.98663966999999</c:v>
                </c:pt>
                <c:pt idx="29">
                  <c:v>102.41330773</c:v>
                </c:pt>
                <c:pt idx="30">
                  <c:v>97.693308909999999</c:v>
                </c:pt>
                <c:pt idx="31">
                  <c:v>93.466643299999987</c:v>
                </c:pt>
                <c:pt idx="32">
                  <c:v>89.546644279999995</c:v>
                </c:pt>
                <c:pt idx="33">
                  <c:v>85.813311880000001</c:v>
                </c:pt>
                <c:pt idx="34">
                  <c:v>82.159979460000002</c:v>
                </c:pt>
                <c:pt idx="35">
                  <c:v>78.50664703999999</c:v>
                </c:pt>
                <c:pt idx="36">
                  <c:v>74.639981339999991</c:v>
                </c:pt>
                <c:pt idx="37">
                  <c:v>70.14664913</c:v>
                </c:pt>
                <c:pt idx="38">
                  <c:v>64.879983780000003</c:v>
                </c:pt>
                <c:pt idx="39">
                  <c:v>59.573318439999994</c:v>
                </c:pt>
                <c:pt idx="40">
                  <c:v>53.586653269999992</c:v>
                </c:pt>
                <c:pt idx="41">
                  <c:v>42.839989289999998</c:v>
                </c:pt>
                <c:pt idx="42">
                  <c:v>29.106659389999997</c:v>
                </c:pt>
                <c:pt idx="43">
                  <c:v>18.786661970000001</c:v>
                </c:pt>
                <c:pt idx="44">
                  <c:v>12.986663419999999</c:v>
                </c:pt>
                <c:pt idx="45">
                  <c:v>9.9999974999999992</c:v>
                </c:pt>
                <c:pt idx="46">
                  <c:v>8.2266646100000003</c:v>
                </c:pt>
                <c:pt idx="47">
                  <c:v>7.02666491</c:v>
                </c:pt>
                <c:pt idx="48">
                  <c:v>6.1599984599999997</c:v>
                </c:pt>
                <c:pt idx="49">
                  <c:v>5.5199986199999991</c:v>
                </c:pt>
                <c:pt idx="50">
                  <c:v>5.0533320699999997</c:v>
                </c:pt>
                <c:pt idx="51">
                  <c:v>4.6799988299999997</c:v>
                </c:pt>
                <c:pt idx="52">
                  <c:v>4.373332239999999</c:v>
                </c:pt>
                <c:pt idx="53">
                  <c:v>4.1333322999999993</c:v>
                </c:pt>
                <c:pt idx="54">
                  <c:v>3.9333323499999997</c:v>
                </c:pt>
                <c:pt idx="55">
                  <c:v>3.7599990599999997</c:v>
                </c:pt>
                <c:pt idx="56">
                  <c:v>3.5999990999999998</c:v>
                </c:pt>
                <c:pt idx="57">
                  <c:v>3.4666657999999995</c:v>
                </c:pt>
                <c:pt idx="58">
                  <c:v>3.3466658300000001</c:v>
                </c:pt>
                <c:pt idx="59">
                  <c:v>3.2533325199999994</c:v>
                </c:pt>
                <c:pt idx="60">
                  <c:v>3.1733325399999996</c:v>
                </c:pt>
                <c:pt idx="61">
                  <c:v>3.1199992199999995</c:v>
                </c:pt>
                <c:pt idx="62">
                  <c:v>3.0666658999999998</c:v>
                </c:pt>
                <c:pt idx="63">
                  <c:v>3.0133325799999997</c:v>
                </c:pt>
                <c:pt idx="64">
                  <c:v>2.9733325899999996</c:v>
                </c:pt>
                <c:pt idx="65">
                  <c:v>2.94666593</c:v>
                </c:pt>
                <c:pt idx="66">
                  <c:v>2.9066659399999999</c:v>
                </c:pt>
                <c:pt idx="67">
                  <c:v>2.8799992799999998</c:v>
                </c:pt>
                <c:pt idx="68">
                  <c:v>2.8533326199999998</c:v>
                </c:pt>
                <c:pt idx="69">
                  <c:v>2.8399992899999997</c:v>
                </c:pt>
                <c:pt idx="70">
                  <c:v>2.8133326300000001</c:v>
                </c:pt>
                <c:pt idx="71">
                  <c:v>2.7999992999999996</c:v>
                </c:pt>
                <c:pt idx="72">
                  <c:v>2.77333264</c:v>
                </c:pt>
                <c:pt idx="73">
                  <c:v>2.77333264</c:v>
                </c:pt>
                <c:pt idx="74">
                  <c:v>2.7599993099999995</c:v>
                </c:pt>
                <c:pt idx="75">
                  <c:v>2.74666598</c:v>
                </c:pt>
                <c:pt idx="76">
                  <c:v>2.7333326499999999</c:v>
                </c:pt>
                <c:pt idx="77">
                  <c:v>2.7333326499999999</c:v>
                </c:pt>
                <c:pt idx="78">
                  <c:v>2.7199993199999994</c:v>
                </c:pt>
                <c:pt idx="79">
                  <c:v>2.7199993199999994</c:v>
                </c:pt>
                <c:pt idx="80">
                  <c:v>2.7199993199999994</c:v>
                </c:pt>
                <c:pt idx="81">
                  <c:v>2.7066659899999999</c:v>
                </c:pt>
                <c:pt idx="82">
                  <c:v>2.7066659899999999</c:v>
                </c:pt>
                <c:pt idx="83">
                  <c:v>2.7066659899999999</c:v>
                </c:pt>
                <c:pt idx="84">
                  <c:v>2.7066659899999999</c:v>
                </c:pt>
                <c:pt idx="85">
                  <c:v>2.7066659899999999</c:v>
                </c:pt>
                <c:pt idx="86">
                  <c:v>2.7066659899999999</c:v>
                </c:pt>
                <c:pt idx="87">
                  <c:v>2.7066659899999999</c:v>
                </c:pt>
                <c:pt idx="88">
                  <c:v>2.7066659899999999</c:v>
                </c:pt>
                <c:pt idx="89">
                  <c:v>2.7066659899999999</c:v>
                </c:pt>
                <c:pt idx="90">
                  <c:v>2.7066659899999999</c:v>
                </c:pt>
                <c:pt idx="91">
                  <c:v>2.7066659899999999</c:v>
                </c:pt>
                <c:pt idx="92">
                  <c:v>2.7199993199999994</c:v>
                </c:pt>
                <c:pt idx="93">
                  <c:v>2.7199993199999994</c:v>
                </c:pt>
                <c:pt idx="94">
                  <c:v>2.7199993199999994</c:v>
                </c:pt>
                <c:pt idx="95">
                  <c:v>2.7199993199999994</c:v>
                </c:pt>
                <c:pt idx="96">
                  <c:v>2.7333326499999999</c:v>
                </c:pt>
                <c:pt idx="97">
                  <c:v>2.7333326499999999</c:v>
                </c:pt>
                <c:pt idx="98">
                  <c:v>2.7333326499999999</c:v>
                </c:pt>
                <c:pt idx="99">
                  <c:v>2.74666598</c:v>
                </c:pt>
                <c:pt idx="100">
                  <c:v>2.74666598</c:v>
                </c:pt>
                <c:pt idx="101">
                  <c:v>2.74666598</c:v>
                </c:pt>
                <c:pt idx="102">
                  <c:v>2.74666598</c:v>
                </c:pt>
                <c:pt idx="103">
                  <c:v>2.74666598</c:v>
                </c:pt>
                <c:pt idx="104">
                  <c:v>2.7599993099999995</c:v>
                </c:pt>
                <c:pt idx="105">
                  <c:v>2.7599993099999995</c:v>
                </c:pt>
                <c:pt idx="106">
                  <c:v>2.7599993099999995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16-4AE2-8DFB-972030590746}"/>
            </c:ext>
          </c:extLst>
        </c:ser>
        <c:ser>
          <c:idx val="4"/>
          <c:order val="4"/>
          <c:tx>
            <c:v>50ml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'10-100ml'!$BC$3:$BC$109</c:f>
              <c:numCache>
                <c:formatCode>General</c:formatCode>
                <c:ptCount val="107"/>
                <c:pt idx="0">
                  <c:v>0.25333326999999994</c:v>
                </c:pt>
                <c:pt idx="1">
                  <c:v>0.25333326999999994</c:v>
                </c:pt>
                <c:pt idx="2">
                  <c:v>0.25333326999999994</c:v>
                </c:pt>
                <c:pt idx="3">
                  <c:v>0.29333325999999998</c:v>
                </c:pt>
                <c:pt idx="4">
                  <c:v>0.34666658</c:v>
                </c:pt>
                <c:pt idx="5">
                  <c:v>0.42666655999999997</c:v>
                </c:pt>
                <c:pt idx="6">
                  <c:v>0.50666653999999989</c:v>
                </c:pt>
                <c:pt idx="7">
                  <c:v>0.58666651999999997</c:v>
                </c:pt>
                <c:pt idx="8">
                  <c:v>0.66666649999999994</c:v>
                </c:pt>
                <c:pt idx="9">
                  <c:v>0.74666647999999991</c:v>
                </c:pt>
                <c:pt idx="10">
                  <c:v>0.82666645999999999</c:v>
                </c:pt>
                <c:pt idx="11">
                  <c:v>0.90666643999999985</c:v>
                </c:pt>
                <c:pt idx="12">
                  <c:v>0.98666641999999993</c:v>
                </c:pt>
                <c:pt idx="13">
                  <c:v>1.0666663999999999</c:v>
                </c:pt>
                <c:pt idx="14">
                  <c:v>1.2133330299999998</c:v>
                </c:pt>
                <c:pt idx="15">
                  <c:v>1.5199996199999999</c:v>
                </c:pt>
                <c:pt idx="16">
                  <c:v>2.03999949</c:v>
                </c:pt>
                <c:pt idx="17">
                  <c:v>2.6933326599999998</c:v>
                </c:pt>
                <c:pt idx="18">
                  <c:v>3.6399990899999999</c:v>
                </c:pt>
                <c:pt idx="19">
                  <c:v>5.0799987299999998</c:v>
                </c:pt>
                <c:pt idx="20">
                  <c:v>7.1999981999999996</c:v>
                </c:pt>
                <c:pt idx="21">
                  <c:v>11.639997089999998</c:v>
                </c:pt>
                <c:pt idx="22">
                  <c:v>27.359993159999995</c:v>
                </c:pt>
                <c:pt idx="23">
                  <c:v>54.01331983</c:v>
                </c:pt>
                <c:pt idx="24">
                  <c:v>75.626647759999997</c:v>
                </c:pt>
                <c:pt idx="25">
                  <c:v>89.973310839999982</c:v>
                </c:pt>
                <c:pt idx="26">
                  <c:v>101.01330807999999</c:v>
                </c:pt>
                <c:pt idx="27">
                  <c:v>110.94663892999999</c:v>
                </c:pt>
                <c:pt idx="28">
                  <c:v>119.41330348</c:v>
                </c:pt>
                <c:pt idx="29">
                  <c:v>122.89330260999999</c:v>
                </c:pt>
                <c:pt idx="30">
                  <c:v>117.17330403999998</c:v>
                </c:pt>
                <c:pt idx="31">
                  <c:v>110.77330563999999</c:v>
                </c:pt>
                <c:pt idx="32">
                  <c:v>105.43997363999999</c:v>
                </c:pt>
                <c:pt idx="33">
                  <c:v>100.81330813</c:v>
                </c:pt>
                <c:pt idx="34">
                  <c:v>96.613309179999987</c:v>
                </c:pt>
                <c:pt idx="35">
                  <c:v>92.70664348999999</c:v>
                </c:pt>
                <c:pt idx="36">
                  <c:v>89.013311079999994</c:v>
                </c:pt>
                <c:pt idx="37">
                  <c:v>85.439978639999993</c:v>
                </c:pt>
                <c:pt idx="38">
                  <c:v>81.893312859999995</c:v>
                </c:pt>
                <c:pt idx="39">
                  <c:v>78.306647089999984</c:v>
                </c:pt>
                <c:pt idx="40">
                  <c:v>74.519981369999996</c:v>
                </c:pt>
                <c:pt idx="41">
                  <c:v>70.479982379999996</c:v>
                </c:pt>
                <c:pt idx="42">
                  <c:v>66.159983459999992</c:v>
                </c:pt>
                <c:pt idx="43">
                  <c:v>61.533317949999997</c:v>
                </c:pt>
                <c:pt idx="44">
                  <c:v>56.666652499999998</c:v>
                </c:pt>
                <c:pt idx="45">
                  <c:v>51.586653769999991</c:v>
                </c:pt>
                <c:pt idx="46">
                  <c:v>46.466655049999993</c:v>
                </c:pt>
                <c:pt idx="47">
                  <c:v>41.493322959999993</c:v>
                </c:pt>
                <c:pt idx="48">
                  <c:v>36.719990819999992</c:v>
                </c:pt>
                <c:pt idx="49">
                  <c:v>31.973325339999999</c:v>
                </c:pt>
                <c:pt idx="50">
                  <c:v>26.786659969999999</c:v>
                </c:pt>
                <c:pt idx="51">
                  <c:v>20.746661479999997</c:v>
                </c:pt>
                <c:pt idx="52">
                  <c:v>15.079996229999997</c:v>
                </c:pt>
                <c:pt idx="53">
                  <c:v>11.266663849999999</c:v>
                </c:pt>
                <c:pt idx="54">
                  <c:v>9.0799977299999988</c:v>
                </c:pt>
                <c:pt idx="55">
                  <c:v>7.7866647199999992</c:v>
                </c:pt>
                <c:pt idx="56">
                  <c:v>6.9999982499999991</c:v>
                </c:pt>
                <c:pt idx="57">
                  <c:v>6.5599983599999998</c:v>
                </c:pt>
                <c:pt idx="58">
                  <c:v>6.3066650899999992</c:v>
                </c:pt>
                <c:pt idx="59">
                  <c:v>6.1066651399999987</c:v>
                </c:pt>
                <c:pt idx="60">
                  <c:v>5.9466651799999992</c:v>
                </c:pt>
                <c:pt idx="61">
                  <c:v>5.8133318799999998</c:v>
                </c:pt>
                <c:pt idx="62">
                  <c:v>5.7066652399999995</c:v>
                </c:pt>
                <c:pt idx="63">
                  <c:v>5.6266652600000002</c:v>
                </c:pt>
                <c:pt idx="64">
                  <c:v>5.54666528</c:v>
                </c:pt>
                <c:pt idx="65">
                  <c:v>5.4799986299999999</c:v>
                </c:pt>
                <c:pt idx="66">
                  <c:v>5.4133319799999997</c:v>
                </c:pt>
                <c:pt idx="67">
                  <c:v>5.3599986599999996</c:v>
                </c:pt>
                <c:pt idx="68">
                  <c:v>5.3199986699999995</c:v>
                </c:pt>
                <c:pt idx="69">
                  <c:v>5.2799986799999994</c:v>
                </c:pt>
                <c:pt idx="70">
                  <c:v>5.2399986899999993</c:v>
                </c:pt>
                <c:pt idx="71">
                  <c:v>5.2133320300000001</c:v>
                </c:pt>
                <c:pt idx="72">
                  <c:v>5.1866653699999992</c:v>
                </c:pt>
                <c:pt idx="73">
                  <c:v>5.1733320399999991</c:v>
                </c:pt>
                <c:pt idx="74">
                  <c:v>5.14666538</c:v>
                </c:pt>
                <c:pt idx="75">
                  <c:v>5.1333320499999999</c:v>
                </c:pt>
                <c:pt idx="76">
                  <c:v>5.106665389999999</c:v>
                </c:pt>
                <c:pt idx="77">
                  <c:v>5.0933320599999998</c:v>
                </c:pt>
                <c:pt idx="78">
                  <c:v>5.0799987299999998</c:v>
                </c:pt>
                <c:pt idx="79">
                  <c:v>5.0799987299999998</c:v>
                </c:pt>
                <c:pt idx="80">
                  <c:v>5.0666653999999998</c:v>
                </c:pt>
                <c:pt idx="81">
                  <c:v>5.0666653999999998</c:v>
                </c:pt>
                <c:pt idx="82">
                  <c:v>5.0533320699999997</c:v>
                </c:pt>
                <c:pt idx="83">
                  <c:v>5.0533320699999997</c:v>
                </c:pt>
                <c:pt idx="84">
                  <c:v>5.0533320699999997</c:v>
                </c:pt>
                <c:pt idx="85">
                  <c:v>5.0533320699999997</c:v>
                </c:pt>
                <c:pt idx="86">
                  <c:v>5.0399987399999988</c:v>
                </c:pt>
                <c:pt idx="87">
                  <c:v>5.0399987399999988</c:v>
                </c:pt>
                <c:pt idx="88">
                  <c:v>5.0399987399999988</c:v>
                </c:pt>
                <c:pt idx="89">
                  <c:v>5.0399987399999988</c:v>
                </c:pt>
                <c:pt idx="90">
                  <c:v>5.0399987399999988</c:v>
                </c:pt>
                <c:pt idx="91">
                  <c:v>5.0399987399999988</c:v>
                </c:pt>
                <c:pt idx="92">
                  <c:v>5.0399987399999988</c:v>
                </c:pt>
                <c:pt idx="93">
                  <c:v>5.0533320699999997</c:v>
                </c:pt>
                <c:pt idx="94">
                  <c:v>5.0533320699999997</c:v>
                </c:pt>
                <c:pt idx="95">
                  <c:v>5.0533320699999997</c:v>
                </c:pt>
                <c:pt idx="96">
                  <c:v>5.0533320699999997</c:v>
                </c:pt>
                <c:pt idx="97">
                  <c:v>5.0666653999999998</c:v>
                </c:pt>
                <c:pt idx="98">
                  <c:v>5.0666653999999998</c:v>
                </c:pt>
                <c:pt idx="99">
                  <c:v>5.0799987299999998</c:v>
                </c:pt>
                <c:pt idx="100">
                  <c:v>5.0799987299999998</c:v>
                </c:pt>
                <c:pt idx="101">
                  <c:v>5.0799987299999998</c:v>
                </c:pt>
                <c:pt idx="102">
                  <c:v>5.0799987299999998</c:v>
                </c:pt>
                <c:pt idx="103">
                  <c:v>5.0933320599999998</c:v>
                </c:pt>
                <c:pt idx="104">
                  <c:v>5.0933320599999998</c:v>
                </c:pt>
                <c:pt idx="105">
                  <c:v>5.106665389999999</c:v>
                </c:pt>
                <c:pt idx="106">
                  <c:v>5.106665389999999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16-4AE2-8DFB-972030590746}"/>
            </c:ext>
          </c:extLst>
        </c:ser>
        <c:ser>
          <c:idx val="5"/>
          <c:order val="5"/>
          <c:tx>
            <c:v>60ml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'10-100ml'!$BE$3:$BE$109</c:f>
              <c:numCache>
                <c:formatCode>General</c:formatCode>
                <c:ptCount val="107"/>
                <c:pt idx="0">
                  <c:v>0.59999984999999989</c:v>
                </c:pt>
                <c:pt idx="1">
                  <c:v>0.69333316</c:v>
                </c:pt>
                <c:pt idx="2">
                  <c:v>0.78666647000000001</c:v>
                </c:pt>
                <c:pt idx="3">
                  <c:v>0.86666644999999987</c:v>
                </c:pt>
                <c:pt idx="4">
                  <c:v>0.93333309999999992</c:v>
                </c:pt>
                <c:pt idx="5">
                  <c:v>0.99999974999999997</c:v>
                </c:pt>
                <c:pt idx="6">
                  <c:v>1.0666663999999999</c:v>
                </c:pt>
                <c:pt idx="7">
                  <c:v>1.1466663799999999</c:v>
                </c:pt>
                <c:pt idx="8">
                  <c:v>1.2133330299999998</c:v>
                </c:pt>
                <c:pt idx="9">
                  <c:v>1.2933330099999998</c:v>
                </c:pt>
                <c:pt idx="10">
                  <c:v>1.37333299</c:v>
                </c:pt>
                <c:pt idx="11">
                  <c:v>1.5199996199999999</c:v>
                </c:pt>
                <c:pt idx="12">
                  <c:v>2.0666661499999996</c:v>
                </c:pt>
                <c:pt idx="13">
                  <c:v>4.0933323099999992</c:v>
                </c:pt>
                <c:pt idx="14">
                  <c:v>8.2533312699999986</c:v>
                </c:pt>
                <c:pt idx="15">
                  <c:v>15.546662779999998</c:v>
                </c:pt>
                <c:pt idx="16">
                  <c:v>32.679991829999999</c:v>
                </c:pt>
                <c:pt idx="17">
                  <c:v>58.866651949999998</c:v>
                </c:pt>
                <c:pt idx="18">
                  <c:v>84.213312279999997</c:v>
                </c:pt>
                <c:pt idx="19">
                  <c:v>101.97330783999999</c:v>
                </c:pt>
                <c:pt idx="20">
                  <c:v>114.63997133999999</c:v>
                </c:pt>
                <c:pt idx="21">
                  <c:v>124.85330211999998</c:v>
                </c:pt>
                <c:pt idx="22">
                  <c:v>133.19996669999998</c:v>
                </c:pt>
                <c:pt idx="23">
                  <c:v>139.15996521</c:v>
                </c:pt>
                <c:pt idx="24">
                  <c:v>135.01329957999999</c:v>
                </c:pt>
                <c:pt idx="25">
                  <c:v>127.27996818</c:v>
                </c:pt>
                <c:pt idx="26">
                  <c:v>120.59996984999999</c:v>
                </c:pt>
                <c:pt idx="27">
                  <c:v>114.93330459999999</c:v>
                </c:pt>
                <c:pt idx="28">
                  <c:v>109.95997251</c:v>
                </c:pt>
                <c:pt idx="29">
                  <c:v>105.46664029999999</c:v>
                </c:pt>
                <c:pt idx="30">
                  <c:v>100.78664146999999</c:v>
                </c:pt>
                <c:pt idx="31">
                  <c:v>92.039976989999985</c:v>
                </c:pt>
                <c:pt idx="32">
                  <c:v>78.559980359999997</c:v>
                </c:pt>
                <c:pt idx="33">
                  <c:v>63.639984089999999</c:v>
                </c:pt>
                <c:pt idx="34">
                  <c:v>47.693321409999996</c:v>
                </c:pt>
                <c:pt idx="35">
                  <c:v>34.599991349999996</c:v>
                </c:pt>
                <c:pt idx="36">
                  <c:v>25.679993579999998</c:v>
                </c:pt>
                <c:pt idx="37">
                  <c:v>19.933328349999996</c:v>
                </c:pt>
                <c:pt idx="38">
                  <c:v>15.746662729999997</c:v>
                </c:pt>
                <c:pt idx="39">
                  <c:v>12.71999682</c:v>
                </c:pt>
                <c:pt idx="40">
                  <c:v>10.813330629999998</c:v>
                </c:pt>
                <c:pt idx="41">
                  <c:v>9.5599976099999999</c:v>
                </c:pt>
                <c:pt idx="42">
                  <c:v>8.6799978299999978</c:v>
                </c:pt>
                <c:pt idx="43">
                  <c:v>8.039997989999998</c:v>
                </c:pt>
                <c:pt idx="44">
                  <c:v>7.5199981199999995</c:v>
                </c:pt>
                <c:pt idx="45">
                  <c:v>7.0933315599999993</c:v>
                </c:pt>
                <c:pt idx="46">
                  <c:v>6.7599983099999994</c:v>
                </c:pt>
                <c:pt idx="47">
                  <c:v>6.4933317099999996</c:v>
                </c:pt>
                <c:pt idx="48">
                  <c:v>6.2533317699999991</c:v>
                </c:pt>
                <c:pt idx="49">
                  <c:v>6.0533318199999995</c:v>
                </c:pt>
                <c:pt idx="50">
                  <c:v>5.89333186</c:v>
                </c:pt>
                <c:pt idx="51">
                  <c:v>5.7733318899999988</c:v>
                </c:pt>
                <c:pt idx="52">
                  <c:v>5.6666652499999994</c:v>
                </c:pt>
                <c:pt idx="53">
                  <c:v>5.5733319399999992</c:v>
                </c:pt>
                <c:pt idx="54">
                  <c:v>5.4799986299999999</c:v>
                </c:pt>
                <c:pt idx="55">
                  <c:v>5.4133319799999997</c:v>
                </c:pt>
                <c:pt idx="56">
                  <c:v>5.3599986599999996</c:v>
                </c:pt>
                <c:pt idx="57">
                  <c:v>5.3066653399999995</c:v>
                </c:pt>
                <c:pt idx="58">
                  <c:v>5.2533320199999993</c:v>
                </c:pt>
                <c:pt idx="59">
                  <c:v>5.2133320300000001</c:v>
                </c:pt>
                <c:pt idx="60">
                  <c:v>5.1733320399999991</c:v>
                </c:pt>
                <c:pt idx="61">
                  <c:v>5.1333320499999999</c:v>
                </c:pt>
                <c:pt idx="62">
                  <c:v>5.106665389999999</c:v>
                </c:pt>
                <c:pt idx="63">
                  <c:v>5.0799987299999998</c:v>
                </c:pt>
                <c:pt idx="64">
                  <c:v>5.0666653999999998</c:v>
                </c:pt>
                <c:pt idx="65">
                  <c:v>5.0533320699999997</c:v>
                </c:pt>
                <c:pt idx="66">
                  <c:v>5.0399987399999988</c:v>
                </c:pt>
                <c:pt idx="67">
                  <c:v>5.0266654099999997</c:v>
                </c:pt>
                <c:pt idx="68">
                  <c:v>5.0133320799999996</c:v>
                </c:pt>
                <c:pt idx="69">
                  <c:v>4.9999987499999996</c:v>
                </c:pt>
                <c:pt idx="70">
                  <c:v>4.9866654199999996</c:v>
                </c:pt>
                <c:pt idx="71">
                  <c:v>4.9733320899999995</c:v>
                </c:pt>
                <c:pt idx="72">
                  <c:v>4.9733320899999995</c:v>
                </c:pt>
                <c:pt idx="73">
                  <c:v>4.9599987599999995</c:v>
                </c:pt>
                <c:pt idx="74">
                  <c:v>4.9599987599999995</c:v>
                </c:pt>
                <c:pt idx="75">
                  <c:v>4.9466654299999995</c:v>
                </c:pt>
                <c:pt idx="76">
                  <c:v>4.9466654299999995</c:v>
                </c:pt>
                <c:pt idx="77">
                  <c:v>4.9466654299999995</c:v>
                </c:pt>
                <c:pt idx="78">
                  <c:v>4.9333320999999994</c:v>
                </c:pt>
                <c:pt idx="79">
                  <c:v>4.9333320999999994</c:v>
                </c:pt>
                <c:pt idx="80">
                  <c:v>4.9333320999999994</c:v>
                </c:pt>
                <c:pt idx="81">
                  <c:v>4.9333320999999994</c:v>
                </c:pt>
                <c:pt idx="82">
                  <c:v>4.9333320999999994</c:v>
                </c:pt>
                <c:pt idx="83">
                  <c:v>4.9199987699999994</c:v>
                </c:pt>
                <c:pt idx="84">
                  <c:v>4.9199987699999994</c:v>
                </c:pt>
                <c:pt idx="85">
                  <c:v>4.9199987699999994</c:v>
                </c:pt>
                <c:pt idx="86">
                  <c:v>4.9199987699999994</c:v>
                </c:pt>
                <c:pt idx="87">
                  <c:v>4.9199987699999994</c:v>
                </c:pt>
                <c:pt idx="88">
                  <c:v>4.9333320999999994</c:v>
                </c:pt>
                <c:pt idx="89">
                  <c:v>4.9333320999999994</c:v>
                </c:pt>
                <c:pt idx="90">
                  <c:v>4.9199987699999994</c:v>
                </c:pt>
                <c:pt idx="91">
                  <c:v>4.9333320999999994</c:v>
                </c:pt>
                <c:pt idx="92">
                  <c:v>4.9333320999999994</c:v>
                </c:pt>
                <c:pt idx="93">
                  <c:v>4.9333320999999994</c:v>
                </c:pt>
                <c:pt idx="94">
                  <c:v>4.9333320999999994</c:v>
                </c:pt>
                <c:pt idx="95">
                  <c:v>4.9333320999999994</c:v>
                </c:pt>
                <c:pt idx="96">
                  <c:v>4.9466654299999995</c:v>
                </c:pt>
                <c:pt idx="97">
                  <c:v>4.9466654299999995</c:v>
                </c:pt>
                <c:pt idx="98">
                  <c:v>4.9466654299999995</c:v>
                </c:pt>
                <c:pt idx="99">
                  <c:v>4.9466654299999995</c:v>
                </c:pt>
                <c:pt idx="100">
                  <c:v>4.9599987599999995</c:v>
                </c:pt>
                <c:pt idx="101">
                  <c:v>4.9599987599999995</c:v>
                </c:pt>
                <c:pt idx="102">
                  <c:v>4.9599987599999995</c:v>
                </c:pt>
                <c:pt idx="103">
                  <c:v>4.9599987599999995</c:v>
                </c:pt>
                <c:pt idx="104">
                  <c:v>4.9733320899999995</c:v>
                </c:pt>
                <c:pt idx="105">
                  <c:v>4.9733320899999995</c:v>
                </c:pt>
                <c:pt idx="106">
                  <c:v>4.9733320899999995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16-4AE2-8DFB-972030590746}"/>
            </c:ext>
          </c:extLst>
        </c:ser>
        <c:ser>
          <c:idx val="6"/>
          <c:order val="6"/>
          <c:tx>
            <c:v>70ml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'10-100ml'!$BG$3:$BG$109</c:f>
              <c:numCache>
                <c:formatCode>General</c:formatCode>
                <c:ptCount val="107"/>
                <c:pt idx="0">
                  <c:v>0.51999986999999992</c:v>
                </c:pt>
                <c:pt idx="1">
                  <c:v>0.62666650999999995</c:v>
                </c:pt>
                <c:pt idx="2">
                  <c:v>0.69333316</c:v>
                </c:pt>
                <c:pt idx="3">
                  <c:v>0.75999980999999994</c:v>
                </c:pt>
                <c:pt idx="4">
                  <c:v>0.82666645999999999</c:v>
                </c:pt>
                <c:pt idx="5">
                  <c:v>0.95999975999999998</c:v>
                </c:pt>
                <c:pt idx="6">
                  <c:v>1.1733330399999999</c:v>
                </c:pt>
                <c:pt idx="7">
                  <c:v>1.4666663</c:v>
                </c:pt>
                <c:pt idx="8">
                  <c:v>1.8799995299999999</c:v>
                </c:pt>
                <c:pt idx="9">
                  <c:v>2.57333269</c:v>
                </c:pt>
                <c:pt idx="10">
                  <c:v>3.9733323399999998</c:v>
                </c:pt>
                <c:pt idx="11">
                  <c:v>6.1333317999999997</c:v>
                </c:pt>
                <c:pt idx="12">
                  <c:v>10.306664089999998</c:v>
                </c:pt>
                <c:pt idx="13">
                  <c:v>25.679993579999998</c:v>
                </c:pt>
                <c:pt idx="14">
                  <c:v>53.213320029999998</c:v>
                </c:pt>
                <c:pt idx="15">
                  <c:v>81.54664627999999</c:v>
                </c:pt>
                <c:pt idx="16">
                  <c:v>102.70664098999998</c:v>
                </c:pt>
                <c:pt idx="17">
                  <c:v>114.07997148</c:v>
                </c:pt>
                <c:pt idx="18">
                  <c:v>120.49330320999999</c:v>
                </c:pt>
                <c:pt idx="19">
                  <c:v>125.73330189999999</c:v>
                </c:pt>
                <c:pt idx="20">
                  <c:v>130.69330066000001</c:v>
                </c:pt>
                <c:pt idx="21">
                  <c:v>135.55996611</c:v>
                </c:pt>
                <c:pt idx="22">
                  <c:v>140.42663156</c:v>
                </c:pt>
                <c:pt idx="23">
                  <c:v>144.09329731</c:v>
                </c:pt>
                <c:pt idx="24">
                  <c:v>139.90663168999998</c:v>
                </c:pt>
                <c:pt idx="25">
                  <c:v>131.87996702999999</c:v>
                </c:pt>
                <c:pt idx="26">
                  <c:v>124.78663546999998</c:v>
                </c:pt>
                <c:pt idx="27">
                  <c:v>118.59997034999999</c:v>
                </c:pt>
                <c:pt idx="28">
                  <c:v>113.19997169999999</c:v>
                </c:pt>
                <c:pt idx="29">
                  <c:v>108.34663957999999</c:v>
                </c:pt>
                <c:pt idx="30">
                  <c:v>103.70664073999998</c:v>
                </c:pt>
                <c:pt idx="31">
                  <c:v>97.973308839999987</c:v>
                </c:pt>
                <c:pt idx="32">
                  <c:v>85.306645339999989</c:v>
                </c:pt>
                <c:pt idx="33">
                  <c:v>66.813316630000003</c:v>
                </c:pt>
                <c:pt idx="34">
                  <c:v>47.733321399999994</c:v>
                </c:pt>
                <c:pt idx="35">
                  <c:v>32.039991989999997</c:v>
                </c:pt>
                <c:pt idx="36">
                  <c:v>21.45332797</c:v>
                </c:pt>
                <c:pt idx="37">
                  <c:v>15.786662719999999</c:v>
                </c:pt>
                <c:pt idx="38">
                  <c:v>12.786663469999999</c:v>
                </c:pt>
                <c:pt idx="39">
                  <c:v>10.9333306</c:v>
                </c:pt>
                <c:pt idx="40">
                  <c:v>9.6799975799999984</c:v>
                </c:pt>
                <c:pt idx="41">
                  <c:v>8.773331139999998</c:v>
                </c:pt>
                <c:pt idx="42">
                  <c:v>8.0799979799999999</c:v>
                </c:pt>
                <c:pt idx="43">
                  <c:v>7.5199981199999995</c:v>
                </c:pt>
                <c:pt idx="44">
                  <c:v>7.0666648999999992</c:v>
                </c:pt>
                <c:pt idx="45">
                  <c:v>6.6933316600000001</c:v>
                </c:pt>
                <c:pt idx="46">
                  <c:v>6.3866650699999994</c:v>
                </c:pt>
                <c:pt idx="47">
                  <c:v>6.1333317999999997</c:v>
                </c:pt>
                <c:pt idx="48">
                  <c:v>5.9199985199999992</c:v>
                </c:pt>
                <c:pt idx="49">
                  <c:v>5.7199985699999996</c:v>
                </c:pt>
                <c:pt idx="50">
                  <c:v>5.5333319499999991</c:v>
                </c:pt>
                <c:pt idx="51">
                  <c:v>5.3999986499999997</c:v>
                </c:pt>
                <c:pt idx="52">
                  <c:v>5.2933320100000003</c:v>
                </c:pt>
                <c:pt idx="53">
                  <c:v>5.1999986999999992</c:v>
                </c:pt>
                <c:pt idx="54">
                  <c:v>5.119998719999999</c:v>
                </c:pt>
                <c:pt idx="55">
                  <c:v>5.0399987399999988</c:v>
                </c:pt>
                <c:pt idx="56">
                  <c:v>4.9733320899999995</c:v>
                </c:pt>
                <c:pt idx="57">
                  <c:v>4.9199987699999994</c:v>
                </c:pt>
                <c:pt idx="58">
                  <c:v>4.8533321199999993</c:v>
                </c:pt>
                <c:pt idx="59">
                  <c:v>4.81333213</c:v>
                </c:pt>
                <c:pt idx="60">
                  <c:v>4.7599988099999999</c:v>
                </c:pt>
                <c:pt idx="61">
                  <c:v>4.7333321499999998</c:v>
                </c:pt>
                <c:pt idx="62">
                  <c:v>4.7199988199999998</c:v>
                </c:pt>
                <c:pt idx="63">
                  <c:v>4.6933321599999998</c:v>
                </c:pt>
                <c:pt idx="64">
                  <c:v>4.6799988299999997</c:v>
                </c:pt>
                <c:pt idx="65">
                  <c:v>4.6666654999999997</c:v>
                </c:pt>
                <c:pt idx="66">
                  <c:v>4.6399988399999996</c:v>
                </c:pt>
                <c:pt idx="67">
                  <c:v>4.6266655099999996</c:v>
                </c:pt>
                <c:pt idx="68">
                  <c:v>4.6133321799999996</c:v>
                </c:pt>
                <c:pt idx="69">
                  <c:v>4.5999988499999995</c:v>
                </c:pt>
                <c:pt idx="70">
                  <c:v>4.5866655199999995</c:v>
                </c:pt>
                <c:pt idx="71">
                  <c:v>4.5866655199999995</c:v>
                </c:pt>
                <c:pt idx="72">
                  <c:v>4.5733321899999995</c:v>
                </c:pt>
                <c:pt idx="73">
                  <c:v>4.5599988600000003</c:v>
                </c:pt>
                <c:pt idx="74">
                  <c:v>4.5599988600000003</c:v>
                </c:pt>
                <c:pt idx="75">
                  <c:v>4.5466655299999994</c:v>
                </c:pt>
                <c:pt idx="76">
                  <c:v>4.5466655299999994</c:v>
                </c:pt>
                <c:pt idx="77">
                  <c:v>4.5466655299999994</c:v>
                </c:pt>
                <c:pt idx="78">
                  <c:v>4.5333321999999994</c:v>
                </c:pt>
                <c:pt idx="79">
                  <c:v>4.5333321999999994</c:v>
                </c:pt>
                <c:pt idx="80">
                  <c:v>4.5333321999999994</c:v>
                </c:pt>
                <c:pt idx="81">
                  <c:v>4.5333321999999994</c:v>
                </c:pt>
                <c:pt idx="82">
                  <c:v>4.5333321999999994</c:v>
                </c:pt>
                <c:pt idx="83">
                  <c:v>4.5333321999999994</c:v>
                </c:pt>
                <c:pt idx="84">
                  <c:v>4.5333321999999994</c:v>
                </c:pt>
                <c:pt idx="85">
                  <c:v>4.5333321999999994</c:v>
                </c:pt>
                <c:pt idx="86">
                  <c:v>4.5333321999999994</c:v>
                </c:pt>
                <c:pt idx="87">
                  <c:v>4.5333321999999994</c:v>
                </c:pt>
                <c:pt idx="88">
                  <c:v>4.5333321999999994</c:v>
                </c:pt>
                <c:pt idx="89">
                  <c:v>4.5333321999999994</c:v>
                </c:pt>
                <c:pt idx="90">
                  <c:v>4.5333321999999994</c:v>
                </c:pt>
                <c:pt idx="91">
                  <c:v>4.5333321999999994</c:v>
                </c:pt>
                <c:pt idx="92">
                  <c:v>4.5333321999999994</c:v>
                </c:pt>
                <c:pt idx="93">
                  <c:v>4.5466655299999994</c:v>
                </c:pt>
                <c:pt idx="94">
                  <c:v>4.5466655299999994</c:v>
                </c:pt>
                <c:pt idx="95">
                  <c:v>4.5466655299999994</c:v>
                </c:pt>
                <c:pt idx="96">
                  <c:v>4.5466655299999994</c:v>
                </c:pt>
                <c:pt idx="97">
                  <c:v>4.5599988600000003</c:v>
                </c:pt>
                <c:pt idx="98">
                  <c:v>4.5599988600000003</c:v>
                </c:pt>
                <c:pt idx="99">
                  <c:v>4.5599988600000003</c:v>
                </c:pt>
                <c:pt idx="100">
                  <c:v>4.5733321899999995</c:v>
                </c:pt>
                <c:pt idx="101">
                  <c:v>4.5733321899999995</c:v>
                </c:pt>
                <c:pt idx="102">
                  <c:v>4.5733321899999995</c:v>
                </c:pt>
                <c:pt idx="103">
                  <c:v>4.5866655199999995</c:v>
                </c:pt>
                <c:pt idx="104">
                  <c:v>4.5866655199999995</c:v>
                </c:pt>
                <c:pt idx="105">
                  <c:v>4.5866655199999995</c:v>
                </c:pt>
                <c:pt idx="106">
                  <c:v>4.5999988499999995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16-4AE2-8DFB-972030590746}"/>
            </c:ext>
          </c:extLst>
        </c:ser>
        <c:ser>
          <c:idx val="7"/>
          <c:order val="7"/>
          <c:tx>
            <c:v>80ml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'10-100ml'!$BI$3:$BI$109</c:f>
              <c:numCache>
                <c:formatCode>General</c:formatCode>
                <c:ptCount val="107"/>
                <c:pt idx="0">
                  <c:v>0.90666643999999985</c:v>
                </c:pt>
                <c:pt idx="1">
                  <c:v>1.0133330799999998</c:v>
                </c:pt>
                <c:pt idx="2">
                  <c:v>1.1466663799999999</c:v>
                </c:pt>
                <c:pt idx="3">
                  <c:v>1.3199996699999998</c:v>
                </c:pt>
                <c:pt idx="4">
                  <c:v>1.4799996299999998</c:v>
                </c:pt>
                <c:pt idx="5">
                  <c:v>1.5999995999999999</c:v>
                </c:pt>
                <c:pt idx="6">
                  <c:v>1.6666662499999998</c:v>
                </c:pt>
                <c:pt idx="7">
                  <c:v>1.7333328999999997</c:v>
                </c:pt>
                <c:pt idx="8">
                  <c:v>1.8266662099999997</c:v>
                </c:pt>
                <c:pt idx="9">
                  <c:v>1.9466661799999998</c:v>
                </c:pt>
                <c:pt idx="10">
                  <c:v>2.0666661499999996</c:v>
                </c:pt>
                <c:pt idx="11">
                  <c:v>2.2266661099999996</c:v>
                </c:pt>
                <c:pt idx="12">
                  <c:v>2.4399993899999997</c:v>
                </c:pt>
                <c:pt idx="13">
                  <c:v>2.7333326499999999</c:v>
                </c:pt>
                <c:pt idx="14">
                  <c:v>3.3999991499999997</c:v>
                </c:pt>
                <c:pt idx="15">
                  <c:v>5.2533320199999993</c:v>
                </c:pt>
                <c:pt idx="16">
                  <c:v>9.0399977399999987</c:v>
                </c:pt>
                <c:pt idx="17">
                  <c:v>14.146663129999999</c:v>
                </c:pt>
                <c:pt idx="18">
                  <c:v>19.666661749999999</c:v>
                </c:pt>
                <c:pt idx="19">
                  <c:v>30.479992379999995</c:v>
                </c:pt>
                <c:pt idx="20">
                  <c:v>48.026654659999991</c:v>
                </c:pt>
                <c:pt idx="21">
                  <c:v>62.746650979999998</c:v>
                </c:pt>
                <c:pt idx="22">
                  <c:v>74.826647960000003</c:v>
                </c:pt>
                <c:pt idx="23">
                  <c:v>85.653311919999993</c:v>
                </c:pt>
                <c:pt idx="24">
                  <c:v>94.386643069999991</c:v>
                </c:pt>
                <c:pt idx="25">
                  <c:v>102.79997429999999</c:v>
                </c:pt>
                <c:pt idx="26">
                  <c:v>112.47997187999999</c:v>
                </c:pt>
                <c:pt idx="27">
                  <c:v>120.09330331</c:v>
                </c:pt>
                <c:pt idx="28">
                  <c:v>124.41330222999999</c:v>
                </c:pt>
                <c:pt idx="29">
                  <c:v>127.95996801</c:v>
                </c:pt>
                <c:pt idx="30">
                  <c:v>132.15996695999999</c:v>
                </c:pt>
                <c:pt idx="31">
                  <c:v>135.91996601999998</c:v>
                </c:pt>
                <c:pt idx="32">
                  <c:v>139.09329855999999</c:v>
                </c:pt>
                <c:pt idx="33">
                  <c:v>140.61329817999999</c:v>
                </c:pt>
                <c:pt idx="34">
                  <c:v>142.02663115999999</c:v>
                </c:pt>
                <c:pt idx="35">
                  <c:v>143.35996416</c:v>
                </c:pt>
                <c:pt idx="36">
                  <c:v>140.11996497000001</c:v>
                </c:pt>
                <c:pt idx="37">
                  <c:v>132.73330014999999</c:v>
                </c:pt>
                <c:pt idx="38">
                  <c:v>125.81330188</c:v>
                </c:pt>
                <c:pt idx="39">
                  <c:v>119.79997004999998</c:v>
                </c:pt>
                <c:pt idx="40">
                  <c:v>114.50663803999998</c:v>
                </c:pt>
                <c:pt idx="41">
                  <c:v>109.66663924999999</c:v>
                </c:pt>
                <c:pt idx="42">
                  <c:v>104.74664048</c:v>
                </c:pt>
                <c:pt idx="43">
                  <c:v>98.946641929999998</c:v>
                </c:pt>
                <c:pt idx="44">
                  <c:v>92.053310319999994</c:v>
                </c:pt>
                <c:pt idx="45">
                  <c:v>84.839978789999989</c:v>
                </c:pt>
                <c:pt idx="46">
                  <c:v>76.679980829999991</c:v>
                </c:pt>
                <c:pt idx="47">
                  <c:v>66.146650129999998</c:v>
                </c:pt>
                <c:pt idx="48">
                  <c:v>52.706653489999994</c:v>
                </c:pt>
                <c:pt idx="49">
                  <c:v>38.666656999999994</c:v>
                </c:pt>
                <c:pt idx="50">
                  <c:v>27.346659829999997</c:v>
                </c:pt>
                <c:pt idx="51">
                  <c:v>20.466661549999998</c:v>
                </c:pt>
                <c:pt idx="52">
                  <c:v>16.746662479999998</c:v>
                </c:pt>
                <c:pt idx="53">
                  <c:v>14.519996369999999</c:v>
                </c:pt>
                <c:pt idx="54">
                  <c:v>13.026663409999999</c:v>
                </c:pt>
                <c:pt idx="55">
                  <c:v>11.946663679999999</c:v>
                </c:pt>
                <c:pt idx="56">
                  <c:v>11.106663889999998</c:v>
                </c:pt>
                <c:pt idx="57">
                  <c:v>10.45333072</c:v>
                </c:pt>
                <c:pt idx="58">
                  <c:v>9.9466641799999991</c:v>
                </c:pt>
                <c:pt idx="59">
                  <c:v>9.5333309499999999</c:v>
                </c:pt>
                <c:pt idx="60">
                  <c:v>9.1999976999999991</c:v>
                </c:pt>
                <c:pt idx="61">
                  <c:v>8.9333310999999984</c:v>
                </c:pt>
                <c:pt idx="62">
                  <c:v>8.6799978299999978</c:v>
                </c:pt>
                <c:pt idx="63">
                  <c:v>8.453331219999999</c:v>
                </c:pt>
                <c:pt idx="64">
                  <c:v>8.2799979299999986</c:v>
                </c:pt>
                <c:pt idx="65">
                  <c:v>8.1333313</c:v>
                </c:pt>
                <c:pt idx="66">
                  <c:v>8.0133313299999998</c:v>
                </c:pt>
                <c:pt idx="67">
                  <c:v>7.9066646899999986</c:v>
                </c:pt>
                <c:pt idx="68">
                  <c:v>7.8133313799999993</c:v>
                </c:pt>
                <c:pt idx="69">
                  <c:v>7.7333313999999991</c:v>
                </c:pt>
                <c:pt idx="70">
                  <c:v>7.6533314199999989</c:v>
                </c:pt>
                <c:pt idx="71">
                  <c:v>7.5866647699999987</c:v>
                </c:pt>
                <c:pt idx="72">
                  <c:v>7.5199981199999995</c:v>
                </c:pt>
                <c:pt idx="73">
                  <c:v>7.4666647999999993</c:v>
                </c:pt>
                <c:pt idx="74">
                  <c:v>7.3999981499999992</c:v>
                </c:pt>
                <c:pt idx="75">
                  <c:v>7.35999816</c:v>
                </c:pt>
                <c:pt idx="76">
                  <c:v>7.3066648399999989</c:v>
                </c:pt>
                <c:pt idx="77">
                  <c:v>7.2666648499999997</c:v>
                </c:pt>
                <c:pt idx="78">
                  <c:v>7.2266648599999996</c:v>
                </c:pt>
                <c:pt idx="79">
                  <c:v>7.1999981999999996</c:v>
                </c:pt>
                <c:pt idx="80">
                  <c:v>7.1599982099999995</c:v>
                </c:pt>
                <c:pt idx="81">
                  <c:v>7.1333315499999994</c:v>
                </c:pt>
                <c:pt idx="82">
                  <c:v>7.1066648899999993</c:v>
                </c:pt>
                <c:pt idx="83">
                  <c:v>7.0799982299999993</c:v>
                </c:pt>
                <c:pt idx="84">
                  <c:v>7.0666648999999992</c:v>
                </c:pt>
                <c:pt idx="85">
                  <c:v>7.0399982399999992</c:v>
                </c:pt>
                <c:pt idx="86">
                  <c:v>7.02666491</c:v>
                </c:pt>
                <c:pt idx="87">
                  <c:v>7.0133315799999991</c:v>
                </c:pt>
                <c:pt idx="88">
                  <c:v>6.9866649199999991</c:v>
                </c:pt>
                <c:pt idx="89">
                  <c:v>6.973331589999999</c:v>
                </c:pt>
                <c:pt idx="90">
                  <c:v>6.973331589999999</c:v>
                </c:pt>
                <c:pt idx="91">
                  <c:v>6.9599982599999999</c:v>
                </c:pt>
                <c:pt idx="92">
                  <c:v>6.9466649299999998</c:v>
                </c:pt>
                <c:pt idx="93">
                  <c:v>6.9466649299999998</c:v>
                </c:pt>
                <c:pt idx="94">
                  <c:v>6.9333315999999989</c:v>
                </c:pt>
                <c:pt idx="95">
                  <c:v>6.9333315999999989</c:v>
                </c:pt>
                <c:pt idx="96">
                  <c:v>6.9199982699999989</c:v>
                </c:pt>
                <c:pt idx="97">
                  <c:v>6.9199982699999989</c:v>
                </c:pt>
                <c:pt idx="98">
                  <c:v>6.9199982699999989</c:v>
                </c:pt>
                <c:pt idx="99">
                  <c:v>6.9199982699999989</c:v>
                </c:pt>
                <c:pt idx="100">
                  <c:v>6.9199982699999989</c:v>
                </c:pt>
                <c:pt idx="101">
                  <c:v>6.9199982699999989</c:v>
                </c:pt>
                <c:pt idx="102">
                  <c:v>6.9199982699999989</c:v>
                </c:pt>
                <c:pt idx="103">
                  <c:v>6.9333315999999989</c:v>
                </c:pt>
                <c:pt idx="104">
                  <c:v>6.9333315999999989</c:v>
                </c:pt>
                <c:pt idx="105">
                  <c:v>6.9466649299999998</c:v>
                </c:pt>
                <c:pt idx="106">
                  <c:v>6.9466649299999998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16-4AE2-8DFB-972030590746}"/>
            </c:ext>
          </c:extLst>
        </c:ser>
        <c:ser>
          <c:idx val="8"/>
          <c:order val="8"/>
          <c:tx>
            <c:v>90ml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'10-100ml'!$BK$3:$BK$109</c:f>
              <c:numCache>
                <c:formatCode>General</c:formatCode>
                <c:ptCount val="107"/>
                <c:pt idx="0">
                  <c:v>0.18666661999999998</c:v>
                </c:pt>
                <c:pt idx="1">
                  <c:v>0.23999993999999999</c:v>
                </c:pt>
                <c:pt idx="2">
                  <c:v>0.31999991999999994</c:v>
                </c:pt>
                <c:pt idx="3">
                  <c:v>0.38666656999999993</c:v>
                </c:pt>
                <c:pt idx="4">
                  <c:v>0.45333321999999993</c:v>
                </c:pt>
                <c:pt idx="5">
                  <c:v>0.51999986999999992</c:v>
                </c:pt>
                <c:pt idx="6">
                  <c:v>0.61333317999999992</c:v>
                </c:pt>
                <c:pt idx="7">
                  <c:v>0.77333313999999986</c:v>
                </c:pt>
                <c:pt idx="8">
                  <c:v>0.98666641999999993</c:v>
                </c:pt>
                <c:pt idx="9">
                  <c:v>1.30666634</c:v>
                </c:pt>
                <c:pt idx="10">
                  <c:v>1.9733328399999999</c:v>
                </c:pt>
                <c:pt idx="11">
                  <c:v>3.4533324699999994</c:v>
                </c:pt>
                <c:pt idx="12">
                  <c:v>6.1599984599999997</c:v>
                </c:pt>
                <c:pt idx="13">
                  <c:v>12.55999686</c:v>
                </c:pt>
                <c:pt idx="14">
                  <c:v>25.519993619999997</c:v>
                </c:pt>
                <c:pt idx="15">
                  <c:v>39.693323409999998</c:v>
                </c:pt>
                <c:pt idx="16">
                  <c:v>54.399986399999996</c:v>
                </c:pt>
                <c:pt idx="17">
                  <c:v>69.879982529999992</c:v>
                </c:pt>
                <c:pt idx="18">
                  <c:v>85.226645359999992</c:v>
                </c:pt>
                <c:pt idx="19">
                  <c:v>97.999975499999991</c:v>
                </c:pt>
                <c:pt idx="20">
                  <c:v>105.87997352999999</c:v>
                </c:pt>
                <c:pt idx="21">
                  <c:v>110.67997233</c:v>
                </c:pt>
                <c:pt idx="22">
                  <c:v>114.54663803</c:v>
                </c:pt>
                <c:pt idx="23">
                  <c:v>117.31997066999999</c:v>
                </c:pt>
                <c:pt idx="24">
                  <c:v>119.18663686999999</c:v>
                </c:pt>
                <c:pt idx="25">
                  <c:v>121.30663633999998</c:v>
                </c:pt>
                <c:pt idx="26">
                  <c:v>124.01330232999999</c:v>
                </c:pt>
                <c:pt idx="27">
                  <c:v>127.49330146</c:v>
                </c:pt>
                <c:pt idx="28">
                  <c:v>130.62663401</c:v>
                </c:pt>
                <c:pt idx="29">
                  <c:v>133.14663338</c:v>
                </c:pt>
                <c:pt idx="30">
                  <c:v>134.74663297999999</c:v>
                </c:pt>
                <c:pt idx="31">
                  <c:v>136.02663265999999</c:v>
                </c:pt>
                <c:pt idx="32">
                  <c:v>137.99996549999997</c:v>
                </c:pt>
                <c:pt idx="33">
                  <c:v>141.09329806</c:v>
                </c:pt>
                <c:pt idx="34">
                  <c:v>144.35996391</c:v>
                </c:pt>
                <c:pt idx="35">
                  <c:v>145.23996368999997</c:v>
                </c:pt>
                <c:pt idx="36">
                  <c:v>139.54663177999998</c:v>
                </c:pt>
                <c:pt idx="37">
                  <c:v>131.59996709999999</c:v>
                </c:pt>
                <c:pt idx="38">
                  <c:v>124.67996882999999</c:v>
                </c:pt>
                <c:pt idx="39">
                  <c:v>118.67997032999999</c:v>
                </c:pt>
                <c:pt idx="40">
                  <c:v>113.41330497999999</c:v>
                </c:pt>
                <c:pt idx="41">
                  <c:v>108.71997281999998</c:v>
                </c:pt>
                <c:pt idx="42">
                  <c:v>104.43997388999999</c:v>
                </c:pt>
                <c:pt idx="43">
                  <c:v>100.46664154999999</c:v>
                </c:pt>
                <c:pt idx="44">
                  <c:v>96.639975839999991</c:v>
                </c:pt>
                <c:pt idx="45">
                  <c:v>91.733310399999993</c:v>
                </c:pt>
                <c:pt idx="46">
                  <c:v>80.533313199999995</c:v>
                </c:pt>
                <c:pt idx="47">
                  <c:v>62.399984399999994</c:v>
                </c:pt>
                <c:pt idx="48">
                  <c:v>42.25332276999999</c:v>
                </c:pt>
                <c:pt idx="49">
                  <c:v>27.013326579999998</c:v>
                </c:pt>
                <c:pt idx="50">
                  <c:v>18.866661949999997</c:v>
                </c:pt>
                <c:pt idx="51">
                  <c:v>14.65332967</c:v>
                </c:pt>
                <c:pt idx="52">
                  <c:v>12.146663629999997</c:v>
                </c:pt>
                <c:pt idx="53">
                  <c:v>10.466664049999999</c:v>
                </c:pt>
                <c:pt idx="54">
                  <c:v>9.2799976799999992</c:v>
                </c:pt>
                <c:pt idx="55">
                  <c:v>8.3999978999999989</c:v>
                </c:pt>
                <c:pt idx="56">
                  <c:v>7.719998069999999</c:v>
                </c:pt>
                <c:pt idx="57">
                  <c:v>7.1999981999999996</c:v>
                </c:pt>
                <c:pt idx="58">
                  <c:v>6.7866649699999995</c:v>
                </c:pt>
                <c:pt idx="59">
                  <c:v>6.4533317199999995</c:v>
                </c:pt>
                <c:pt idx="60">
                  <c:v>6.239998439999999</c:v>
                </c:pt>
                <c:pt idx="61">
                  <c:v>6.1333317999999997</c:v>
                </c:pt>
                <c:pt idx="62">
                  <c:v>6.0399984899999994</c:v>
                </c:pt>
                <c:pt idx="63">
                  <c:v>5.9733318399999993</c:v>
                </c:pt>
                <c:pt idx="64">
                  <c:v>5.9199985199999992</c:v>
                </c:pt>
                <c:pt idx="65">
                  <c:v>5.8666651999999999</c:v>
                </c:pt>
                <c:pt idx="66">
                  <c:v>5.839998539999999</c:v>
                </c:pt>
                <c:pt idx="67">
                  <c:v>5.7999985499999998</c:v>
                </c:pt>
                <c:pt idx="68">
                  <c:v>5.7733318899999988</c:v>
                </c:pt>
                <c:pt idx="69">
                  <c:v>5.7333318999999996</c:v>
                </c:pt>
                <c:pt idx="70">
                  <c:v>5.7199985699999996</c:v>
                </c:pt>
                <c:pt idx="71">
                  <c:v>5.6933319099999995</c:v>
                </c:pt>
                <c:pt idx="72">
                  <c:v>5.6799985799999995</c:v>
                </c:pt>
                <c:pt idx="73">
                  <c:v>5.6533319199999994</c:v>
                </c:pt>
                <c:pt idx="74">
                  <c:v>5.6399985899999994</c:v>
                </c:pt>
                <c:pt idx="75">
                  <c:v>5.6266652600000002</c:v>
                </c:pt>
                <c:pt idx="76">
                  <c:v>5.6133319299999993</c:v>
                </c:pt>
                <c:pt idx="77">
                  <c:v>5.5999985999999993</c:v>
                </c:pt>
                <c:pt idx="78">
                  <c:v>5.5866652699999992</c:v>
                </c:pt>
                <c:pt idx="79">
                  <c:v>5.5866652699999992</c:v>
                </c:pt>
                <c:pt idx="80">
                  <c:v>5.5733319399999992</c:v>
                </c:pt>
                <c:pt idx="81">
                  <c:v>5.5733319399999992</c:v>
                </c:pt>
                <c:pt idx="82">
                  <c:v>5.5733319399999992</c:v>
                </c:pt>
                <c:pt idx="83">
                  <c:v>5.5599986100000001</c:v>
                </c:pt>
                <c:pt idx="84">
                  <c:v>5.5599986100000001</c:v>
                </c:pt>
                <c:pt idx="85">
                  <c:v>5.5599986100000001</c:v>
                </c:pt>
                <c:pt idx="86">
                  <c:v>5.5599986100000001</c:v>
                </c:pt>
                <c:pt idx="87">
                  <c:v>5.5599986100000001</c:v>
                </c:pt>
                <c:pt idx="88">
                  <c:v>5.5599986100000001</c:v>
                </c:pt>
                <c:pt idx="89">
                  <c:v>5.5599986100000001</c:v>
                </c:pt>
                <c:pt idx="90">
                  <c:v>5.5599986100000001</c:v>
                </c:pt>
                <c:pt idx="91">
                  <c:v>5.5599986100000001</c:v>
                </c:pt>
                <c:pt idx="92">
                  <c:v>5.5599986100000001</c:v>
                </c:pt>
                <c:pt idx="93">
                  <c:v>5.5733319399999992</c:v>
                </c:pt>
                <c:pt idx="94">
                  <c:v>5.5733319399999992</c:v>
                </c:pt>
                <c:pt idx="95">
                  <c:v>5.5866652699999992</c:v>
                </c:pt>
                <c:pt idx="96">
                  <c:v>5.5866652699999992</c:v>
                </c:pt>
                <c:pt idx="97">
                  <c:v>5.5866652699999992</c:v>
                </c:pt>
                <c:pt idx="98">
                  <c:v>5.5999985999999993</c:v>
                </c:pt>
                <c:pt idx="99">
                  <c:v>5.5999985999999993</c:v>
                </c:pt>
                <c:pt idx="100">
                  <c:v>5.6133319299999993</c:v>
                </c:pt>
                <c:pt idx="101">
                  <c:v>5.6133319299999993</c:v>
                </c:pt>
                <c:pt idx="102">
                  <c:v>5.6266652600000002</c:v>
                </c:pt>
                <c:pt idx="103">
                  <c:v>5.6266652600000002</c:v>
                </c:pt>
                <c:pt idx="104">
                  <c:v>5.6399985899999994</c:v>
                </c:pt>
                <c:pt idx="105">
                  <c:v>5.6399985899999994</c:v>
                </c:pt>
                <c:pt idx="106">
                  <c:v>5.6533319199999994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B16-4AE2-8DFB-972030590746}"/>
            </c:ext>
          </c:extLst>
        </c:ser>
        <c:ser>
          <c:idx val="9"/>
          <c:order val="9"/>
          <c:tx>
            <c:v>100ml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'10-100ml'!$AS$3:$AS$109</c:f>
              <c:numCache>
                <c:formatCode>General</c:formatCode>
                <c:ptCount val="10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</c:numCache>
            </c:numRef>
          </c:xVal>
          <c:yVal>
            <c:numRef>
              <c:f>'10-100ml'!$BM$3:$BM$109</c:f>
              <c:numCache>
                <c:formatCode>General</c:formatCode>
                <c:ptCount val="107"/>
                <c:pt idx="0">
                  <c:v>0.37333323999999996</c:v>
                </c:pt>
                <c:pt idx="1">
                  <c:v>0.43999988999999995</c:v>
                </c:pt>
                <c:pt idx="2">
                  <c:v>0.49333320999999997</c:v>
                </c:pt>
                <c:pt idx="3">
                  <c:v>0.53333319999999995</c:v>
                </c:pt>
                <c:pt idx="4">
                  <c:v>0.55999986000000002</c:v>
                </c:pt>
                <c:pt idx="5">
                  <c:v>0.58666651999999997</c:v>
                </c:pt>
                <c:pt idx="6">
                  <c:v>0.62666650999999995</c:v>
                </c:pt>
                <c:pt idx="7">
                  <c:v>0.86666644999999987</c:v>
                </c:pt>
                <c:pt idx="8">
                  <c:v>1.9333328499999998</c:v>
                </c:pt>
                <c:pt idx="9">
                  <c:v>4.1866656199999994</c:v>
                </c:pt>
                <c:pt idx="10">
                  <c:v>7.3866648199999991</c:v>
                </c:pt>
                <c:pt idx="11">
                  <c:v>14.919996269999999</c:v>
                </c:pt>
                <c:pt idx="12">
                  <c:v>31.693325409999996</c:v>
                </c:pt>
                <c:pt idx="13">
                  <c:v>44.866655449999996</c:v>
                </c:pt>
                <c:pt idx="14">
                  <c:v>54.466653049999998</c:v>
                </c:pt>
                <c:pt idx="15">
                  <c:v>64.053317319999991</c:v>
                </c:pt>
                <c:pt idx="16">
                  <c:v>73.253315019999988</c:v>
                </c:pt>
                <c:pt idx="17">
                  <c:v>82.133312799999999</c:v>
                </c:pt>
                <c:pt idx="18">
                  <c:v>91.199977199999992</c:v>
                </c:pt>
                <c:pt idx="19">
                  <c:v>100.14664162999999</c:v>
                </c:pt>
                <c:pt idx="20">
                  <c:v>108.73330614999999</c:v>
                </c:pt>
                <c:pt idx="21">
                  <c:v>116.05330431999998</c:v>
                </c:pt>
                <c:pt idx="22">
                  <c:v>122.01330282999999</c:v>
                </c:pt>
                <c:pt idx="23">
                  <c:v>126.66663499999999</c:v>
                </c:pt>
                <c:pt idx="24">
                  <c:v>130.10663413999998</c:v>
                </c:pt>
                <c:pt idx="25">
                  <c:v>132.77330013999998</c:v>
                </c:pt>
                <c:pt idx="26">
                  <c:v>134.55996636</c:v>
                </c:pt>
                <c:pt idx="27">
                  <c:v>134.35996641</c:v>
                </c:pt>
                <c:pt idx="28">
                  <c:v>134.54663302999998</c:v>
                </c:pt>
                <c:pt idx="29">
                  <c:v>135.59996609999999</c:v>
                </c:pt>
                <c:pt idx="30">
                  <c:v>137.58663227</c:v>
                </c:pt>
                <c:pt idx="31">
                  <c:v>139.18663187000001</c:v>
                </c:pt>
                <c:pt idx="32">
                  <c:v>139.67996507999999</c:v>
                </c:pt>
                <c:pt idx="33">
                  <c:v>140.25329826999999</c:v>
                </c:pt>
                <c:pt idx="34">
                  <c:v>140.25329826999999</c:v>
                </c:pt>
                <c:pt idx="35">
                  <c:v>140.15996496</c:v>
                </c:pt>
                <c:pt idx="36">
                  <c:v>139.89329835999999</c:v>
                </c:pt>
                <c:pt idx="37">
                  <c:v>139.46663179999999</c:v>
                </c:pt>
                <c:pt idx="38">
                  <c:v>138.38663206999999</c:v>
                </c:pt>
                <c:pt idx="39">
                  <c:v>136.54663252999998</c:v>
                </c:pt>
                <c:pt idx="40">
                  <c:v>134.30663308999999</c:v>
                </c:pt>
                <c:pt idx="41">
                  <c:v>132.1333003</c:v>
                </c:pt>
                <c:pt idx="42">
                  <c:v>130.1333008</c:v>
                </c:pt>
                <c:pt idx="43">
                  <c:v>128.86663444999999</c:v>
                </c:pt>
                <c:pt idx="44">
                  <c:v>126.70663498999998</c:v>
                </c:pt>
                <c:pt idx="45">
                  <c:v>122.23996943999998</c:v>
                </c:pt>
                <c:pt idx="46">
                  <c:v>108.62663950999999</c:v>
                </c:pt>
                <c:pt idx="47">
                  <c:v>98.733308649999998</c:v>
                </c:pt>
                <c:pt idx="48">
                  <c:v>96.879975779999995</c:v>
                </c:pt>
                <c:pt idx="49">
                  <c:v>95.733309399999996</c:v>
                </c:pt>
                <c:pt idx="50">
                  <c:v>94.479976379999997</c:v>
                </c:pt>
                <c:pt idx="51">
                  <c:v>93.06664339999999</c:v>
                </c:pt>
                <c:pt idx="52">
                  <c:v>91.439977139999982</c:v>
                </c:pt>
                <c:pt idx="53">
                  <c:v>89.399977649999997</c:v>
                </c:pt>
                <c:pt idx="54">
                  <c:v>85.066645399999999</c:v>
                </c:pt>
                <c:pt idx="55">
                  <c:v>69.573315939999986</c:v>
                </c:pt>
                <c:pt idx="56">
                  <c:v>51.826653709999995</c:v>
                </c:pt>
                <c:pt idx="57">
                  <c:v>41.853322869999992</c:v>
                </c:pt>
                <c:pt idx="58">
                  <c:v>27.399993149999997</c:v>
                </c:pt>
                <c:pt idx="59">
                  <c:v>18.266662099999998</c:v>
                </c:pt>
                <c:pt idx="60">
                  <c:v>15.35999616</c:v>
                </c:pt>
                <c:pt idx="61">
                  <c:v>14.213329779999999</c:v>
                </c:pt>
                <c:pt idx="62">
                  <c:v>13.98666317</c:v>
                </c:pt>
                <c:pt idx="63">
                  <c:v>13.91999652</c:v>
                </c:pt>
                <c:pt idx="64">
                  <c:v>13.839996539999998</c:v>
                </c:pt>
                <c:pt idx="65">
                  <c:v>13.746663229999998</c:v>
                </c:pt>
                <c:pt idx="66">
                  <c:v>13.653329919999999</c:v>
                </c:pt>
                <c:pt idx="67">
                  <c:v>13.333329999999998</c:v>
                </c:pt>
                <c:pt idx="68">
                  <c:v>9.3466643299999976</c:v>
                </c:pt>
                <c:pt idx="69">
                  <c:v>3.7199990699999996</c:v>
                </c:pt>
                <c:pt idx="70">
                  <c:v>3.0266659099999997</c:v>
                </c:pt>
                <c:pt idx="71">
                  <c:v>3.1599992099999996</c:v>
                </c:pt>
                <c:pt idx="72">
                  <c:v>3.2399991899999998</c:v>
                </c:pt>
                <c:pt idx="73">
                  <c:v>3.2799991799999999</c:v>
                </c:pt>
                <c:pt idx="74">
                  <c:v>3.3199991699999996</c:v>
                </c:pt>
                <c:pt idx="75">
                  <c:v>3.3466658300000001</c:v>
                </c:pt>
                <c:pt idx="76">
                  <c:v>3.3733324899999997</c:v>
                </c:pt>
                <c:pt idx="77">
                  <c:v>3.3866658199999997</c:v>
                </c:pt>
                <c:pt idx="78">
                  <c:v>3.4133324799999998</c:v>
                </c:pt>
                <c:pt idx="79">
                  <c:v>3.4266658099999998</c:v>
                </c:pt>
                <c:pt idx="80">
                  <c:v>3.4399991399999998</c:v>
                </c:pt>
                <c:pt idx="81">
                  <c:v>3.4399991399999998</c:v>
                </c:pt>
                <c:pt idx="82">
                  <c:v>3.4533324699999994</c:v>
                </c:pt>
                <c:pt idx="83">
                  <c:v>3.4666657999999995</c:v>
                </c:pt>
                <c:pt idx="84">
                  <c:v>3.4799991299999999</c:v>
                </c:pt>
                <c:pt idx="85">
                  <c:v>3.4799991299999999</c:v>
                </c:pt>
                <c:pt idx="86">
                  <c:v>3.4933324599999995</c:v>
                </c:pt>
                <c:pt idx="87">
                  <c:v>3.5066657899999996</c:v>
                </c:pt>
                <c:pt idx="88">
                  <c:v>3.5199991199999996</c:v>
                </c:pt>
                <c:pt idx="89">
                  <c:v>3.5199991199999996</c:v>
                </c:pt>
                <c:pt idx="90">
                  <c:v>3.5333324499999996</c:v>
                </c:pt>
                <c:pt idx="91">
                  <c:v>3.5466657799999997</c:v>
                </c:pt>
                <c:pt idx="92">
                  <c:v>3.5466657799999997</c:v>
                </c:pt>
                <c:pt idx="93">
                  <c:v>3.5599991099999997</c:v>
                </c:pt>
                <c:pt idx="94">
                  <c:v>3.5599991099999997</c:v>
                </c:pt>
                <c:pt idx="95">
                  <c:v>3.5733324399999997</c:v>
                </c:pt>
                <c:pt idx="96">
                  <c:v>3.5866657699999993</c:v>
                </c:pt>
                <c:pt idx="97">
                  <c:v>3.5999990999999998</c:v>
                </c:pt>
                <c:pt idx="98">
                  <c:v>3.5999990999999998</c:v>
                </c:pt>
                <c:pt idx="99">
                  <c:v>3.6133324299999998</c:v>
                </c:pt>
                <c:pt idx="100">
                  <c:v>3.6266657599999994</c:v>
                </c:pt>
                <c:pt idx="101">
                  <c:v>3.6266657599999994</c:v>
                </c:pt>
                <c:pt idx="102">
                  <c:v>3.6399990899999999</c:v>
                </c:pt>
                <c:pt idx="103">
                  <c:v>3.6533324199999995</c:v>
                </c:pt>
                <c:pt idx="104">
                  <c:v>3.6666657499999995</c:v>
                </c:pt>
                <c:pt idx="105">
                  <c:v>3.6666657499999995</c:v>
                </c:pt>
                <c:pt idx="106">
                  <c:v>3.67999908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16-4AE2-8DFB-972030590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944616"/>
        <c:axId val="847947856"/>
      </c:scatterChart>
      <c:valAx>
        <c:axId val="847944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Counter (9600 Baud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47856"/>
        <c:crosses val="autoZero"/>
        <c:crossBetween val="midCat"/>
      </c:valAx>
      <c:valAx>
        <c:axId val="8479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44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pump!$A$4:$A$232</c:f>
              <c:numCache>
                <c:formatCode>General</c:formatCode>
                <c:ptCount val="2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</c:numCache>
            </c:numRef>
          </c:xVal>
          <c:yVal>
            <c:numRef>
              <c:f>pump!$B$4:$B$232</c:f>
              <c:numCache>
                <c:formatCode>General</c:formatCode>
                <c:ptCount val="229"/>
                <c:pt idx="0">
                  <c:v>-121</c:v>
                </c:pt>
                <c:pt idx="1">
                  <c:v>-136.5</c:v>
                </c:pt>
                <c:pt idx="2">
                  <c:v>-151.4</c:v>
                </c:pt>
                <c:pt idx="3">
                  <c:v>-166.5</c:v>
                </c:pt>
                <c:pt idx="4">
                  <c:v>-181.4</c:v>
                </c:pt>
                <c:pt idx="5">
                  <c:v>-167.8</c:v>
                </c:pt>
                <c:pt idx="6">
                  <c:v>-118.7</c:v>
                </c:pt>
                <c:pt idx="7">
                  <c:v>-77.099999999999994</c:v>
                </c:pt>
                <c:pt idx="8">
                  <c:v>-44.5</c:v>
                </c:pt>
                <c:pt idx="9">
                  <c:v>-12.4</c:v>
                </c:pt>
                <c:pt idx="10">
                  <c:v>6.3</c:v>
                </c:pt>
                <c:pt idx="11">
                  <c:v>29.7</c:v>
                </c:pt>
                <c:pt idx="12">
                  <c:v>41.1</c:v>
                </c:pt>
                <c:pt idx="13">
                  <c:v>56</c:v>
                </c:pt>
                <c:pt idx="14">
                  <c:v>64.400000000000006</c:v>
                </c:pt>
                <c:pt idx="15">
                  <c:v>69.2</c:v>
                </c:pt>
                <c:pt idx="16">
                  <c:v>43.4</c:v>
                </c:pt>
                <c:pt idx="17">
                  <c:v>9.8000000000000007</c:v>
                </c:pt>
                <c:pt idx="18">
                  <c:v>-23.8</c:v>
                </c:pt>
                <c:pt idx="19">
                  <c:v>-52.6</c:v>
                </c:pt>
                <c:pt idx="20">
                  <c:v>-77.3</c:v>
                </c:pt>
                <c:pt idx="21">
                  <c:v>-98.4</c:v>
                </c:pt>
                <c:pt idx="22">
                  <c:v>-116.6</c:v>
                </c:pt>
                <c:pt idx="23">
                  <c:v>-132.5</c:v>
                </c:pt>
                <c:pt idx="24">
                  <c:v>-146.30000000000001</c:v>
                </c:pt>
                <c:pt idx="25">
                  <c:v>-158.6</c:v>
                </c:pt>
                <c:pt idx="26">
                  <c:v>-169.3</c:v>
                </c:pt>
                <c:pt idx="27">
                  <c:v>-170.1</c:v>
                </c:pt>
                <c:pt idx="28">
                  <c:v>-138.80000000000001</c:v>
                </c:pt>
                <c:pt idx="29">
                  <c:v>-101.4</c:v>
                </c:pt>
                <c:pt idx="30">
                  <c:v>-62.3</c:v>
                </c:pt>
                <c:pt idx="31">
                  <c:v>-30.3</c:v>
                </c:pt>
                <c:pt idx="32">
                  <c:v>-7.5</c:v>
                </c:pt>
                <c:pt idx="33">
                  <c:v>17.8</c:v>
                </c:pt>
                <c:pt idx="34">
                  <c:v>29.4</c:v>
                </c:pt>
                <c:pt idx="35">
                  <c:v>48.8</c:v>
                </c:pt>
                <c:pt idx="36">
                  <c:v>53.8</c:v>
                </c:pt>
                <c:pt idx="37">
                  <c:v>68.5</c:v>
                </c:pt>
                <c:pt idx="38">
                  <c:v>70.099999999999994</c:v>
                </c:pt>
                <c:pt idx="39">
                  <c:v>78.599999999999994</c:v>
                </c:pt>
                <c:pt idx="40">
                  <c:v>45.7</c:v>
                </c:pt>
                <c:pt idx="41">
                  <c:v>6.7</c:v>
                </c:pt>
                <c:pt idx="42">
                  <c:v>-26.6</c:v>
                </c:pt>
                <c:pt idx="43">
                  <c:v>-55.1</c:v>
                </c:pt>
                <c:pt idx="44">
                  <c:v>-79.400000000000006</c:v>
                </c:pt>
                <c:pt idx="45">
                  <c:v>-100.4</c:v>
                </c:pt>
                <c:pt idx="46">
                  <c:v>-118.4</c:v>
                </c:pt>
                <c:pt idx="47">
                  <c:v>-134.1</c:v>
                </c:pt>
                <c:pt idx="48">
                  <c:v>-147.69999999999999</c:v>
                </c:pt>
                <c:pt idx="49">
                  <c:v>-159.80000000000001</c:v>
                </c:pt>
                <c:pt idx="50">
                  <c:v>-170.5</c:v>
                </c:pt>
                <c:pt idx="51">
                  <c:v>-169.9</c:v>
                </c:pt>
                <c:pt idx="52">
                  <c:v>-126.8</c:v>
                </c:pt>
                <c:pt idx="53">
                  <c:v>-86.7</c:v>
                </c:pt>
                <c:pt idx="54">
                  <c:v>-48.3</c:v>
                </c:pt>
                <c:pt idx="55">
                  <c:v>-19.7</c:v>
                </c:pt>
                <c:pt idx="56">
                  <c:v>3.5</c:v>
                </c:pt>
                <c:pt idx="57">
                  <c:v>25.9</c:v>
                </c:pt>
                <c:pt idx="58">
                  <c:v>37.5</c:v>
                </c:pt>
                <c:pt idx="59">
                  <c:v>55.7</c:v>
                </c:pt>
                <c:pt idx="60">
                  <c:v>59.8</c:v>
                </c:pt>
                <c:pt idx="61">
                  <c:v>73.900000000000006</c:v>
                </c:pt>
                <c:pt idx="62">
                  <c:v>54.8</c:v>
                </c:pt>
                <c:pt idx="63">
                  <c:v>21.7</c:v>
                </c:pt>
                <c:pt idx="64">
                  <c:v>-13.5</c:v>
                </c:pt>
                <c:pt idx="65">
                  <c:v>-44.3</c:v>
                </c:pt>
                <c:pt idx="66">
                  <c:v>-70.599999999999994</c:v>
                </c:pt>
                <c:pt idx="67">
                  <c:v>-93.1</c:v>
                </c:pt>
                <c:pt idx="68">
                  <c:v>-112.4</c:v>
                </c:pt>
                <c:pt idx="69">
                  <c:v>-129.1</c:v>
                </c:pt>
                <c:pt idx="70">
                  <c:v>-143.6</c:v>
                </c:pt>
                <c:pt idx="71">
                  <c:v>-156.19999999999999</c:v>
                </c:pt>
                <c:pt idx="72">
                  <c:v>-167.4</c:v>
                </c:pt>
                <c:pt idx="73">
                  <c:v>-174.9</c:v>
                </c:pt>
                <c:pt idx="74">
                  <c:v>-154.80000000000001</c:v>
                </c:pt>
                <c:pt idx="75">
                  <c:v>-118.6</c:v>
                </c:pt>
                <c:pt idx="76">
                  <c:v>-75.5</c:v>
                </c:pt>
                <c:pt idx="77">
                  <c:v>-44</c:v>
                </c:pt>
                <c:pt idx="78">
                  <c:v>-13.6</c:v>
                </c:pt>
                <c:pt idx="79">
                  <c:v>9.5</c:v>
                </c:pt>
                <c:pt idx="80">
                  <c:v>26.7</c:v>
                </c:pt>
                <c:pt idx="81">
                  <c:v>45.3</c:v>
                </c:pt>
                <c:pt idx="82">
                  <c:v>52.7</c:v>
                </c:pt>
                <c:pt idx="83">
                  <c:v>68.400000000000006</c:v>
                </c:pt>
                <c:pt idx="84">
                  <c:v>70</c:v>
                </c:pt>
                <c:pt idx="85">
                  <c:v>81.900000000000006</c:v>
                </c:pt>
                <c:pt idx="86">
                  <c:v>54.9</c:v>
                </c:pt>
                <c:pt idx="87">
                  <c:v>13.8</c:v>
                </c:pt>
                <c:pt idx="88">
                  <c:v>-19.899999999999999</c:v>
                </c:pt>
                <c:pt idx="89">
                  <c:v>-48.2</c:v>
                </c:pt>
                <c:pt idx="90">
                  <c:v>-72.599999999999994</c:v>
                </c:pt>
                <c:pt idx="91">
                  <c:v>-93.9</c:v>
                </c:pt>
                <c:pt idx="92">
                  <c:v>-112.4</c:v>
                </c:pt>
                <c:pt idx="93">
                  <c:v>-128.9</c:v>
                </c:pt>
                <c:pt idx="94">
                  <c:v>-144.1</c:v>
                </c:pt>
                <c:pt idx="95">
                  <c:v>-158.80000000000001</c:v>
                </c:pt>
                <c:pt idx="96">
                  <c:v>-174</c:v>
                </c:pt>
                <c:pt idx="97">
                  <c:v>-186.3</c:v>
                </c:pt>
                <c:pt idx="98">
                  <c:v>-158.80000000000001</c:v>
                </c:pt>
                <c:pt idx="99">
                  <c:v>-112.4</c:v>
                </c:pt>
                <c:pt idx="100">
                  <c:v>-69.900000000000006</c:v>
                </c:pt>
                <c:pt idx="101">
                  <c:v>-39.700000000000003</c:v>
                </c:pt>
                <c:pt idx="102">
                  <c:v>-8.9</c:v>
                </c:pt>
                <c:pt idx="103">
                  <c:v>11.4</c:v>
                </c:pt>
                <c:pt idx="104">
                  <c:v>30.1</c:v>
                </c:pt>
                <c:pt idx="105">
                  <c:v>46</c:v>
                </c:pt>
                <c:pt idx="106">
                  <c:v>54.6</c:v>
                </c:pt>
                <c:pt idx="107">
                  <c:v>68.2</c:v>
                </c:pt>
                <c:pt idx="108">
                  <c:v>62.6</c:v>
                </c:pt>
                <c:pt idx="109">
                  <c:v>37</c:v>
                </c:pt>
                <c:pt idx="110">
                  <c:v>1.9</c:v>
                </c:pt>
                <c:pt idx="111">
                  <c:v>-31.8</c:v>
                </c:pt>
                <c:pt idx="112">
                  <c:v>-60.3</c:v>
                </c:pt>
                <c:pt idx="113">
                  <c:v>-84.7</c:v>
                </c:pt>
                <c:pt idx="114">
                  <c:v>-105.7</c:v>
                </c:pt>
                <c:pt idx="115">
                  <c:v>-123.6</c:v>
                </c:pt>
                <c:pt idx="116">
                  <c:v>-139</c:v>
                </c:pt>
                <c:pt idx="117">
                  <c:v>-152.5</c:v>
                </c:pt>
                <c:pt idx="118">
                  <c:v>-164.4</c:v>
                </c:pt>
                <c:pt idx="119">
                  <c:v>-174.5</c:v>
                </c:pt>
                <c:pt idx="120">
                  <c:v>-168.1</c:v>
                </c:pt>
                <c:pt idx="121">
                  <c:v>-134.1</c:v>
                </c:pt>
                <c:pt idx="122">
                  <c:v>-93.2</c:v>
                </c:pt>
                <c:pt idx="123">
                  <c:v>-57.8</c:v>
                </c:pt>
                <c:pt idx="124">
                  <c:v>-23.5</c:v>
                </c:pt>
                <c:pt idx="125">
                  <c:v>-3.3</c:v>
                </c:pt>
                <c:pt idx="126">
                  <c:v>21.4</c:v>
                </c:pt>
                <c:pt idx="127">
                  <c:v>34.799999999999997</c:v>
                </c:pt>
                <c:pt idx="128">
                  <c:v>50.1</c:v>
                </c:pt>
                <c:pt idx="129">
                  <c:v>60.4</c:v>
                </c:pt>
                <c:pt idx="130">
                  <c:v>68.2</c:v>
                </c:pt>
                <c:pt idx="131">
                  <c:v>77.400000000000006</c:v>
                </c:pt>
                <c:pt idx="132">
                  <c:v>69</c:v>
                </c:pt>
                <c:pt idx="133">
                  <c:v>27.1</c:v>
                </c:pt>
                <c:pt idx="134">
                  <c:v>-9.6</c:v>
                </c:pt>
                <c:pt idx="135">
                  <c:v>-40</c:v>
                </c:pt>
                <c:pt idx="136">
                  <c:v>-66</c:v>
                </c:pt>
                <c:pt idx="137">
                  <c:v>-88.5</c:v>
                </c:pt>
                <c:pt idx="138">
                  <c:v>-108.1</c:v>
                </c:pt>
                <c:pt idx="139">
                  <c:v>-125.3</c:v>
                </c:pt>
                <c:pt idx="140">
                  <c:v>-140.9</c:v>
                </c:pt>
                <c:pt idx="141">
                  <c:v>-155.6</c:v>
                </c:pt>
                <c:pt idx="142">
                  <c:v>-170.4</c:v>
                </c:pt>
                <c:pt idx="143">
                  <c:v>-185.5</c:v>
                </c:pt>
                <c:pt idx="144">
                  <c:v>-178.4</c:v>
                </c:pt>
                <c:pt idx="145">
                  <c:v>-130.5</c:v>
                </c:pt>
                <c:pt idx="146">
                  <c:v>-88.7</c:v>
                </c:pt>
                <c:pt idx="147">
                  <c:v>-53</c:v>
                </c:pt>
                <c:pt idx="148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F0-4E4E-A9CF-BC5F4FF488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pump!$A$4:$A$232</c:f>
              <c:numCache>
                <c:formatCode>General</c:formatCode>
                <c:ptCount val="2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</c:numCache>
            </c:numRef>
          </c:xVal>
          <c:yVal>
            <c:numRef>
              <c:f>pump!$C$4:$C$232</c:f>
              <c:numCache>
                <c:formatCode>General</c:formatCode>
                <c:ptCount val="229"/>
                <c:pt idx="0">
                  <c:v>-113.7</c:v>
                </c:pt>
                <c:pt idx="1">
                  <c:v>-162.5</c:v>
                </c:pt>
                <c:pt idx="2">
                  <c:v>-209.9</c:v>
                </c:pt>
                <c:pt idx="3">
                  <c:v>-255.2</c:v>
                </c:pt>
                <c:pt idx="4">
                  <c:v>-297.89999999999998</c:v>
                </c:pt>
                <c:pt idx="5">
                  <c:v>-337.5</c:v>
                </c:pt>
                <c:pt idx="6">
                  <c:v>-373.9</c:v>
                </c:pt>
                <c:pt idx="7">
                  <c:v>-407.2</c:v>
                </c:pt>
                <c:pt idx="8">
                  <c:v>-431.6</c:v>
                </c:pt>
                <c:pt idx="9">
                  <c:v>-401.5</c:v>
                </c:pt>
                <c:pt idx="10">
                  <c:v>-305.5</c:v>
                </c:pt>
                <c:pt idx="11">
                  <c:v>-216.3</c:v>
                </c:pt>
                <c:pt idx="12">
                  <c:v>-150.80000000000001</c:v>
                </c:pt>
                <c:pt idx="13">
                  <c:v>-101.9</c:v>
                </c:pt>
                <c:pt idx="14">
                  <c:v>-65.2</c:v>
                </c:pt>
                <c:pt idx="15">
                  <c:v>-36.9</c:v>
                </c:pt>
                <c:pt idx="16">
                  <c:v>-14.5</c:v>
                </c:pt>
                <c:pt idx="17">
                  <c:v>3.4</c:v>
                </c:pt>
                <c:pt idx="18">
                  <c:v>17.8</c:v>
                </c:pt>
                <c:pt idx="19">
                  <c:v>29.4</c:v>
                </c:pt>
                <c:pt idx="20">
                  <c:v>38.6</c:v>
                </c:pt>
                <c:pt idx="21">
                  <c:v>34</c:v>
                </c:pt>
                <c:pt idx="22">
                  <c:v>-8.8000000000000007</c:v>
                </c:pt>
                <c:pt idx="23">
                  <c:v>-61.5</c:v>
                </c:pt>
                <c:pt idx="24">
                  <c:v>-111.9</c:v>
                </c:pt>
                <c:pt idx="25">
                  <c:v>-160.69999999999999</c:v>
                </c:pt>
                <c:pt idx="26">
                  <c:v>-208.2</c:v>
                </c:pt>
                <c:pt idx="27">
                  <c:v>-253.7</c:v>
                </c:pt>
                <c:pt idx="28">
                  <c:v>-296.60000000000002</c:v>
                </c:pt>
                <c:pt idx="29">
                  <c:v>-336.5</c:v>
                </c:pt>
                <c:pt idx="30">
                  <c:v>-373</c:v>
                </c:pt>
                <c:pt idx="31">
                  <c:v>-406.4</c:v>
                </c:pt>
                <c:pt idx="32">
                  <c:v>-435.1</c:v>
                </c:pt>
                <c:pt idx="33">
                  <c:v>-418</c:v>
                </c:pt>
                <c:pt idx="34">
                  <c:v>-320.3</c:v>
                </c:pt>
                <c:pt idx="35">
                  <c:v>-227.2</c:v>
                </c:pt>
                <c:pt idx="36">
                  <c:v>-159.30000000000001</c:v>
                </c:pt>
                <c:pt idx="37">
                  <c:v>-109</c:v>
                </c:pt>
                <c:pt idx="38">
                  <c:v>-71.3</c:v>
                </c:pt>
                <c:pt idx="39">
                  <c:v>-42.3</c:v>
                </c:pt>
                <c:pt idx="40">
                  <c:v>-19.600000000000001</c:v>
                </c:pt>
                <c:pt idx="41">
                  <c:v>-1.5</c:v>
                </c:pt>
                <c:pt idx="42">
                  <c:v>13.1</c:v>
                </c:pt>
                <c:pt idx="43">
                  <c:v>24.8</c:v>
                </c:pt>
                <c:pt idx="44">
                  <c:v>33.4</c:v>
                </c:pt>
                <c:pt idx="45">
                  <c:v>22.7</c:v>
                </c:pt>
                <c:pt idx="46">
                  <c:v>-23.8</c:v>
                </c:pt>
                <c:pt idx="47">
                  <c:v>-76</c:v>
                </c:pt>
                <c:pt idx="48">
                  <c:v>-126</c:v>
                </c:pt>
                <c:pt idx="49">
                  <c:v>-174.5</c:v>
                </c:pt>
                <c:pt idx="50">
                  <c:v>-221.6</c:v>
                </c:pt>
                <c:pt idx="51">
                  <c:v>-266.39999999999998</c:v>
                </c:pt>
                <c:pt idx="52">
                  <c:v>-308.5</c:v>
                </c:pt>
                <c:pt idx="53">
                  <c:v>-347.5</c:v>
                </c:pt>
                <c:pt idx="54">
                  <c:v>-383.2</c:v>
                </c:pt>
                <c:pt idx="55">
                  <c:v>-415.7</c:v>
                </c:pt>
                <c:pt idx="56">
                  <c:v>-440</c:v>
                </c:pt>
                <c:pt idx="57">
                  <c:v>-402.5</c:v>
                </c:pt>
                <c:pt idx="58">
                  <c:v>-301.60000000000002</c:v>
                </c:pt>
                <c:pt idx="59">
                  <c:v>-214.9</c:v>
                </c:pt>
                <c:pt idx="60">
                  <c:v>-151.1</c:v>
                </c:pt>
                <c:pt idx="61">
                  <c:v>-103.9</c:v>
                </c:pt>
                <c:pt idx="62">
                  <c:v>-68.2</c:v>
                </c:pt>
                <c:pt idx="63">
                  <c:v>-40.6</c:v>
                </c:pt>
                <c:pt idx="64">
                  <c:v>-18.8</c:v>
                </c:pt>
                <c:pt idx="65">
                  <c:v>-1.4</c:v>
                </c:pt>
                <c:pt idx="66">
                  <c:v>12.5</c:v>
                </c:pt>
                <c:pt idx="67">
                  <c:v>23.3</c:v>
                </c:pt>
                <c:pt idx="68">
                  <c:v>31.3</c:v>
                </c:pt>
                <c:pt idx="69">
                  <c:v>25.1</c:v>
                </c:pt>
                <c:pt idx="70">
                  <c:v>-13.5</c:v>
                </c:pt>
                <c:pt idx="71">
                  <c:v>-65.099999999999994</c:v>
                </c:pt>
                <c:pt idx="72">
                  <c:v>-115.2</c:v>
                </c:pt>
                <c:pt idx="73">
                  <c:v>-163.80000000000001</c:v>
                </c:pt>
                <c:pt idx="74">
                  <c:v>-211.1</c:v>
                </c:pt>
                <c:pt idx="75">
                  <c:v>-256.39999999999998</c:v>
                </c:pt>
                <c:pt idx="76">
                  <c:v>-299.2</c:v>
                </c:pt>
                <c:pt idx="77">
                  <c:v>-338.9</c:v>
                </c:pt>
                <c:pt idx="78">
                  <c:v>-375.3</c:v>
                </c:pt>
                <c:pt idx="79">
                  <c:v>-408.5</c:v>
                </c:pt>
                <c:pt idx="80">
                  <c:v>-435.7</c:v>
                </c:pt>
                <c:pt idx="81">
                  <c:v>-419.7</c:v>
                </c:pt>
                <c:pt idx="82">
                  <c:v>-330.4</c:v>
                </c:pt>
                <c:pt idx="83">
                  <c:v>-236.8</c:v>
                </c:pt>
                <c:pt idx="84">
                  <c:v>-168</c:v>
                </c:pt>
                <c:pt idx="85">
                  <c:v>-117.3</c:v>
                </c:pt>
                <c:pt idx="86">
                  <c:v>-79.2</c:v>
                </c:pt>
                <c:pt idx="87">
                  <c:v>-50.3</c:v>
                </c:pt>
                <c:pt idx="88">
                  <c:v>-27.6</c:v>
                </c:pt>
                <c:pt idx="89">
                  <c:v>-9.4</c:v>
                </c:pt>
                <c:pt idx="90">
                  <c:v>5.0999999999999996</c:v>
                </c:pt>
                <c:pt idx="91">
                  <c:v>16.600000000000001</c:v>
                </c:pt>
                <c:pt idx="92">
                  <c:v>25.8</c:v>
                </c:pt>
                <c:pt idx="93">
                  <c:v>25.9</c:v>
                </c:pt>
                <c:pt idx="94">
                  <c:v>-9.8000000000000007</c:v>
                </c:pt>
                <c:pt idx="95">
                  <c:v>-61.8</c:v>
                </c:pt>
                <c:pt idx="96">
                  <c:v>-112</c:v>
                </c:pt>
                <c:pt idx="97">
                  <c:v>-160.9</c:v>
                </c:pt>
                <c:pt idx="98">
                  <c:v>-208.4</c:v>
                </c:pt>
                <c:pt idx="99">
                  <c:v>-253.9</c:v>
                </c:pt>
                <c:pt idx="100">
                  <c:v>-296.8</c:v>
                </c:pt>
                <c:pt idx="101">
                  <c:v>-336.8</c:v>
                </c:pt>
                <c:pt idx="102">
                  <c:v>-373.6</c:v>
                </c:pt>
                <c:pt idx="103">
                  <c:v>-407.1</c:v>
                </c:pt>
                <c:pt idx="104">
                  <c:v>-436.9</c:v>
                </c:pt>
                <c:pt idx="105">
                  <c:v>-435.7</c:v>
                </c:pt>
                <c:pt idx="106">
                  <c:v>-349.3</c:v>
                </c:pt>
                <c:pt idx="107">
                  <c:v>-250.9</c:v>
                </c:pt>
                <c:pt idx="108">
                  <c:v>-179</c:v>
                </c:pt>
                <c:pt idx="109">
                  <c:v>-126</c:v>
                </c:pt>
                <c:pt idx="110">
                  <c:v>-86.5</c:v>
                </c:pt>
                <c:pt idx="111">
                  <c:v>-56.6</c:v>
                </c:pt>
                <c:pt idx="112">
                  <c:v>-33.200000000000003</c:v>
                </c:pt>
                <c:pt idx="113">
                  <c:v>-14.6</c:v>
                </c:pt>
                <c:pt idx="114">
                  <c:v>0.1</c:v>
                </c:pt>
                <c:pt idx="115">
                  <c:v>11.7</c:v>
                </c:pt>
                <c:pt idx="116">
                  <c:v>13.9</c:v>
                </c:pt>
                <c:pt idx="117">
                  <c:v>-20.3</c:v>
                </c:pt>
                <c:pt idx="118">
                  <c:v>-72.3</c:v>
                </c:pt>
                <c:pt idx="119">
                  <c:v>-122.6</c:v>
                </c:pt>
                <c:pt idx="120">
                  <c:v>-171.5</c:v>
                </c:pt>
                <c:pt idx="121">
                  <c:v>-218.8</c:v>
                </c:pt>
                <c:pt idx="122">
                  <c:v>-263.89999999999998</c:v>
                </c:pt>
                <c:pt idx="123">
                  <c:v>-306.3</c:v>
                </c:pt>
                <c:pt idx="124">
                  <c:v>-345.6</c:v>
                </c:pt>
                <c:pt idx="125">
                  <c:v>-381.7</c:v>
                </c:pt>
                <c:pt idx="126">
                  <c:v>-414.5</c:v>
                </c:pt>
                <c:pt idx="127">
                  <c:v>-442.8</c:v>
                </c:pt>
                <c:pt idx="128">
                  <c:v>-431.9</c:v>
                </c:pt>
                <c:pt idx="129">
                  <c:v>-340.3</c:v>
                </c:pt>
                <c:pt idx="130">
                  <c:v>-245.7</c:v>
                </c:pt>
                <c:pt idx="131">
                  <c:v>-176.3</c:v>
                </c:pt>
                <c:pt idx="132">
                  <c:v>-124.9</c:v>
                </c:pt>
                <c:pt idx="133">
                  <c:v>-86.7</c:v>
                </c:pt>
                <c:pt idx="134">
                  <c:v>-57.6</c:v>
                </c:pt>
                <c:pt idx="135">
                  <c:v>-34.700000000000003</c:v>
                </c:pt>
                <c:pt idx="136">
                  <c:v>-16.600000000000001</c:v>
                </c:pt>
                <c:pt idx="137">
                  <c:v>-2.2999999999999998</c:v>
                </c:pt>
                <c:pt idx="138">
                  <c:v>9</c:v>
                </c:pt>
                <c:pt idx="139">
                  <c:v>18</c:v>
                </c:pt>
                <c:pt idx="140">
                  <c:v>17.600000000000001</c:v>
                </c:pt>
                <c:pt idx="141">
                  <c:v>-13.1</c:v>
                </c:pt>
                <c:pt idx="142">
                  <c:v>-63</c:v>
                </c:pt>
                <c:pt idx="143">
                  <c:v>-113</c:v>
                </c:pt>
                <c:pt idx="144">
                  <c:v>-161.6</c:v>
                </c:pt>
                <c:pt idx="145">
                  <c:v>-209</c:v>
                </c:pt>
                <c:pt idx="146">
                  <c:v>-254.5</c:v>
                </c:pt>
                <c:pt idx="147">
                  <c:v>-297.39999999999998</c:v>
                </c:pt>
                <c:pt idx="148">
                  <c:v>-337.4</c:v>
                </c:pt>
                <c:pt idx="149">
                  <c:v>-374.1</c:v>
                </c:pt>
                <c:pt idx="150">
                  <c:v>-407.6</c:v>
                </c:pt>
                <c:pt idx="151">
                  <c:v>-437.1</c:v>
                </c:pt>
                <c:pt idx="152">
                  <c:v>-439.2</c:v>
                </c:pt>
                <c:pt idx="153">
                  <c:v>-365.9</c:v>
                </c:pt>
                <c:pt idx="154">
                  <c:v>-267.3</c:v>
                </c:pt>
                <c:pt idx="155">
                  <c:v>-192.2</c:v>
                </c:pt>
                <c:pt idx="156">
                  <c:v>-137.30000000000001</c:v>
                </c:pt>
                <c:pt idx="157">
                  <c:v>-96.5</c:v>
                </c:pt>
                <c:pt idx="158">
                  <c:v>-65.400000000000006</c:v>
                </c:pt>
                <c:pt idx="159">
                  <c:v>-41.4</c:v>
                </c:pt>
                <c:pt idx="160">
                  <c:v>-22.4</c:v>
                </c:pt>
                <c:pt idx="161">
                  <c:v>-7.3</c:v>
                </c:pt>
                <c:pt idx="162">
                  <c:v>4.7</c:v>
                </c:pt>
                <c:pt idx="163">
                  <c:v>14.2</c:v>
                </c:pt>
                <c:pt idx="164">
                  <c:v>18.8</c:v>
                </c:pt>
                <c:pt idx="165">
                  <c:v>-6.5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F0-4E4E-A9CF-BC5F4FF4882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pump!$A$4:$A$232</c:f>
              <c:numCache>
                <c:formatCode>General</c:formatCode>
                <c:ptCount val="2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</c:numCache>
            </c:numRef>
          </c:xVal>
          <c:yVal>
            <c:numRef>
              <c:f>pump!$D$4:$D$232</c:f>
              <c:numCache>
                <c:formatCode>General</c:formatCode>
                <c:ptCount val="229"/>
                <c:pt idx="0">
                  <c:v>202.9</c:v>
                </c:pt>
                <c:pt idx="1">
                  <c:v>221.2</c:v>
                </c:pt>
                <c:pt idx="2">
                  <c:v>236.9</c:v>
                </c:pt>
                <c:pt idx="3">
                  <c:v>250.8</c:v>
                </c:pt>
                <c:pt idx="4">
                  <c:v>263.10000000000002</c:v>
                </c:pt>
                <c:pt idx="5">
                  <c:v>274.39999999999998</c:v>
                </c:pt>
                <c:pt idx="6">
                  <c:v>276.3</c:v>
                </c:pt>
                <c:pt idx="7">
                  <c:v>243.9</c:v>
                </c:pt>
                <c:pt idx="8">
                  <c:v>201.1</c:v>
                </c:pt>
                <c:pt idx="9">
                  <c:v>164.1</c:v>
                </c:pt>
                <c:pt idx="10">
                  <c:v>130.4</c:v>
                </c:pt>
                <c:pt idx="11">
                  <c:v>98</c:v>
                </c:pt>
                <c:pt idx="12">
                  <c:v>64.8</c:v>
                </c:pt>
                <c:pt idx="13">
                  <c:v>29.4</c:v>
                </c:pt>
                <c:pt idx="14">
                  <c:v>-9</c:v>
                </c:pt>
                <c:pt idx="15">
                  <c:v>-51.1</c:v>
                </c:pt>
                <c:pt idx="16">
                  <c:v>-96.1</c:v>
                </c:pt>
                <c:pt idx="17">
                  <c:v>-140.9</c:v>
                </c:pt>
                <c:pt idx="18">
                  <c:v>-147.9</c:v>
                </c:pt>
                <c:pt idx="19">
                  <c:v>-55.7</c:v>
                </c:pt>
                <c:pt idx="20">
                  <c:v>43.6</c:v>
                </c:pt>
                <c:pt idx="21">
                  <c:v>108.1</c:v>
                </c:pt>
                <c:pt idx="22">
                  <c:v>151.19999999999999</c:v>
                </c:pt>
                <c:pt idx="23">
                  <c:v>181.6</c:v>
                </c:pt>
                <c:pt idx="24">
                  <c:v>204.8</c:v>
                </c:pt>
                <c:pt idx="25">
                  <c:v>223.5</c:v>
                </c:pt>
                <c:pt idx="26">
                  <c:v>239.4</c:v>
                </c:pt>
                <c:pt idx="27">
                  <c:v>253.2</c:v>
                </c:pt>
                <c:pt idx="28">
                  <c:v>265.60000000000002</c:v>
                </c:pt>
                <c:pt idx="29">
                  <c:v>276.89999999999998</c:v>
                </c:pt>
                <c:pt idx="30">
                  <c:v>276.10000000000002</c:v>
                </c:pt>
                <c:pt idx="31">
                  <c:v>241.8</c:v>
                </c:pt>
                <c:pt idx="32">
                  <c:v>200.1</c:v>
                </c:pt>
                <c:pt idx="33">
                  <c:v>163.19999999999999</c:v>
                </c:pt>
                <c:pt idx="34">
                  <c:v>129.4</c:v>
                </c:pt>
                <c:pt idx="35">
                  <c:v>96.8</c:v>
                </c:pt>
                <c:pt idx="36">
                  <c:v>63.3</c:v>
                </c:pt>
                <c:pt idx="37">
                  <c:v>27.6</c:v>
                </c:pt>
                <c:pt idx="38">
                  <c:v>-11</c:v>
                </c:pt>
                <c:pt idx="39">
                  <c:v>-52.9</c:v>
                </c:pt>
                <c:pt idx="40">
                  <c:v>-96.7</c:v>
                </c:pt>
                <c:pt idx="41">
                  <c:v>-138.5</c:v>
                </c:pt>
                <c:pt idx="42">
                  <c:v>-140.1</c:v>
                </c:pt>
                <c:pt idx="43">
                  <c:v>-54</c:v>
                </c:pt>
                <c:pt idx="44">
                  <c:v>43.5</c:v>
                </c:pt>
                <c:pt idx="45">
                  <c:v>109.3</c:v>
                </c:pt>
                <c:pt idx="46">
                  <c:v>153.19999999999999</c:v>
                </c:pt>
                <c:pt idx="47">
                  <c:v>184</c:v>
                </c:pt>
                <c:pt idx="48">
                  <c:v>207.3</c:v>
                </c:pt>
                <c:pt idx="49">
                  <c:v>226.1</c:v>
                </c:pt>
                <c:pt idx="50">
                  <c:v>242</c:v>
                </c:pt>
                <c:pt idx="51">
                  <c:v>255.9</c:v>
                </c:pt>
                <c:pt idx="52">
                  <c:v>268.3</c:v>
                </c:pt>
                <c:pt idx="53">
                  <c:v>279.60000000000002</c:v>
                </c:pt>
                <c:pt idx="54">
                  <c:v>280.2</c:v>
                </c:pt>
                <c:pt idx="55">
                  <c:v>248.2</c:v>
                </c:pt>
                <c:pt idx="56">
                  <c:v>206</c:v>
                </c:pt>
                <c:pt idx="57">
                  <c:v>168.5</c:v>
                </c:pt>
                <c:pt idx="58">
                  <c:v>134.30000000000001</c:v>
                </c:pt>
                <c:pt idx="59">
                  <c:v>101.4</c:v>
                </c:pt>
                <c:pt idx="60">
                  <c:v>67.8</c:v>
                </c:pt>
                <c:pt idx="61">
                  <c:v>32</c:v>
                </c:pt>
                <c:pt idx="62">
                  <c:v>-6.8</c:v>
                </c:pt>
                <c:pt idx="63">
                  <c:v>-48.8</c:v>
                </c:pt>
                <c:pt idx="64">
                  <c:v>-92.6</c:v>
                </c:pt>
                <c:pt idx="65">
                  <c:v>-134.9</c:v>
                </c:pt>
                <c:pt idx="66">
                  <c:v>-143.30000000000001</c:v>
                </c:pt>
                <c:pt idx="67">
                  <c:v>-64.400000000000006</c:v>
                </c:pt>
                <c:pt idx="68">
                  <c:v>37.200000000000003</c:v>
                </c:pt>
                <c:pt idx="69">
                  <c:v>106.7</c:v>
                </c:pt>
                <c:pt idx="70">
                  <c:v>152.69999999999999</c:v>
                </c:pt>
                <c:pt idx="71">
                  <c:v>184.7</c:v>
                </c:pt>
                <c:pt idx="72">
                  <c:v>208.6</c:v>
                </c:pt>
                <c:pt idx="73">
                  <c:v>227.8</c:v>
                </c:pt>
                <c:pt idx="74">
                  <c:v>244</c:v>
                </c:pt>
                <c:pt idx="75">
                  <c:v>258</c:v>
                </c:pt>
                <c:pt idx="76">
                  <c:v>270.7</c:v>
                </c:pt>
                <c:pt idx="77">
                  <c:v>282.10000000000002</c:v>
                </c:pt>
                <c:pt idx="78">
                  <c:v>285.7</c:v>
                </c:pt>
                <c:pt idx="79">
                  <c:v>257.39999999999998</c:v>
                </c:pt>
                <c:pt idx="80">
                  <c:v>213.9</c:v>
                </c:pt>
                <c:pt idx="81">
                  <c:v>175.5</c:v>
                </c:pt>
                <c:pt idx="82">
                  <c:v>140.9</c:v>
                </c:pt>
                <c:pt idx="83">
                  <c:v>107.8</c:v>
                </c:pt>
                <c:pt idx="84">
                  <c:v>74.2</c:v>
                </c:pt>
                <c:pt idx="85">
                  <c:v>38.5</c:v>
                </c:pt>
                <c:pt idx="86">
                  <c:v>-0.3</c:v>
                </c:pt>
                <c:pt idx="87">
                  <c:v>-42.2</c:v>
                </c:pt>
                <c:pt idx="88">
                  <c:v>-85.9</c:v>
                </c:pt>
                <c:pt idx="89">
                  <c:v>-128.69999999999999</c:v>
                </c:pt>
                <c:pt idx="90">
                  <c:v>-144.80000000000001</c:v>
                </c:pt>
                <c:pt idx="91">
                  <c:v>-70.7</c:v>
                </c:pt>
                <c:pt idx="92">
                  <c:v>34.6</c:v>
                </c:pt>
                <c:pt idx="93">
                  <c:v>106.4</c:v>
                </c:pt>
                <c:pt idx="94">
                  <c:v>153.6</c:v>
                </c:pt>
                <c:pt idx="95">
                  <c:v>186.3</c:v>
                </c:pt>
                <c:pt idx="96">
                  <c:v>210.7</c:v>
                </c:pt>
                <c:pt idx="97">
                  <c:v>230.1</c:v>
                </c:pt>
                <c:pt idx="98">
                  <c:v>246.5</c:v>
                </c:pt>
                <c:pt idx="99">
                  <c:v>260.8</c:v>
                </c:pt>
                <c:pt idx="100">
                  <c:v>273.5</c:v>
                </c:pt>
                <c:pt idx="101">
                  <c:v>285.10000000000002</c:v>
                </c:pt>
                <c:pt idx="102">
                  <c:v>290.5</c:v>
                </c:pt>
                <c:pt idx="103">
                  <c:v>262.60000000000002</c:v>
                </c:pt>
                <c:pt idx="104">
                  <c:v>217.8</c:v>
                </c:pt>
                <c:pt idx="105">
                  <c:v>178.9</c:v>
                </c:pt>
                <c:pt idx="106">
                  <c:v>143.80000000000001</c:v>
                </c:pt>
                <c:pt idx="107">
                  <c:v>110.3</c:v>
                </c:pt>
                <c:pt idx="108">
                  <c:v>76.3</c:v>
                </c:pt>
                <c:pt idx="109">
                  <c:v>40.1</c:v>
                </c:pt>
                <c:pt idx="110">
                  <c:v>0.5</c:v>
                </c:pt>
                <c:pt idx="111">
                  <c:v>-42.3</c:v>
                </c:pt>
                <c:pt idx="112">
                  <c:v>-86.9</c:v>
                </c:pt>
                <c:pt idx="113">
                  <c:v>-131.9</c:v>
                </c:pt>
                <c:pt idx="114">
                  <c:v>-152</c:v>
                </c:pt>
                <c:pt idx="115">
                  <c:v>-72.2</c:v>
                </c:pt>
                <c:pt idx="116">
                  <c:v>35.5</c:v>
                </c:pt>
                <c:pt idx="117">
                  <c:v>107.3</c:v>
                </c:pt>
                <c:pt idx="118">
                  <c:v>154.80000000000001</c:v>
                </c:pt>
                <c:pt idx="119">
                  <c:v>187.8</c:v>
                </c:pt>
                <c:pt idx="120">
                  <c:v>212.6</c:v>
                </c:pt>
                <c:pt idx="121">
                  <c:v>232.4</c:v>
                </c:pt>
                <c:pt idx="122">
                  <c:v>249.1</c:v>
                </c:pt>
                <c:pt idx="123">
                  <c:v>263.5</c:v>
                </c:pt>
                <c:pt idx="124">
                  <c:v>276.39999999999998</c:v>
                </c:pt>
                <c:pt idx="125">
                  <c:v>288.10000000000002</c:v>
                </c:pt>
                <c:pt idx="126">
                  <c:v>291.8</c:v>
                </c:pt>
                <c:pt idx="127">
                  <c:v>263.39999999999998</c:v>
                </c:pt>
                <c:pt idx="128">
                  <c:v>219.7</c:v>
                </c:pt>
                <c:pt idx="129">
                  <c:v>180.7</c:v>
                </c:pt>
                <c:pt idx="130">
                  <c:v>145.30000000000001</c:v>
                </c:pt>
                <c:pt idx="131">
                  <c:v>111.7</c:v>
                </c:pt>
                <c:pt idx="132">
                  <c:v>77.5</c:v>
                </c:pt>
                <c:pt idx="133">
                  <c:v>41.1</c:v>
                </c:pt>
                <c:pt idx="134">
                  <c:v>1.3</c:v>
                </c:pt>
                <c:pt idx="135">
                  <c:v>-41.3</c:v>
                </c:pt>
                <c:pt idx="136">
                  <c:v>-85</c:v>
                </c:pt>
                <c:pt idx="137">
                  <c:v>-128</c:v>
                </c:pt>
                <c:pt idx="138">
                  <c:v>-144.1</c:v>
                </c:pt>
                <c:pt idx="139">
                  <c:v>-73.5</c:v>
                </c:pt>
                <c:pt idx="140">
                  <c:v>32.1</c:v>
                </c:pt>
                <c:pt idx="141">
                  <c:v>106.7</c:v>
                </c:pt>
                <c:pt idx="142">
                  <c:v>155.6</c:v>
                </c:pt>
                <c:pt idx="143">
                  <c:v>189.3</c:v>
                </c:pt>
                <c:pt idx="144">
                  <c:v>214.4</c:v>
                </c:pt>
                <c:pt idx="145">
                  <c:v>234.3</c:v>
                </c:pt>
                <c:pt idx="146">
                  <c:v>250.9</c:v>
                </c:pt>
                <c:pt idx="147">
                  <c:v>265.3</c:v>
                </c:pt>
                <c:pt idx="148">
                  <c:v>278.2</c:v>
                </c:pt>
                <c:pt idx="149">
                  <c:v>290</c:v>
                </c:pt>
                <c:pt idx="150">
                  <c:v>297.10000000000002</c:v>
                </c:pt>
                <c:pt idx="151">
                  <c:v>273.89999999999998</c:v>
                </c:pt>
                <c:pt idx="152">
                  <c:v>228.6</c:v>
                </c:pt>
                <c:pt idx="153">
                  <c:v>188.6</c:v>
                </c:pt>
                <c:pt idx="154">
                  <c:v>152.80000000000001</c:v>
                </c:pt>
                <c:pt idx="155">
                  <c:v>118.9</c:v>
                </c:pt>
                <c:pt idx="156">
                  <c:v>84.9</c:v>
                </c:pt>
                <c:pt idx="157">
                  <c:v>48.7</c:v>
                </c:pt>
                <c:pt idx="158">
                  <c:v>9.1999999999999993</c:v>
                </c:pt>
                <c:pt idx="159">
                  <c:v>-33</c:v>
                </c:pt>
                <c:pt idx="160">
                  <c:v>-76.5</c:v>
                </c:pt>
                <c:pt idx="161">
                  <c:v>-120.1</c:v>
                </c:pt>
                <c:pt idx="162">
                  <c:v>-146.9</c:v>
                </c:pt>
                <c:pt idx="163">
                  <c:v>-86.6</c:v>
                </c:pt>
                <c:pt idx="164">
                  <c:v>23.7</c:v>
                </c:pt>
                <c:pt idx="165">
                  <c:v>102.1</c:v>
                </c:pt>
                <c:pt idx="166">
                  <c:v>153.4</c:v>
                </c:pt>
                <c:pt idx="167">
                  <c:v>188.6</c:v>
                </c:pt>
                <c:pt idx="168">
                  <c:v>214.5</c:v>
                </c:pt>
                <c:pt idx="169">
                  <c:v>234.9</c:v>
                </c:pt>
                <c:pt idx="170">
                  <c:v>252</c:v>
                </c:pt>
                <c:pt idx="171">
                  <c:v>266.7</c:v>
                </c:pt>
                <c:pt idx="172">
                  <c:v>279.89999999999998</c:v>
                </c:pt>
                <c:pt idx="173">
                  <c:v>291.8</c:v>
                </c:pt>
                <c:pt idx="174">
                  <c:v>298.3</c:v>
                </c:pt>
                <c:pt idx="175">
                  <c:v>271.7</c:v>
                </c:pt>
                <c:pt idx="176">
                  <c:v>225.8</c:v>
                </c:pt>
                <c:pt idx="177">
                  <c:v>186.1</c:v>
                </c:pt>
                <c:pt idx="178">
                  <c:v>150.4</c:v>
                </c:pt>
                <c:pt idx="179">
                  <c:v>116.4</c:v>
                </c:pt>
                <c:pt idx="180">
                  <c:v>81.900000000000006</c:v>
                </c:pt>
                <c:pt idx="181">
                  <c:v>44.9</c:v>
                </c:pt>
                <c:pt idx="182">
                  <c:v>4.8</c:v>
                </c:pt>
                <c:pt idx="183">
                  <c:v>-37.700000000000003</c:v>
                </c:pt>
                <c:pt idx="184">
                  <c:v>-81.400000000000006</c:v>
                </c:pt>
                <c:pt idx="185">
                  <c:v>-124.7</c:v>
                </c:pt>
                <c:pt idx="186">
                  <c:v>-144.5</c:v>
                </c:pt>
                <c:pt idx="187">
                  <c:v>-77.7</c:v>
                </c:pt>
                <c:pt idx="188">
                  <c:v>28.5</c:v>
                </c:pt>
                <c:pt idx="189">
                  <c:v>105.6</c:v>
                </c:pt>
                <c:pt idx="190">
                  <c:v>156.5</c:v>
                </c:pt>
                <c:pt idx="191">
                  <c:v>191.7</c:v>
                </c:pt>
                <c:pt idx="192">
                  <c:v>217.7</c:v>
                </c:pt>
                <c:pt idx="193">
                  <c:v>238.2</c:v>
                </c:pt>
                <c:pt idx="194">
                  <c:v>255.3</c:v>
                </c:pt>
                <c:pt idx="195">
                  <c:v>270.3</c:v>
                </c:pt>
                <c:pt idx="196">
                  <c:v>283.5</c:v>
                </c:pt>
                <c:pt idx="197">
                  <c:v>295.60000000000002</c:v>
                </c:pt>
                <c:pt idx="198">
                  <c:v>303.3</c:v>
                </c:pt>
                <c:pt idx="199">
                  <c:v>282.5</c:v>
                </c:pt>
                <c:pt idx="200">
                  <c:v>237.3</c:v>
                </c:pt>
                <c:pt idx="201">
                  <c:v>196.4</c:v>
                </c:pt>
                <c:pt idx="202">
                  <c:v>159.9</c:v>
                </c:pt>
                <c:pt idx="203">
                  <c:v>125.7</c:v>
                </c:pt>
                <c:pt idx="204">
                  <c:v>91.5</c:v>
                </c:pt>
                <c:pt idx="205">
                  <c:v>55.1</c:v>
                </c:pt>
                <c:pt idx="206">
                  <c:v>15.5</c:v>
                </c:pt>
                <c:pt idx="207">
                  <c:v>-26.6</c:v>
                </c:pt>
                <c:pt idx="208">
                  <c:v>-70</c:v>
                </c:pt>
                <c:pt idx="209">
                  <c:v>-113.5</c:v>
                </c:pt>
                <c:pt idx="210">
                  <c:v>-141.80000000000001</c:v>
                </c:pt>
                <c:pt idx="211">
                  <c:v>-88.4</c:v>
                </c:pt>
                <c:pt idx="212">
                  <c:v>21.8</c:v>
                </c:pt>
                <c:pt idx="213">
                  <c:v>103.3</c:v>
                </c:pt>
                <c:pt idx="214">
                  <c:v>156.4</c:v>
                </c:pt>
                <c:pt idx="215">
                  <c:v>192.6</c:v>
                </c:pt>
                <c:pt idx="216">
                  <c:v>219</c:v>
                </c:pt>
                <c:pt idx="217">
                  <c:v>239.9</c:v>
                </c:pt>
                <c:pt idx="218">
                  <c:v>257.10000000000002</c:v>
                </c:pt>
                <c:pt idx="219">
                  <c:v>272</c:v>
                </c:pt>
                <c:pt idx="220">
                  <c:v>285.3</c:v>
                </c:pt>
                <c:pt idx="221">
                  <c:v>297.5</c:v>
                </c:pt>
                <c:pt idx="222">
                  <c:v>305.5</c:v>
                </c:pt>
                <c:pt idx="223">
                  <c:v>282.2</c:v>
                </c:pt>
                <c:pt idx="224">
                  <c:v>235.8</c:v>
                </c:pt>
                <c:pt idx="225">
                  <c:v>195.1</c:v>
                </c:pt>
                <c:pt idx="226">
                  <c:v>158.69999999999999</c:v>
                </c:pt>
                <c:pt idx="227">
                  <c:v>124.3</c:v>
                </c:pt>
                <c:pt idx="228">
                  <c:v>89.7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F0-4E4E-A9CF-BC5F4FF4882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pump!$A$4:$A$232</c:f>
              <c:numCache>
                <c:formatCode>General</c:formatCode>
                <c:ptCount val="2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</c:numCache>
            </c:numRef>
          </c:xVal>
          <c:yVal>
            <c:numRef>
              <c:f>pump!$E$4:$E$232</c:f>
              <c:numCache>
                <c:formatCode>General</c:formatCode>
                <c:ptCount val="229"/>
                <c:pt idx="0">
                  <c:v>108.6</c:v>
                </c:pt>
                <c:pt idx="1">
                  <c:v>149.80000000000001</c:v>
                </c:pt>
                <c:pt idx="2">
                  <c:v>182.6</c:v>
                </c:pt>
                <c:pt idx="3">
                  <c:v>210.8</c:v>
                </c:pt>
                <c:pt idx="4">
                  <c:v>236.3</c:v>
                </c:pt>
                <c:pt idx="5">
                  <c:v>260</c:v>
                </c:pt>
                <c:pt idx="6">
                  <c:v>282.2</c:v>
                </c:pt>
                <c:pt idx="7">
                  <c:v>303.10000000000002</c:v>
                </c:pt>
                <c:pt idx="8">
                  <c:v>322.8</c:v>
                </c:pt>
                <c:pt idx="9">
                  <c:v>327.7</c:v>
                </c:pt>
                <c:pt idx="10">
                  <c:v>285.2</c:v>
                </c:pt>
                <c:pt idx="11">
                  <c:v>233</c:v>
                </c:pt>
                <c:pt idx="12">
                  <c:v>189.9</c:v>
                </c:pt>
                <c:pt idx="13">
                  <c:v>151.9</c:v>
                </c:pt>
                <c:pt idx="14">
                  <c:v>117.2</c:v>
                </c:pt>
                <c:pt idx="15">
                  <c:v>84.5</c:v>
                </c:pt>
                <c:pt idx="16">
                  <c:v>52.8</c:v>
                </c:pt>
                <c:pt idx="17">
                  <c:v>21.2</c:v>
                </c:pt>
                <c:pt idx="18">
                  <c:v>-10.8</c:v>
                </c:pt>
                <c:pt idx="19">
                  <c:v>-43.8</c:v>
                </c:pt>
                <c:pt idx="20">
                  <c:v>-77.5</c:v>
                </c:pt>
                <c:pt idx="21">
                  <c:v>-84</c:v>
                </c:pt>
                <c:pt idx="22">
                  <c:v>-20.5</c:v>
                </c:pt>
                <c:pt idx="23">
                  <c:v>63.3</c:v>
                </c:pt>
                <c:pt idx="24">
                  <c:v>121</c:v>
                </c:pt>
                <c:pt idx="25">
                  <c:v>161.4</c:v>
                </c:pt>
                <c:pt idx="26">
                  <c:v>193.7</c:v>
                </c:pt>
                <c:pt idx="27">
                  <c:v>221.8</c:v>
                </c:pt>
                <c:pt idx="28">
                  <c:v>247.2</c:v>
                </c:pt>
                <c:pt idx="29">
                  <c:v>270.8</c:v>
                </c:pt>
                <c:pt idx="30">
                  <c:v>293</c:v>
                </c:pt>
                <c:pt idx="31">
                  <c:v>314.10000000000002</c:v>
                </c:pt>
                <c:pt idx="32">
                  <c:v>333.9</c:v>
                </c:pt>
                <c:pt idx="33">
                  <c:v>340.9</c:v>
                </c:pt>
                <c:pt idx="34">
                  <c:v>302.3</c:v>
                </c:pt>
                <c:pt idx="35">
                  <c:v>249.2</c:v>
                </c:pt>
                <c:pt idx="36">
                  <c:v>204.7</c:v>
                </c:pt>
                <c:pt idx="37">
                  <c:v>165.7</c:v>
                </c:pt>
                <c:pt idx="38">
                  <c:v>130.1</c:v>
                </c:pt>
                <c:pt idx="39">
                  <c:v>96.9</c:v>
                </c:pt>
                <c:pt idx="40">
                  <c:v>65</c:v>
                </c:pt>
                <c:pt idx="41">
                  <c:v>33.200000000000003</c:v>
                </c:pt>
                <c:pt idx="42">
                  <c:v>1.2</c:v>
                </c:pt>
                <c:pt idx="43">
                  <c:v>-31.6</c:v>
                </c:pt>
                <c:pt idx="44">
                  <c:v>-65.2</c:v>
                </c:pt>
                <c:pt idx="45">
                  <c:v>-80.2</c:v>
                </c:pt>
                <c:pt idx="46">
                  <c:v>-30.5</c:v>
                </c:pt>
                <c:pt idx="47">
                  <c:v>55.7</c:v>
                </c:pt>
                <c:pt idx="48">
                  <c:v>117.7</c:v>
                </c:pt>
                <c:pt idx="49">
                  <c:v>160.30000000000001</c:v>
                </c:pt>
                <c:pt idx="50">
                  <c:v>193.8</c:v>
                </c:pt>
                <c:pt idx="51">
                  <c:v>222.7</c:v>
                </c:pt>
                <c:pt idx="52">
                  <c:v>248.8</c:v>
                </c:pt>
                <c:pt idx="53">
                  <c:v>272.89999999999998</c:v>
                </c:pt>
                <c:pt idx="54">
                  <c:v>295.39999999999998</c:v>
                </c:pt>
                <c:pt idx="55">
                  <c:v>316.60000000000002</c:v>
                </c:pt>
                <c:pt idx="56">
                  <c:v>331.7</c:v>
                </c:pt>
                <c:pt idx="57">
                  <c:v>306.39999999999998</c:v>
                </c:pt>
                <c:pt idx="58">
                  <c:v>251.4</c:v>
                </c:pt>
                <c:pt idx="59">
                  <c:v>205.3</c:v>
                </c:pt>
                <c:pt idx="60">
                  <c:v>165.5</c:v>
                </c:pt>
                <c:pt idx="61">
                  <c:v>129.30000000000001</c:v>
                </c:pt>
                <c:pt idx="62">
                  <c:v>95.7</c:v>
                </c:pt>
                <c:pt idx="63">
                  <c:v>63.1</c:v>
                </c:pt>
                <c:pt idx="64">
                  <c:v>30.8</c:v>
                </c:pt>
                <c:pt idx="65">
                  <c:v>-1.8</c:v>
                </c:pt>
                <c:pt idx="66">
                  <c:v>-35.1</c:v>
                </c:pt>
                <c:pt idx="67">
                  <c:v>-70.3</c:v>
                </c:pt>
                <c:pt idx="68">
                  <c:v>-95</c:v>
                </c:pt>
                <c:pt idx="69">
                  <c:v>-44.7</c:v>
                </c:pt>
                <c:pt idx="70">
                  <c:v>50.8</c:v>
                </c:pt>
                <c:pt idx="71">
                  <c:v>116.2</c:v>
                </c:pt>
                <c:pt idx="72">
                  <c:v>160.5</c:v>
                </c:pt>
                <c:pt idx="73">
                  <c:v>195</c:v>
                </c:pt>
                <c:pt idx="74">
                  <c:v>224.5</c:v>
                </c:pt>
                <c:pt idx="75">
                  <c:v>251.1</c:v>
                </c:pt>
                <c:pt idx="76">
                  <c:v>275.60000000000002</c:v>
                </c:pt>
                <c:pt idx="77">
                  <c:v>298.39999999999998</c:v>
                </c:pt>
                <c:pt idx="78">
                  <c:v>320.10000000000002</c:v>
                </c:pt>
                <c:pt idx="79">
                  <c:v>340.8</c:v>
                </c:pt>
                <c:pt idx="80">
                  <c:v>353.7</c:v>
                </c:pt>
                <c:pt idx="81">
                  <c:v>322</c:v>
                </c:pt>
                <c:pt idx="82">
                  <c:v>266.3</c:v>
                </c:pt>
                <c:pt idx="83">
                  <c:v>220</c:v>
                </c:pt>
                <c:pt idx="84">
                  <c:v>179.7</c:v>
                </c:pt>
                <c:pt idx="85">
                  <c:v>143.1</c:v>
                </c:pt>
                <c:pt idx="86">
                  <c:v>109.2</c:v>
                </c:pt>
                <c:pt idx="87">
                  <c:v>76.7</c:v>
                </c:pt>
                <c:pt idx="88">
                  <c:v>44.5</c:v>
                </c:pt>
                <c:pt idx="89">
                  <c:v>12.2</c:v>
                </c:pt>
                <c:pt idx="90">
                  <c:v>-20.7</c:v>
                </c:pt>
                <c:pt idx="91">
                  <c:v>-55</c:v>
                </c:pt>
                <c:pt idx="92">
                  <c:v>-74.099999999999994</c:v>
                </c:pt>
                <c:pt idx="93">
                  <c:v>-27.2</c:v>
                </c:pt>
                <c:pt idx="94">
                  <c:v>59</c:v>
                </c:pt>
                <c:pt idx="95">
                  <c:v>123.6</c:v>
                </c:pt>
                <c:pt idx="96">
                  <c:v>167.3</c:v>
                </c:pt>
                <c:pt idx="97">
                  <c:v>201.3</c:v>
                </c:pt>
                <c:pt idx="98">
                  <c:v>230.6</c:v>
                </c:pt>
                <c:pt idx="99">
                  <c:v>256.89999999999998</c:v>
                </c:pt>
                <c:pt idx="100">
                  <c:v>281.2</c:v>
                </c:pt>
                <c:pt idx="101">
                  <c:v>303.89999999999998</c:v>
                </c:pt>
                <c:pt idx="102">
                  <c:v>325.39999999999998</c:v>
                </c:pt>
                <c:pt idx="103">
                  <c:v>343.5</c:v>
                </c:pt>
                <c:pt idx="104">
                  <c:v>329.2</c:v>
                </c:pt>
                <c:pt idx="105">
                  <c:v>274.60000000000002</c:v>
                </c:pt>
                <c:pt idx="106">
                  <c:v>225.6</c:v>
                </c:pt>
                <c:pt idx="107">
                  <c:v>184.1</c:v>
                </c:pt>
                <c:pt idx="108">
                  <c:v>146.69999999999999</c:v>
                </c:pt>
                <c:pt idx="109">
                  <c:v>112.2</c:v>
                </c:pt>
                <c:pt idx="110">
                  <c:v>79.099999999999994</c:v>
                </c:pt>
                <c:pt idx="111">
                  <c:v>46.6</c:v>
                </c:pt>
                <c:pt idx="112">
                  <c:v>13.9</c:v>
                </c:pt>
                <c:pt idx="113">
                  <c:v>-19.399999999999999</c:v>
                </c:pt>
                <c:pt idx="114">
                  <c:v>-54.2</c:v>
                </c:pt>
                <c:pt idx="115">
                  <c:v>-86.1</c:v>
                </c:pt>
                <c:pt idx="116">
                  <c:v>-59.5</c:v>
                </c:pt>
                <c:pt idx="117">
                  <c:v>34</c:v>
                </c:pt>
                <c:pt idx="118">
                  <c:v>108.2</c:v>
                </c:pt>
                <c:pt idx="119">
                  <c:v>156.80000000000001</c:v>
                </c:pt>
                <c:pt idx="120">
                  <c:v>193.1</c:v>
                </c:pt>
                <c:pt idx="121">
                  <c:v>223.6</c:v>
                </c:pt>
                <c:pt idx="122">
                  <c:v>250.7</c:v>
                </c:pt>
                <c:pt idx="123">
                  <c:v>275.7</c:v>
                </c:pt>
                <c:pt idx="124">
                  <c:v>298.89999999999998</c:v>
                </c:pt>
                <c:pt idx="125">
                  <c:v>320.8</c:v>
                </c:pt>
                <c:pt idx="126">
                  <c:v>341.5</c:v>
                </c:pt>
                <c:pt idx="127">
                  <c:v>359</c:v>
                </c:pt>
                <c:pt idx="128">
                  <c:v>341.4</c:v>
                </c:pt>
                <c:pt idx="129">
                  <c:v>284.5</c:v>
                </c:pt>
                <c:pt idx="130">
                  <c:v>235.2</c:v>
                </c:pt>
                <c:pt idx="131">
                  <c:v>193.3</c:v>
                </c:pt>
                <c:pt idx="132">
                  <c:v>155.6</c:v>
                </c:pt>
                <c:pt idx="133">
                  <c:v>120.8</c:v>
                </c:pt>
                <c:pt idx="134">
                  <c:v>87.7</c:v>
                </c:pt>
                <c:pt idx="135">
                  <c:v>55.2</c:v>
                </c:pt>
                <c:pt idx="136">
                  <c:v>22.6</c:v>
                </c:pt>
                <c:pt idx="137">
                  <c:v>-10.5</c:v>
                </c:pt>
                <c:pt idx="138">
                  <c:v>-44.9</c:v>
                </c:pt>
                <c:pt idx="139">
                  <c:v>-73.099999999999994</c:v>
                </c:pt>
                <c:pt idx="140">
                  <c:v>-44.9</c:v>
                </c:pt>
                <c:pt idx="141">
                  <c:v>40.799999999999997</c:v>
                </c:pt>
                <c:pt idx="142">
                  <c:v>114.1</c:v>
                </c:pt>
                <c:pt idx="143">
                  <c:v>162.4</c:v>
                </c:pt>
                <c:pt idx="144">
                  <c:v>198.8</c:v>
                </c:pt>
                <c:pt idx="145">
                  <c:v>229.4</c:v>
                </c:pt>
                <c:pt idx="146">
                  <c:v>256.7</c:v>
                </c:pt>
                <c:pt idx="147">
                  <c:v>281.89999999999998</c:v>
                </c:pt>
                <c:pt idx="148">
                  <c:v>305.3</c:v>
                </c:pt>
                <c:pt idx="149">
                  <c:v>327.3</c:v>
                </c:pt>
                <c:pt idx="150">
                  <c:v>347.6</c:v>
                </c:pt>
                <c:pt idx="151">
                  <c:v>346.5</c:v>
                </c:pt>
                <c:pt idx="152">
                  <c:v>296.60000000000002</c:v>
                </c:pt>
                <c:pt idx="153">
                  <c:v>243.9</c:v>
                </c:pt>
                <c:pt idx="154">
                  <c:v>200.5</c:v>
                </c:pt>
                <c:pt idx="155">
                  <c:v>161.9</c:v>
                </c:pt>
                <c:pt idx="156">
                  <c:v>126.2</c:v>
                </c:pt>
                <c:pt idx="157">
                  <c:v>92.6</c:v>
                </c:pt>
                <c:pt idx="158">
                  <c:v>59.7</c:v>
                </c:pt>
                <c:pt idx="159">
                  <c:v>26.7</c:v>
                </c:pt>
                <c:pt idx="160">
                  <c:v>-6.6</c:v>
                </c:pt>
                <c:pt idx="161">
                  <c:v>-41.1</c:v>
                </c:pt>
                <c:pt idx="162">
                  <c:v>-76.2</c:v>
                </c:pt>
                <c:pt idx="163">
                  <c:v>-72.099999999999994</c:v>
                </c:pt>
                <c:pt idx="164">
                  <c:v>14.2</c:v>
                </c:pt>
                <c:pt idx="165">
                  <c:v>98</c:v>
                </c:pt>
                <c:pt idx="166">
                  <c:v>151.9</c:v>
                </c:pt>
                <c:pt idx="167">
                  <c:v>191.1</c:v>
                </c:pt>
                <c:pt idx="168">
                  <c:v>223</c:v>
                </c:pt>
                <c:pt idx="169">
                  <c:v>251.1</c:v>
                </c:pt>
                <c:pt idx="170">
                  <c:v>276.7</c:v>
                </c:pt>
                <c:pt idx="171">
                  <c:v>300.5</c:v>
                </c:pt>
                <c:pt idx="172">
                  <c:v>322.89999999999998</c:v>
                </c:pt>
                <c:pt idx="173">
                  <c:v>344.1</c:v>
                </c:pt>
                <c:pt idx="174">
                  <c:v>363.6</c:v>
                </c:pt>
                <c:pt idx="175">
                  <c:v>359.3</c:v>
                </c:pt>
                <c:pt idx="176">
                  <c:v>306.39999999999998</c:v>
                </c:pt>
                <c:pt idx="177">
                  <c:v>253.5</c:v>
                </c:pt>
                <c:pt idx="178">
                  <c:v>209.6</c:v>
                </c:pt>
                <c:pt idx="179">
                  <c:v>170.6</c:v>
                </c:pt>
                <c:pt idx="180">
                  <c:v>134.6</c:v>
                </c:pt>
                <c:pt idx="181">
                  <c:v>100.8</c:v>
                </c:pt>
                <c:pt idx="182">
                  <c:v>67.900000000000006</c:v>
                </c:pt>
                <c:pt idx="183">
                  <c:v>35</c:v>
                </c:pt>
                <c:pt idx="184">
                  <c:v>1.8</c:v>
                </c:pt>
                <c:pt idx="185">
                  <c:v>-32.299999999999997</c:v>
                </c:pt>
                <c:pt idx="186">
                  <c:v>-65.2</c:v>
                </c:pt>
                <c:pt idx="187">
                  <c:v>-54</c:v>
                </c:pt>
                <c:pt idx="188">
                  <c:v>27.8</c:v>
                </c:pt>
                <c:pt idx="189">
                  <c:v>107.2</c:v>
                </c:pt>
                <c:pt idx="190">
                  <c:v>159.30000000000001</c:v>
                </c:pt>
                <c:pt idx="191">
                  <c:v>197.4</c:v>
                </c:pt>
                <c:pt idx="192">
                  <c:v>228.9</c:v>
                </c:pt>
                <c:pt idx="193">
                  <c:v>256.8</c:v>
                </c:pt>
                <c:pt idx="194">
                  <c:v>282.2</c:v>
                </c:pt>
                <c:pt idx="195">
                  <c:v>305.89999999999998</c:v>
                </c:pt>
                <c:pt idx="196">
                  <c:v>328.3</c:v>
                </c:pt>
                <c:pt idx="197">
                  <c:v>349.5</c:v>
                </c:pt>
                <c:pt idx="198">
                  <c:v>369.3</c:v>
                </c:pt>
                <c:pt idx="199">
                  <c:v>367.4</c:v>
                </c:pt>
                <c:pt idx="200">
                  <c:v>318.10000000000002</c:v>
                </c:pt>
                <c:pt idx="201">
                  <c:v>264.7</c:v>
                </c:pt>
                <c:pt idx="202">
                  <c:v>219.8</c:v>
                </c:pt>
                <c:pt idx="203">
                  <c:v>180</c:v>
                </c:pt>
                <c:pt idx="204">
                  <c:v>143.6</c:v>
                </c:pt>
                <c:pt idx="205">
                  <c:v>109.3</c:v>
                </c:pt>
                <c:pt idx="206">
                  <c:v>76.2</c:v>
                </c:pt>
                <c:pt idx="207">
                  <c:v>43.2</c:v>
                </c:pt>
                <c:pt idx="208">
                  <c:v>10.1</c:v>
                </c:pt>
                <c:pt idx="209">
                  <c:v>-23.6</c:v>
                </c:pt>
                <c:pt idx="210">
                  <c:v>-56.6</c:v>
                </c:pt>
                <c:pt idx="211">
                  <c:v>-56.6</c:v>
                </c:pt>
                <c:pt idx="212">
                  <c:v>10.9</c:v>
                </c:pt>
                <c:pt idx="213">
                  <c:v>95.4</c:v>
                </c:pt>
                <c:pt idx="214">
                  <c:v>152.19999999999999</c:v>
                </c:pt>
                <c:pt idx="215">
                  <c:v>192.8</c:v>
                </c:pt>
                <c:pt idx="216">
                  <c:v>225.8</c:v>
                </c:pt>
                <c:pt idx="217">
                  <c:v>254.7</c:v>
                </c:pt>
                <c:pt idx="218">
                  <c:v>281</c:v>
                </c:pt>
                <c:pt idx="219">
                  <c:v>305.39999999999998</c:v>
                </c:pt>
                <c:pt idx="220">
                  <c:v>328.3</c:v>
                </c:pt>
                <c:pt idx="221">
                  <c:v>350</c:v>
                </c:pt>
                <c:pt idx="222">
                  <c:v>370.3</c:v>
                </c:pt>
                <c:pt idx="223">
                  <c:v>370.7</c:v>
                </c:pt>
                <c:pt idx="224">
                  <c:v>319.8</c:v>
                </c:pt>
                <c:pt idx="225">
                  <c:v>264.89999999999998</c:v>
                </c:pt>
                <c:pt idx="226">
                  <c:v>220</c:v>
                </c:pt>
                <c:pt idx="227">
                  <c:v>180.1</c:v>
                </c:pt>
                <c:pt idx="228">
                  <c:v>143.6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F0-4E4E-A9CF-BC5F4FF4882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pump!$A$4:$A$232</c:f>
              <c:numCache>
                <c:formatCode>General</c:formatCode>
                <c:ptCount val="2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</c:numCache>
            </c:numRef>
          </c:xVal>
          <c:yVal>
            <c:numRef>
              <c:f>pump!$F$4:$F$232</c:f>
              <c:numCache>
                <c:formatCode>General</c:formatCode>
                <c:ptCount val="229"/>
                <c:pt idx="0">
                  <c:v>1.4</c:v>
                </c:pt>
                <c:pt idx="1">
                  <c:v>147.30000000000001</c:v>
                </c:pt>
                <c:pt idx="2">
                  <c:v>582.6</c:v>
                </c:pt>
                <c:pt idx="3">
                  <c:v>614.5</c:v>
                </c:pt>
                <c:pt idx="4">
                  <c:v>353.1</c:v>
                </c:pt>
                <c:pt idx="5">
                  <c:v>402.1</c:v>
                </c:pt>
                <c:pt idx="6">
                  <c:v>638.9</c:v>
                </c:pt>
                <c:pt idx="7">
                  <c:v>741.9</c:v>
                </c:pt>
                <c:pt idx="8">
                  <c:v>771.3</c:v>
                </c:pt>
                <c:pt idx="9">
                  <c:v>847.5</c:v>
                </c:pt>
                <c:pt idx="10">
                  <c:v>927.2</c:v>
                </c:pt>
                <c:pt idx="11">
                  <c:v>987.3</c:v>
                </c:pt>
                <c:pt idx="12">
                  <c:v>1036.7</c:v>
                </c:pt>
                <c:pt idx="13">
                  <c:v>1081.2</c:v>
                </c:pt>
                <c:pt idx="14">
                  <c:v>1122.4000000000001</c:v>
                </c:pt>
                <c:pt idx="15">
                  <c:v>1161.0999999999999</c:v>
                </c:pt>
                <c:pt idx="16">
                  <c:v>1198</c:v>
                </c:pt>
                <c:pt idx="17">
                  <c:v>1233</c:v>
                </c:pt>
                <c:pt idx="18">
                  <c:v>1266.2</c:v>
                </c:pt>
                <c:pt idx="19">
                  <c:v>1293.3</c:v>
                </c:pt>
                <c:pt idx="20">
                  <c:v>1270</c:v>
                </c:pt>
                <c:pt idx="21">
                  <c:v>1190.9000000000001</c:v>
                </c:pt>
                <c:pt idx="22">
                  <c:v>1119.3</c:v>
                </c:pt>
                <c:pt idx="23">
                  <c:v>1060</c:v>
                </c:pt>
                <c:pt idx="24">
                  <c:v>1009</c:v>
                </c:pt>
                <c:pt idx="25">
                  <c:v>963.8</c:v>
                </c:pt>
                <c:pt idx="26">
                  <c:v>923.1</c:v>
                </c:pt>
                <c:pt idx="27">
                  <c:v>885.3</c:v>
                </c:pt>
                <c:pt idx="28">
                  <c:v>849.6</c:v>
                </c:pt>
                <c:pt idx="29">
                  <c:v>793.2</c:v>
                </c:pt>
                <c:pt idx="30">
                  <c:v>449.9</c:v>
                </c:pt>
                <c:pt idx="31">
                  <c:v>49.9</c:v>
                </c:pt>
                <c:pt idx="32">
                  <c:v>0.2</c:v>
                </c:pt>
                <c:pt idx="33">
                  <c:v>2.4</c:v>
                </c:pt>
                <c:pt idx="34">
                  <c:v>116</c:v>
                </c:pt>
                <c:pt idx="35">
                  <c:v>553.70000000000005</c:v>
                </c:pt>
                <c:pt idx="36">
                  <c:v>980.8</c:v>
                </c:pt>
                <c:pt idx="37">
                  <c:v>1055.0999999999999</c:v>
                </c:pt>
                <c:pt idx="38">
                  <c:v>682.1</c:v>
                </c:pt>
                <c:pt idx="39">
                  <c:v>234.5</c:v>
                </c:pt>
                <c:pt idx="40">
                  <c:v>345</c:v>
                </c:pt>
                <c:pt idx="41">
                  <c:v>222.5</c:v>
                </c:pt>
                <c:pt idx="42">
                  <c:v>20.100000000000001</c:v>
                </c:pt>
                <c:pt idx="43">
                  <c:v>0.3</c:v>
                </c:pt>
                <c:pt idx="44">
                  <c:v>1.5</c:v>
                </c:pt>
                <c:pt idx="45">
                  <c:v>1.4</c:v>
                </c:pt>
                <c:pt idx="46">
                  <c:v>1.2</c:v>
                </c:pt>
                <c:pt idx="47">
                  <c:v>6.7</c:v>
                </c:pt>
                <c:pt idx="48">
                  <c:v>142.69999999999999</c:v>
                </c:pt>
                <c:pt idx="49">
                  <c:v>392.4</c:v>
                </c:pt>
                <c:pt idx="50">
                  <c:v>413.9</c:v>
                </c:pt>
                <c:pt idx="51">
                  <c:v>613.20000000000005</c:v>
                </c:pt>
                <c:pt idx="52">
                  <c:v>792.7</c:v>
                </c:pt>
                <c:pt idx="53">
                  <c:v>774.8</c:v>
                </c:pt>
                <c:pt idx="54">
                  <c:v>745.5</c:v>
                </c:pt>
                <c:pt idx="55">
                  <c:v>761.3</c:v>
                </c:pt>
                <c:pt idx="56">
                  <c:v>835.7</c:v>
                </c:pt>
                <c:pt idx="57">
                  <c:v>831.4</c:v>
                </c:pt>
                <c:pt idx="58">
                  <c:v>354</c:v>
                </c:pt>
                <c:pt idx="59">
                  <c:v>19.100000000000001</c:v>
                </c:pt>
                <c:pt idx="60">
                  <c:v>0.5</c:v>
                </c:pt>
                <c:pt idx="61">
                  <c:v>0.5</c:v>
                </c:pt>
                <c:pt idx="62">
                  <c:v>4.5999999999999996</c:v>
                </c:pt>
                <c:pt idx="63">
                  <c:v>259.10000000000002</c:v>
                </c:pt>
                <c:pt idx="64">
                  <c:v>992.7</c:v>
                </c:pt>
                <c:pt idx="65">
                  <c:v>1247.9000000000001</c:v>
                </c:pt>
                <c:pt idx="66">
                  <c:v>1280</c:v>
                </c:pt>
                <c:pt idx="67">
                  <c:v>1275.5999999999999</c:v>
                </c:pt>
                <c:pt idx="68">
                  <c:v>1203.7</c:v>
                </c:pt>
                <c:pt idx="69">
                  <c:v>1128.2</c:v>
                </c:pt>
                <c:pt idx="70">
                  <c:v>1066.4000000000001</c:v>
                </c:pt>
                <c:pt idx="71">
                  <c:v>1013.8</c:v>
                </c:pt>
                <c:pt idx="72">
                  <c:v>967.5</c:v>
                </c:pt>
                <c:pt idx="73">
                  <c:v>925.9</c:v>
                </c:pt>
                <c:pt idx="74">
                  <c:v>887.6</c:v>
                </c:pt>
                <c:pt idx="75">
                  <c:v>851.6</c:v>
                </c:pt>
                <c:pt idx="76">
                  <c:v>817.1</c:v>
                </c:pt>
                <c:pt idx="77">
                  <c:v>783.3</c:v>
                </c:pt>
                <c:pt idx="78">
                  <c:v>753.1</c:v>
                </c:pt>
                <c:pt idx="79">
                  <c:v>758.9</c:v>
                </c:pt>
                <c:pt idx="80">
                  <c:v>822.3</c:v>
                </c:pt>
                <c:pt idx="81">
                  <c:v>905.3</c:v>
                </c:pt>
                <c:pt idx="82">
                  <c:v>969.7</c:v>
                </c:pt>
                <c:pt idx="83">
                  <c:v>1020.7</c:v>
                </c:pt>
                <c:pt idx="84">
                  <c:v>1065.8</c:v>
                </c:pt>
                <c:pt idx="85">
                  <c:v>1107.3</c:v>
                </c:pt>
                <c:pt idx="86">
                  <c:v>1146.2</c:v>
                </c:pt>
                <c:pt idx="87">
                  <c:v>1179.8</c:v>
                </c:pt>
                <c:pt idx="88">
                  <c:v>974.4</c:v>
                </c:pt>
                <c:pt idx="89">
                  <c:v>291.39999999999998</c:v>
                </c:pt>
                <c:pt idx="90">
                  <c:v>481.4</c:v>
                </c:pt>
                <c:pt idx="91">
                  <c:v>1094.9000000000001</c:v>
                </c:pt>
                <c:pt idx="92">
                  <c:v>1124.2</c:v>
                </c:pt>
                <c:pt idx="93">
                  <c:v>1061.7</c:v>
                </c:pt>
                <c:pt idx="94">
                  <c:v>1008.8</c:v>
                </c:pt>
                <c:pt idx="95">
                  <c:v>962.4</c:v>
                </c:pt>
                <c:pt idx="96">
                  <c:v>920.7</c:v>
                </c:pt>
                <c:pt idx="97">
                  <c:v>882.2</c:v>
                </c:pt>
                <c:pt idx="98">
                  <c:v>846</c:v>
                </c:pt>
                <c:pt idx="99">
                  <c:v>811.3</c:v>
                </c:pt>
                <c:pt idx="100">
                  <c:v>777</c:v>
                </c:pt>
                <c:pt idx="101">
                  <c:v>744.1</c:v>
                </c:pt>
                <c:pt idx="102">
                  <c:v>734.9</c:v>
                </c:pt>
                <c:pt idx="103">
                  <c:v>780.6</c:v>
                </c:pt>
                <c:pt idx="104">
                  <c:v>867.7</c:v>
                </c:pt>
                <c:pt idx="105">
                  <c:v>941.8</c:v>
                </c:pt>
                <c:pt idx="106">
                  <c:v>997.2</c:v>
                </c:pt>
                <c:pt idx="107">
                  <c:v>1044.0999999999999</c:v>
                </c:pt>
                <c:pt idx="108">
                  <c:v>1086.5999999999999</c:v>
                </c:pt>
                <c:pt idx="109">
                  <c:v>1126.8</c:v>
                </c:pt>
                <c:pt idx="110">
                  <c:v>1164.8</c:v>
                </c:pt>
                <c:pt idx="111">
                  <c:v>1200.8</c:v>
                </c:pt>
                <c:pt idx="112">
                  <c:v>1234.8</c:v>
                </c:pt>
                <c:pt idx="113">
                  <c:v>1256.4000000000001</c:v>
                </c:pt>
                <c:pt idx="114">
                  <c:v>1214.5</c:v>
                </c:pt>
                <c:pt idx="115">
                  <c:v>1135.0999999999999</c:v>
                </c:pt>
                <c:pt idx="116">
                  <c:v>1069.8</c:v>
                </c:pt>
                <c:pt idx="117">
                  <c:v>1015.2</c:v>
                </c:pt>
                <c:pt idx="118">
                  <c:v>967.6</c:v>
                </c:pt>
                <c:pt idx="119">
                  <c:v>925.1</c:v>
                </c:pt>
                <c:pt idx="120">
                  <c:v>885.9</c:v>
                </c:pt>
                <c:pt idx="121">
                  <c:v>849.1</c:v>
                </c:pt>
                <c:pt idx="122">
                  <c:v>814.1</c:v>
                </c:pt>
                <c:pt idx="123">
                  <c:v>779.7</c:v>
                </c:pt>
                <c:pt idx="124">
                  <c:v>745.4</c:v>
                </c:pt>
                <c:pt idx="125">
                  <c:v>728.1</c:v>
                </c:pt>
                <c:pt idx="126">
                  <c:v>780.4</c:v>
                </c:pt>
                <c:pt idx="127">
                  <c:v>845.6</c:v>
                </c:pt>
                <c:pt idx="128">
                  <c:v>522.70000000000005</c:v>
                </c:pt>
                <c:pt idx="129">
                  <c:v>60.1</c:v>
                </c:pt>
                <c:pt idx="130">
                  <c:v>7.4</c:v>
                </c:pt>
                <c:pt idx="131">
                  <c:v>283.60000000000002</c:v>
                </c:pt>
                <c:pt idx="132">
                  <c:v>843.8</c:v>
                </c:pt>
                <c:pt idx="133">
                  <c:v>1096.2</c:v>
                </c:pt>
                <c:pt idx="134">
                  <c:v>1197.3</c:v>
                </c:pt>
                <c:pt idx="135">
                  <c:v>1216.5999999999999</c:v>
                </c:pt>
                <c:pt idx="136">
                  <c:v>1164.5999999999999</c:v>
                </c:pt>
                <c:pt idx="137">
                  <c:v>1088.5</c:v>
                </c:pt>
                <c:pt idx="138">
                  <c:v>1028.7</c:v>
                </c:pt>
                <c:pt idx="139">
                  <c:v>978.2</c:v>
                </c:pt>
                <c:pt idx="140">
                  <c:v>854.1</c:v>
                </c:pt>
                <c:pt idx="141">
                  <c:v>337.3</c:v>
                </c:pt>
                <c:pt idx="142">
                  <c:v>18.3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F0-4E4E-A9CF-BC5F4FF4882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pump!$A$4:$A$232</c:f>
              <c:numCache>
                <c:formatCode>General</c:formatCode>
                <c:ptCount val="2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</c:numCache>
            </c:numRef>
          </c:xVal>
          <c:yVal>
            <c:numRef>
              <c:f>pump!$G$4:$G$232</c:f>
              <c:numCache>
                <c:formatCode>General</c:formatCode>
                <c:ptCount val="229"/>
                <c:pt idx="0">
                  <c:v>0.9</c:v>
                </c:pt>
                <c:pt idx="1">
                  <c:v>46.9</c:v>
                </c:pt>
                <c:pt idx="2">
                  <c:v>282.3</c:v>
                </c:pt>
                <c:pt idx="3">
                  <c:v>629.5</c:v>
                </c:pt>
                <c:pt idx="4">
                  <c:v>857</c:v>
                </c:pt>
                <c:pt idx="5">
                  <c:v>961.9</c:v>
                </c:pt>
                <c:pt idx="6">
                  <c:v>1023.2</c:v>
                </c:pt>
                <c:pt idx="7">
                  <c:v>1074.9000000000001</c:v>
                </c:pt>
                <c:pt idx="8">
                  <c:v>1123.4000000000001</c:v>
                </c:pt>
                <c:pt idx="9">
                  <c:v>1170.5</c:v>
                </c:pt>
                <c:pt idx="10">
                  <c:v>1205.5</c:v>
                </c:pt>
                <c:pt idx="11">
                  <c:v>1169.5</c:v>
                </c:pt>
                <c:pt idx="12">
                  <c:v>1089.5</c:v>
                </c:pt>
                <c:pt idx="13">
                  <c:v>1024.8</c:v>
                </c:pt>
                <c:pt idx="14">
                  <c:v>971.7</c:v>
                </c:pt>
                <c:pt idx="15">
                  <c:v>925.4</c:v>
                </c:pt>
                <c:pt idx="16">
                  <c:v>883.5</c:v>
                </c:pt>
                <c:pt idx="17">
                  <c:v>844.9</c:v>
                </c:pt>
                <c:pt idx="18">
                  <c:v>808.3</c:v>
                </c:pt>
                <c:pt idx="19">
                  <c:v>772.6</c:v>
                </c:pt>
                <c:pt idx="20">
                  <c:v>737.5</c:v>
                </c:pt>
                <c:pt idx="21">
                  <c:v>702.6</c:v>
                </c:pt>
                <c:pt idx="22">
                  <c:v>685.7</c:v>
                </c:pt>
                <c:pt idx="23">
                  <c:v>729.3</c:v>
                </c:pt>
                <c:pt idx="24">
                  <c:v>828.6</c:v>
                </c:pt>
                <c:pt idx="25">
                  <c:v>926.3</c:v>
                </c:pt>
                <c:pt idx="26">
                  <c:v>1004.1</c:v>
                </c:pt>
                <c:pt idx="27">
                  <c:v>1066.5</c:v>
                </c:pt>
                <c:pt idx="28">
                  <c:v>1121.7</c:v>
                </c:pt>
                <c:pt idx="29">
                  <c:v>1173.4000000000001</c:v>
                </c:pt>
                <c:pt idx="30">
                  <c:v>1223.0999999999999</c:v>
                </c:pt>
                <c:pt idx="31">
                  <c:v>1270.5999999999999</c:v>
                </c:pt>
                <c:pt idx="32">
                  <c:v>1315.3</c:v>
                </c:pt>
                <c:pt idx="33">
                  <c:v>1356.4</c:v>
                </c:pt>
                <c:pt idx="34">
                  <c:v>1383.6</c:v>
                </c:pt>
                <c:pt idx="35">
                  <c:v>1339.5</c:v>
                </c:pt>
                <c:pt idx="36">
                  <c:v>1244.5</c:v>
                </c:pt>
                <c:pt idx="37">
                  <c:v>1164.7</c:v>
                </c:pt>
                <c:pt idx="38">
                  <c:v>1098.5999999999999</c:v>
                </c:pt>
                <c:pt idx="39">
                  <c:v>1042.3</c:v>
                </c:pt>
                <c:pt idx="40">
                  <c:v>993.5</c:v>
                </c:pt>
                <c:pt idx="41">
                  <c:v>950.1</c:v>
                </c:pt>
                <c:pt idx="42">
                  <c:v>910.6</c:v>
                </c:pt>
                <c:pt idx="43">
                  <c:v>873.8</c:v>
                </c:pt>
                <c:pt idx="44">
                  <c:v>838.9</c:v>
                </c:pt>
                <c:pt idx="45">
                  <c:v>806</c:v>
                </c:pt>
                <c:pt idx="46">
                  <c:v>788.3</c:v>
                </c:pt>
                <c:pt idx="47">
                  <c:v>816.2</c:v>
                </c:pt>
                <c:pt idx="48">
                  <c:v>886.3</c:v>
                </c:pt>
                <c:pt idx="49">
                  <c:v>964.4</c:v>
                </c:pt>
                <c:pt idx="50">
                  <c:v>1036.3</c:v>
                </c:pt>
                <c:pt idx="51">
                  <c:v>1099.4000000000001</c:v>
                </c:pt>
                <c:pt idx="52">
                  <c:v>1155.5</c:v>
                </c:pt>
                <c:pt idx="53">
                  <c:v>1208.0999999999999</c:v>
                </c:pt>
                <c:pt idx="54">
                  <c:v>1258.4000000000001</c:v>
                </c:pt>
                <c:pt idx="55">
                  <c:v>1305.7</c:v>
                </c:pt>
                <c:pt idx="56">
                  <c:v>1349.6</c:v>
                </c:pt>
                <c:pt idx="57">
                  <c:v>1383.5</c:v>
                </c:pt>
                <c:pt idx="58">
                  <c:v>1355.3</c:v>
                </c:pt>
                <c:pt idx="59">
                  <c:v>1262</c:v>
                </c:pt>
                <c:pt idx="60">
                  <c:v>1178.8</c:v>
                </c:pt>
                <c:pt idx="61">
                  <c:v>1110.5999999999999</c:v>
                </c:pt>
                <c:pt idx="62">
                  <c:v>1052.4000000000001</c:v>
                </c:pt>
                <c:pt idx="63">
                  <c:v>1001.9</c:v>
                </c:pt>
                <c:pt idx="64">
                  <c:v>957.3</c:v>
                </c:pt>
                <c:pt idx="65">
                  <c:v>917</c:v>
                </c:pt>
                <c:pt idx="66">
                  <c:v>879.8</c:v>
                </c:pt>
                <c:pt idx="67">
                  <c:v>844.5</c:v>
                </c:pt>
                <c:pt idx="68">
                  <c:v>810.6</c:v>
                </c:pt>
                <c:pt idx="69">
                  <c:v>788.4</c:v>
                </c:pt>
                <c:pt idx="70">
                  <c:v>814.7</c:v>
                </c:pt>
                <c:pt idx="71">
                  <c:v>884.3</c:v>
                </c:pt>
                <c:pt idx="72">
                  <c:v>961.4</c:v>
                </c:pt>
                <c:pt idx="73">
                  <c:v>1033.2</c:v>
                </c:pt>
                <c:pt idx="74">
                  <c:v>1096.0999999999999</c:v>
                </c:pt>
                <c:pt idx="75">
                  <c:v>1152.2</c:v>
                </c:pt>
                <c:pt idx="76">
                  <c:v>1204.8</c:v>
                </c:pt>
                <c:pt idx="77">
                  <c:v>1254.8</c:v>
                </c:pt>
                <c:pt idx="78">
                  <c:v>1301.8</c:v>
                </c:pt>
                <c:pt idx="79">
                  <c:v>1345.6</c:v>
                </c:pt>
                <c:pt idx="80">
                  <c:v>1385.5</c:v>
                </c:pt>
                <c:pt idx="81">
                  <c:v>1416.3</c:v>
                </c:pt>
                <c:pt idx="82">
                  <c:v>1395.7</c:v>
                </c:pt>
                <c:pt idx="83">
                  <c:v>1304.2</c:v>
                </c:pt>
                <c:pt idx="84">
                  <c:v>1215.2</c:v>
                </c:pt>
                <c:pt idx="85">
                  <c:v>1142.5</c:v>
                </c:pt>
                <c:pt idx="86">
                  <c:v>1081</c:v>
                </c:pt>
                <c:pt idx="87">
                  <c:v>1027.5999999999999</c:v>
                </c:pt>
                <c:pt idx="88">
                  <c:v>980.4</c:v>
                </c:pt>
                <c:pt idx="89">
                  <c:v>938.3</c:v>
                </c:pt>
                <c:pt idx="90">
                  <c:v>899.8</c:v>
                </c:pt>
                <c:pt idx="91">
                  <c:v>863.5</c:v>
                </c:pt>
                <c:pt idx="92">
                  <c:v>829.2</c:v>
                </c:pt>
                <c:pt idx="93">
                  <c:v>801.1</c:v>
                </c:pt>
                <c:pt idx="94">
                  <c:v>813.5</c:v>
                </c:pt>
                <c:pt idx="95">
                  <c:v>881.3</c:v>
                </c:pt>
                <c:pt idx="96">
                  <c:v>958.1</c:v>
                </c:pt>
                <c:pt idx="97">
                  <c:v>1030</c:v>
                </c:pt>
                <c:pt idx="98">
                  <c:v>1093.3</c:v>
                </c:pt>
                <c:pt idx="99">
                  <c:v>1149.5</c:v>
                </c:pt>
                <c:pt idx="100">
                  <c:v>1202.0999999999999</c:v>
                </c:pt>
                <c:pt idx="101">
                  <c:v>1251.5999999999999</c:v>
                </c:pt>
                <c:pt idx="102">
                  <c:v>1298.2</c:v>
                </c:pt>
                <c:pt idx="103">
                  <c:v>1342</c:v>
                </c:pt>
                <c:pt idx="104">
                  <c:v>1381</c:v>
                </c:pt>
                <c:pt idx="105">
                  <c:v>1378.8</c:v>
                </c:pt>
                <c:pt idx="106">
                  <c:v>1295.7</c:v>
                </c:pt>
                <c:pt idx="107">
                  <c:v>1206.4000000000001</c:v>
                </c:pt>
                <c:pt idx="108">
                  <c:v>1133.7</c:v>
                </c:pt>
                <c:pt idx="109">
                  <c:v>1072.4000000000001</c:v>
                </c:pt>
                <c:pt idx="110">
                  <c:v>1019.2</c:v>
                </c:pt>
                <c:pt idx="111">
                  <c:v>972.1</c:v>
                </c:pt>
                <c:pt idx="112">
                  <c:v>929.9</c:v>
                </c:pt>
                <c:pt idx="113">
                  <c:v>891.3</c:v>
                </c:pt>
                <c:pt idx="114">
                  <c:v>855</c:v>
                </c:pt>
                <c:pt idx="115">
                  <c:v>820.2</c:v>
                </c:pt>
                <c:pt idx="116">
                  <c:v>790.8</c:v>
                </c:pt>
                <c:pt idx="117">
                  <c:v>794.1</c:v>
                </c:pt>
                <c:pt idx="118">
                  <c:v>845.9</c:v>
                </c:pt>
                <c:pt idx="119">
                  <c:v>921.7</c:v>
                </c:pt>
                <c:pt idx="120">
                  <c:v>995.5</c:v>
                </c:pt>
                <c:pt idx="121">
                  <c:v>1061.8</c:v>
                </c:pt>
                <c:pt idx="122">
                  <c:v>1119.5999999999999</c:v>
                </c:pt>
                <c:pt idx="123">
                  <c:v>1172.5999999999999</c:v>
                </c:pt>
                <c:pt idx="124">
                  <c:v>1223</c:v>
                </c:pt>
                <c:pt idx="125">
                  <c:v>1270.5999999999999</c:v>
                </c:pt>
                <c:pt idx="126">
                  <c:v>1315.7</c:v>
                </c:pt>
                <c:pt idx="127">
                  <c:v>1358</c:v>
                </c:pt>
                <c:pt idx="128">
                  <c:v>1376.1</c:v>
                </c:pt>
                <c:pt idx="129">
                  <c:v>1313</c:v>
                </c:pt>
                <c:pt idx="130">
                  <c:v>1219.9000000000001</c:v>
                </c:pt>
                <c:pt idx="131">
                  <c:v>1143.8</c:v>
                </c:pt>
                <c:pt idx="132">
                  <c:v>1080.4000000000001</c:v>
                </c:pt>
                <c:pt idx="133">
                  <c:v>1025.7</c:v>
                </c:pt>
                <c:pt idx="134">
                  <c:v>977.3</c:v>
                </c:pt>
                <c:pt idx="135">
                  <c:v>934</c:v>
                </c:pt>
                <c:pt idx="136">
                  <c:v>894.6</c:v>
                </c:pt>
                <c:pt idx="137">
                  <c:v>857.7</c:v>
                </c:pt>
                <c:pt idx="138">
                  <c:v>822.5</c:v>
                </c:pt>
                <c:pt idx="139">
                  <c:v>788.6</c:v>
                </c:pt>
                <c:pt idx="140">
                  <c:v>755.2</c:v>
                </c:pt>
                <c:pt idx="141">
                  <c:v>721.7</c:v>
                </c:pt>
                <c:pt idx="142">
                  <c:v>688.3</c:v>
                </c:pt>
                <c:pt idx="143">
                  <c:v>653.1</c:v>
                </c:pt>
                <c:pt idx="144">
                  <c:v>614.29999999999995</c:v>
                </c:pt>
                <c:pt idx="145">
                  <c:v>570.9</c:v>
                </c:pt>
                <c:pt idx="146">
                  <c:v>523.29999999999995</c:v>
                </c:pt>
                <c:pt idx="147">
                  <c:v>473.6</c:v>
                </c:pt>
                <c:pt idx="148">
                  <c:v>424</c:v>
                </c:pt>
                <c:pt idx="149">
                  <c:v>376.5</c:v>
                </c:pt>
                <c:pt idx="150">
                  <c:v>332.2</c:v>
                </c:pt>
                <c:pt idx="151">
                  <c:v>291.89999999999998</c:v>
                </c:pt>
                <c:pt idx="152">
                  <c:v>255.6</c:v>
                </c:pt>
                <c:pt idx="153">
                  <c:v>223</c:v>
                </c:pt>
                <c:pt idx="154">
                  <c:v>194.1</c:v>
                </c:pt>
                <c:pt idx="155">
                  <c:v>168.9</c:v>
                </c:pt>
                <c:pt idx="156">
                  <c:v>146.9</c:v>
                </c:pt>
                <c:pt idx="157">
                  <c:v>127.5</c:v>
                </c:pt>
                <c:pt idx="158">
                  <c:v>110.5</c:v>
                </c:pt>
                <c:pt idx="159">
                  <c:v>95.6</c:v>
                </c:pt>
                <c:pt idx="160">
                  <c:v>82.5</c:v>
                </c:pt>
                <c:pt idx="161">
                  <c:v>70.900000000000006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F0-4E4E-A9CF-BC5F4FF48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391480"/>
        <c:axId val="645391120"/>
      </c:scatterChart>
      <c:valAx>
        <c:axId val="64539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91120"/>
        <c:crosses val="autoZero"/>
        <c:crossBetween val="midCat"/>
      </c:valAx>
      <c:valAx>
        <c:axId val="6453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91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pump!$J$3</c:f>
              <c:strCache>
                <c:ptCount val="1"/>
                <c:pt idx="0">
                  <c:v>2V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pump!$I$4:$I$246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pump!$J$4:$J$246</c:f>
              <c:numCache>
                <c:formatCode>General</c:formatCode>
                <c:ptCount val="243"/>
                <c:pt idx="0">
                  <c:v>3.9</c:v>
                </c:pt>
                <c:pt idx="1">
                  <c:v>86.9</c:v>
                </c:pt>
                <c:pt idx="2">
                  <c:v>233.3</c:v>
                </c:pt>
                <c:pt idx="3">
                  <c:v>261.60000000000002</c:v>
                </c:pt>
                <c:pt idx="4">
                  <c:v>273.5</c:v>
                </c:pt>
                <c:pt idx="5">
                  <c:v>281.3</c:v>
                </c:pt>
                <c:pt idx="6">
                  <c:v>278.89999999999998</c:v>
                </c:pt>
                <c:pt idx="7">
                  <c:v>269</c:v>
                </c:pt>
                <c:pt idx="8">
                  <c:v>241.9</c:v>
                </c:pt>
                <c:pt idx="9">
                  <c:v>215.4</c:v>
                </c:pt>
                <c:pt idx="10">
                  <c:v>191</c:v>
                </c:pt>
                <c:pt idx="11">
                  <c:v>168.5</c:v>
                </c:pt>
                <c:pt idx="12">
                  <c:v>148</c:v>
                </c:pt>
                <c:pt idx="13">
                  <c:v>129.30000000000001</c:v>
                </c:pt>
                <c:pt idx="14">
                  <c:v>112</c:v>
                </c:pt>
                <c:pt idx="15">
                  <c:v>96</c:v>
                </c:pt>
                <c:pt idx="16">
                  <c:v>81.400000000000006</c:v>
                </c:pt>
                <c:pt idx="17">
                  <c:v>68.8</c:v>
                </c:pt>
                <c:pt idx="18">
                  <c:v>71.3</c:v>
                </c:pt>
                <c:pt idx="19">
                  <c:v>90.5</c:v>
                </c:pt>
                <c:pt idx="20">
                  <c:v>131.30000000000001</c:v>
                </c:pt>
                <c:pt idx="21">
                  <c:v>160.1</c:v>
                </c:pt>
                <c:pt idx="22">
                  <c:v>192.6</c:v>
                </c:pt>
                <c:pt idx="23">
                  <c:v>208.7</c:v>
                </c:pt>
                <c:pt idx="24">
                  <c:v>233.3</c:v>
                </c:pt>
                <c:pt idx="25">
                  <c:v>241.2</c:v>
                </c:pt>
                <c:pt idx="26">
                  <c:v>260.7</c:v>
                </c:pt>
                <c:pt idx="27">
                  <c:v>262.7</c:v>
                </c:pt>
                <c:pt idx="28">
                  <c:v>278.89999999999998</c:v>
                </c:pt>
                <c:pt idx="29">
                  <c:v>272.60000000000002</c:v>
                </c:pt>
                <c:pt idx="30">
                  <c:v>253</c:v>
                </c:pt>
                <c:pt idx="31">
                  <c:v>227.1</c:v>
                </c:pt>
                <c:pt idx="32">
                  <c:v>201.2</c:v>
                </c:pt>
                <c:pt idx="33">
                  <c:v>177.4</c:v>
                </c:pt>
                <c:pt idx="34">
                  <c:v>155.6</c:v>
                </c:pt>
                <c:pt idx="35">
                  <c:v>135.69999999999999</c:v>
                </c:pt>
                <c:pt idx="36">
                  <c:v>117.6</c:v>
                </c:pt>
                <c:pt idx="37">
                  <c:v>101</c:v>
                </c:pt>
                <c:pt idx="38">
                  <c:v>85.8</c:v>
                </c:pt>
                <c:pt idx="39">
                  <c:v>72</c:v>
                </c:pt>
                <c:pt idx="40">
                  <c:v>59.7</c:v>
                </c:pt>
                <c:pt idx="41">
                  <c:v>63.6</c:v>
                </c:pt>
                <c:pt idx="42">
                  <c:v>96.3</c:v>
                </c:pt>
                <c:pt idx="43">
                  <c:v>131.9</c:v>
                </c:pt>
                <c:pt idx="44">
                  <c:v>165.4</c:v>
                </c:pt>
                <c:pt idx="45">
                  <c:v>195</c:v>
                </c:pt>
                <c:pt idx="46">
                  <c:v>214.2</c:v>
                </c:pt>
                <c:pt idx="47">
                  <c:v>237.5</c:v>
                </c:pt>
                <c:pt idx="48">
                  <c:v>247.5</c:v>
                </c:pt>
                <c:pt idx="49">
                  <c:v>266</c:v>
                </c:pt>
                <c:pt idx="50">
                  <c:v>270.39999999999998</c:v>
                </c:pt>
                <c:pt idx="51">
                  <c:v>285.10000000000002</c:v>
                </c:pt>
                <c:pt idx="52">
                  <c:v>284.10000000000002</c:v>
                </c:pt>
                <c:pt idx="53">
                  <c:v>273.3</c:v>
                </c:pt>
                <c:pt idx="54">
                  <c:v>249.6</c:v>
                </c:pt>
                <c:pt idx="55">
                  <c:v>221.9</c:v>
                </c:pt>
                <c:pt idx="56">
                  <c:v>196.4</c:v>
                </c:pt>
                <c:pt idx="57">
                  <c:v>173</c:v>
                </c:pt>
                <c:pt idx="58">
                  <c:v>151.5</c:v>
                </c:pt>
                <c:pt idx="59">
                  <c:v>132</c:v>
                </c:pt>
                <c:pt idx="60">
                  <c:v>114.1</c:v>
                </c:pt>
                <c:pt idx="61">
                  <c:v>97.9</c:v>
                </c:pt>
                <c:pt idx="62">
                  <c:v>83</c:v>
                </c:pt>
                <c:pt idx="63">
                  <c:v>69.400000000000006</c:v>
                </c:pt>
                <c:pt idx="64">
                  <c:v>63.8</c:v>
                </c:pt>
                <c:pt idx="65">
                  <c:v>78.5</c:v>
                </c:pt>
                <c:pt idx="66">
                  <c:v>109.6</c:v>
                </c:pt>
                <c:pt idx="67">
                  <c:v>146.1</c:v>
                </c:pt>
                <c:pt idx="68">
                  <c:v>175.6</c:v>
                </c:pt>
                <c:pt idx="69">
                  <c:v>197.2</c:v>
                </c:pt>
                <c:pt idx="70">
                  <c:v>219.6</c:v>
                </c:pt>
                <c:pt idx="71">
                  <c:v>231.9</c:v>
                </c:pt>
                <c:pt idx="72">
                  <c:v>248.6</c:v>
                </c:pt>
                <c:pt idx="73">
                  <c:v>256.39999999999998</c:v>
                </c:pt>
                <c:pt idx="74">
                  <c:v>267.39999999999998</c:v>
                </c:pt>
                <c:pt idx="75">
                  <c:v>273.10000000000002</c:v>
                </c:pt>
                <c:pt idx="76">
                  <c:v>257.3</c:v>
                </c:pt>
                <c:pt idx="77">
                  <c:v>234.5</c:v>
                </c:pt>
                <c:pt idx="78">
                  <c:v>208.1</c:v>
                </c:pt>
                <c:pt idx="79">
                  <c:v>183.6</c:v>
                </c:pt>
                <c:pt idx="80">
                  <c:v>161.1</c:v>
                </c:pt>
                <c:pt idx="81">
                  <c:v>140.6</c:v>
                </c:pt>
                <c:pt idx="82">
                  <c:v>122</c:v>
                </c:pt>
                <c:pt idx="83">
                  <c:v>105</c:v>
                </c:pt>
                <c:pt idx="84">
                  <c:v>89.5</c:v>
                </c:pt>
                <c:pt idx="85">
                  <c:v>75.3</c:v>
                </c:pt>
                <c:pt idx="86">
                  <c:v>62.4</c:v>
                </c:pt>
                <c:pt idx="87">
                  <c:v>55.5</c:v>
                </c:pt>
                <c:pt idx="88">
                  <c:v>79.900000000000006</c:v>
                </c:pt>
                <c:pt idx="89">
                  <c:v>109.9</c:v>
                </c:pt>
                <c:pt idx="90">
                  <c:v>148.30000000000001</c:v>
                </c:pt>
                <c:pt idx="91">
                  <c:v>171.8</c:v>
                </c:pt>
                <c:pt idx="92">
                  <c:v>200.2</c:v>
                </c:pt>
                <c:pt idx="93">
                  <c:v>214.2</c:v>
                </c:pt>
                <c:pt idx="94">
                  <c:v>235.1</c:v>
                </c:pt>
                <c:pt idx="95">
                  <c:v>242.3</c:v>
                </c:pt>
                <c:pt idx="96">
                  <c:v>259.39999999999998</c:v>
                </c:pt>
                <c:pt idx="97">
                  <c:v>261.10000000000002</c:v>
                </c:pt>
                <c:pt idx="98">
                  <c:v>276</c:v>
                </c:pt>
                <c:pt idx="99">
                  <c:v>262</c:v>
                </c:pt>
                <c:pt idx="100">
                  <c:v>233.7</c:v>
                </c:pt>
                <c:pt idx="101">
                  <c:v>207.2</c:v>
                </c:pt>
                <c:pt idx="102">
                  <c:v>182.8</c:v>
                </c:pt>
                <c:pt idx="103">
                  <c:v>160.4</c:v>
                </c:pt>
                <c:pt idx="104">
                  <c:v>140</c:v>
                </c:pt>
                <c:pt idx="105">
                  <c:v>121.4</c:v>
                </c:pt>
                <c:pt idx="106">
                  <c:v>104.4</c:v>
                </c:pt>
                <c:pt idx="107">
                  <c:v>89</c:v>
                </c:pt>
                <c:pt idx="108">
                  <c:v>74.900000000000006</c:v>
                </c:pt>
                <c:pt idx="109">
                  <c:v>62.1</c:v>
                </c:pt>
                <c:pt idx="110">
                  <c:v>52.5</c:v>
                </c:pt>
                <c:pt idx="111">
                  <c:v>73.7</c:v>
                </c:pt>
                <c:pt idx="112">
                  <c:v>111</c:v>
                </c:pt>
                <c:pt idx="113">
                  <c:v>145.5</c:v>
                </c:pt>
                <c:pt idx="114">
                  <c:v>170.4</c:v>
                </c:pt>
                <c:pt idx="115">
                  <c:v>197.4</c:v>
                </c:pt>
                <c:pt idx="116">
                  <c:v>211.2</c:v>
                </c:pt>
                <c:pt idx="117">
                  <c:v>232.2</c:v>
                </c:pt>
                <c:pt idx="118">
                  <c:v>239.3</c:v>
                </c:pt>
                <c:pt idx="119">
                  <c:v>255.1</c:v>
                </c:pt>
                <c:pt idx="120">
                  <c:v>259.60000000000002</c:v>
                </c:pt>
                <c:pt idx="121">
                  <c:v>269.7</c:v>
                </c:pt>
                <c:pt idx="122">
                  <c:v>272.3</c:v>
                </c:pt>
                <c:pt idx="123">
                  <c:v>247.1</c:v>
                </c:pt>
                <c:pt idx="124">
                  <c:v>219.6</c:v>
                </c:pt>
                <c:pt idx="125">
                  <c:v>194.3</c:v>
                </c:pt>
                <c:pt idx="126">
                  <c:v>171</c:v>
                </c:pt>
                <c:pt idx="127">
                  <c:v>149.69999999999999</c:v>
                </c:pt>
                <c:pt idx="128">
                  <c:v>130.19999999999999</c:v>
                </c:pt>
                <c:pt idx="129">
                  <c:v>112.5</c:v>
                </c:pt>
                <c:pt idx="130">
                  <c:v>96.3</c:v>
                </c:pt>
                <c:pt idx="131">
                  <c:v>81.599999999999994</c:v>
                </c:pt>
                <c:pt idx="132">
                  <c:v>68.2</c:v>
                </c:pt>
                <c:pt idx="133">
                  <c:v>56</c:v>
                </c:pt>
                <c:pt idx="134">
                  <c:v>57.3</c:v>
                </c:pt>
                <c:pt idx="135">
                  <c:v>98.8</c:v>
                </c:pt>
                <c:pt idx="136">
                  <c:v>130.1</c:v>
                </c:pt>
                <c:pt idx="137">
                  <c:v>164.4</c:v>
                </c:pt>
                <c:pt idx="138">
                  <c:v>183.8</c:v>
                </c:pt>
                <c:pt idx="139">
                  <c:v>208.5</c:v>
                </c:pt>
                <c:pt idx="140">
                  <c:v>219.7</c:v>
                </c:pt>
                <c:pt idx="141">
                  <c:v>238.7</c:v>
                </c:pt>
                <c:pt idx="142">
                  <c:v>243.3</c:v>
                </c:pt>
                <c:pt idx="143">
                  <c:v>259.7</c:v>
                </c:pt>
                <c:pt idx="144">
                  <c:v>259.39999999999998</c:v>
                </c:pt>
                <c:pt idx="145">
                  <c:v>273.60000000000002</c:v>
                </c:pt>
                <c:pt idx="146">
                  <c:v>263.10000000000002</c:v>
                </c:pt>
                <c:pt idx="147">
                  <c:v>235.2</c:v>
                </c:pt>
                <c:pt idx="148">
                  <c:v>208.6</c:v>
                </c:pt>
                <c:pt idx="149">
                  <c:v>184</c:v>
                </c:pt>
                <c:pt idx="150">
                  <c:v>161.5</c:v>
                </c:pt>
                <c:pt idx="151">
                  <c:v>140.9</c:v>
                </c:pt>
                <c:pt idx="152">
                  <c:v>122.2</c:v>
                </c:pt>
                <c:pt idx="153">
                  <c:v>105.1</c:v>
                </c:pt>
                <c:pt idx="154">
                  <c:v>89.5</c:v>
                </c:pt>
                <c:pt idx="155">
                  <c:v>75.400000000000006</c:v>
                </c:pt>
                <c:pt idx="156">
                  <c:v>62.5</c:v>
                </c:pt>
                <c:pt idx="157">
                  <c:v>51.2</c:v>
                </c:pt>
                <c:pt idx="158">
                  <c:v>61.9</c:v>
                </c:pt>
                <c:pt idx="159">
                  <c:v>105.5</c:v>
                </c:pt>
                <c:pt idx="160">
                  <c:v>136</c:v>
                </c:pt>
                <c:pt idx="161">
                  <c:v>166.5</c:v>
                </c:pt>
                <c:pt idx="162">
                  <c:v>187.5</c:v>
                </c:pt>
                <c:pt idx="163">
                  <c:v>207.5</c:v>
                </c:pt>
                <c:pt idx="164">
                  <c:v>221.3</c:v>
                </c:pt>
                <c:pt idx="165">
                  <c:v>236.1</c:v>
                </c:pt>
                <c:pt idx="166">
                  <c:v>243.1</c:v>
                </c:pt>
                <c:pt idx="167">
                  <c:v>256.7</c:v>
                </c:pt>
                <c:pt idx="168">
                  <c:v>255.5</c:v>
                </c:pt>
                <c:pt idx="169">
                  <c:v>257.39999999999998</c:v>
                </c:pt>
                <c:pt idx="170">
                  <c:v>234.7</c:v>
                </c:pt>
                <c:pt idx="171">
                  <c:v>207.9</c:v>
                </c:pt>
                <c:pt idx="172">
                  <c:v>183.3</c:v>
                </c:pt>
                <c:pt idx="173">
                  <c:v>160.69999999999999</c:v>
                </c:pt>
                <c:pt idx="174">
                  <c:v>140.1</c:v>
                </c:pt>
                <c:pt idx="175">
                  <c:v>121.4</c:v>
                </c:pt>
                <c:pt idx="176">
                  <c:v>104.3</c:v>
                </c:pt>
                <c:pt idx="177">
                  <c:v>88.7</c:v>
                </c:pt>
                <c:pt idx="178">
                  <c:v>74.5</c:v>
                </c:pt>
                <c:pt idx="179">
                  <c:v>61.7</c:v>
                </c:pt>
                <c:pt idx="180">
                  <c:v>54.3</c:v>
                </c:pt>
                <c:pt idx="181">
                  <c:v>59.8</c:v>
                </c:pt>
                <c:pt idx="182">
                  <c:v>90.2</c:v>
                </c:pt>
                <c:pt idx="183">
                  <c:v>125.7</c:v>
                </c:pt>
                <c:pt idx="184">
                  <c:v>156.6</c:v>
                </c:pt>
                <c:pt idx="185">
                  <c:v>177.2</c:v>
                </c:pt>
                <c:pt idx="186">
                  <c:v>200.8</c:v>
                </c:pt>
                <c:pt idx="187">
                  <c:v>212.2</c:v>
                </c:pt>
                <c:pt idx="188">
                  <c:v>229.3</c:v>
                </c:pt>
                <c:pt idx="189">
                  <c:v>237</c:v>
                </c:pt>
                <c:pt idx="190">
                  <c:v>247.5</c:v>
                </c:pt>
                <c:pt idx="191">
                  <c:v>255.9</c:v>
                </c:pt>
                <c:pt idx="192">
                  <c:v>258.5</c:v>
                </c:pt>
                <c:pt idx="193">
                  <c:v>264.2</c:v>
                </c:pt>
                <c:pt idx="194">
                  <c:v>241.1</c:v>
                </c:pt>
                <c:pt idx="195">
                  <c:v>213.9</c:v>
                </c:pt>
                <c:pt idx="196">
                  <c:v>188.8</c:v>
                </c:pt>
                <c:pt idx="197">
                  <c:v>165.8</c:v>
                </c:pt>
                <c:pt idx="198">
                  <c:v>144.69999999999999</c:v>
                </c:pt>
                <c:pt idx="199">
                  <c:v>125.5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4-44C4-82F5-326482CA70BE}"/>
            </c:ext>
          </c:extLst>
        </c:ser>
        <c:ser>
          <c:idx val="1"/>
          <c:order val="1"/>
          <c:tx>
            <c:strRef>
              <c:f>pump!$K$3</c:f>
              <c:strCache>
                <c:ptCount val="1"/>
                <c:pt idx="0">
                  <c:v>4V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pump!$I$4:$I$246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pump!$K$4:$K$246</c:f>
              <c:numCache>
                <c:formatCode>General</c:formatCode>
                <c:ptCount val="243"/>
                <c:pt idx="0">
                  <c:v>-187.8</c:v>
                </c:pt>
                <c:pt idx="1">
                  <c:v>-189.4</c:v>
                </c:pt>
                <c:pt idx="2">
                  <c:v>-126.1</c:v>
                </c:pt>
                <c:pt idx="3">
                  <c:v>-57.6</c:v>
                </c:pt>
                <c:pt idx="4">
                  <c:v>-4.7</c:v>
                </c:pt>
                <c:pt idx="5">
                  <c:v>36.799999999999997</c:v>
                </c:pt>
                <c:pt idx="6">
                  <c:v>69.8</c:v>
                </c:pt>
                <c:pt idx="7">
                  <c:v>96.3</c:v>
                </c:pt>
                <c:pt idx="8">
                  <c:v>118.1</c:v>
                </c:pt>
                <c:pt idx="9">
                  <c:v>136.1</c:v>
                </c:pt>
                <c:pt idx="10">
                  <c:v>151.30000000000001</c:v>
                </c:pt>
                <c:pt idx="11">
                  <c:v>164</c:v>
                </c:pt>
                <c:pt idx="12">
                  <c:v>174.7</c:v>
                </c:pt>
                <c:pt idx="13">
                  <c:v>178.6</c:v>
                </c:pt>
                <c:pt idx="14">
                  <c:v>159</c:v>
                </c:pt>
                <c:pt idx="15">
                  <c:v>124</c:v>
                </c:pt>
                <c:pt idx="16">
                  <c:v>89.2</c:v>
                </c:pt>
                <c:pt idx="17">
                  <c:v>54.9</c:v>
                </c:pt>
                <c:pt idx="18">
                  <c:v>20.2</c:v>
                </c:pt>
                <c:pt idx="19">
                  <c:v>-14.9</c:v>
                </c:pt>
                <c:pt idx="20">
                  <c:v>-50.4</c:v>
                </c:pt>
                <c:pt idx="21">
                  <c:v>-86</c:v>
                </c:pt>
                <c:pt idx="22">
                  <c:v>-121.4</c:v>
                </c:pt>
                <c:pt idx="23">
                  <c:v>-156.30000000000001</c:v>
                </c:pt>
                <c:pt idx="24">
                  <c:v>-189.6</c:v>
                </c:pt>
                <c:pt idx="25">
                  <c:v>-202.5</c:v>
                </c:pt>
                <c:pt idx="26">
                  <c:v>-153.30000000000001</c:v>
                </c:pt>
                <c:pt idx="27">
                  <c:v>-78.400000000000006</c:v>
                </c:pt>
                <c:pt idx="28">
                  <c:v>-18.8</c:v>
                </c:pt>
                <c:pt idx="29">
                  <c:v>27.3</c:v>
                </c:pt>
                <c:pt idx="30">
                  <c:v>63.5</c:v>
                </c:pt>
                <c:pt idx="31">
                  <c:v>92.7</c:v>
                </c:pt>
                <c:pt idx="32">
                  <c:v>116.3</c:v>
                </c:pt>
                <c:pt idx="33">
                  <c:v>135.80000000000001</c:v>
                </c:pt>
                <c:pt idx="34">
                  <c:v>152.1</c:v>
                </c:pt>
                <c:pt idx="35">
                  <c:v>165.9</c:v>
                </c:pt>
                <c:pt idx="36">
                  <c:v>174.8</c:v>
                </c:pt>
                <c:pt idx="37">
                  <c:v>158</c:v>
                </c:pt>
                <c:pt idx="38">
                  <c:v>121.7</c:v>
                </c:pt>
                <c:pt idx="39">
                  <c:v>86.1</c:v>
                </c:pt>
                <c:pt idx="40">
                  <c:v>51</c:v>
                </c:pt>
                <c:pt idx="41">
                  <c:v>15.6</c:v>
                </c:pt>
                <c:pt idx="42">
                  <c:v>-20.100000000000001</c:v>
                </c:pt>
                <c:pt idx="43">
                  <c:v>-56.2</c:v>
                </c:pt>
                <c:pt idx="44">
                  <c:v>-92.1</c:v>
                </c:pt>
                <c:pt idx="45">
                  <c:v>-127.8</c:v>
                </c:pt>
                <c:pt idx="46">
                  <c:v>-162.9</c:v>
                </c:pt>
                <c:pt idx="47">
                  <c:v>-196.7</c:v>
                </c:pt>
                <c:pt idx="48">
                  <c:v>-211.7</c:v>
                </c:pt>
                <c:pt idx="49">
                  <c:v>-158.30000000000001</c:v>
                </c:pt>
                <c:pt idx="50">
                  <c:v>-82.8</c:v>
                </c:pt>
                <c:pt idx="51">
                  <c:v>-23.6</c:v>
                </c:pt>
                <c:pt idx="52">
                  <c:v>22.2</c:v>
                </c:pt>
                <c:pt idx="53">
                  <c:v>58.5</c:v>
                </c:pt>
                <c:pt idx="54">
                  <c:v>87.5</c:v>
                </c:pt>
                <c:pt idx="55">
                  <c:v>111</c:v>
                </c:pt>
                <c:pt idx="56">
                  <c:v>130.30000000000001</c:v>
                </c:pt>
                <c:pt idx="57">
                  <c:v>146.30000000000001</c:v>
                </c:pt>
                <c:pt idx="58">
                  <c:v>159.80000000000001</c:v>
                </c:pt>
                <c:pt idx="59">
                  <c:v>171.3</c:v>
                </c:pt>
                <c:pt idx="60">
                  <c:v>177.5</c:v>
                </c:pt>
                <c:pt idx="61">
                  <c:v>161.9</c:v>
                </c:pt>
                <c:pt idx="62">
                  <c:v>127.7</c:v>
                </c:pt>
                <c:pt idx="63">
                  <c:v>92</c:v>
                </c:pt>
                <c:pt idx="64">
                  <c:v>56.8</c:v>
                </c:pt>
                <c:pt idx="65">
                  <c:v>21.4</c:v>
                </c:pt>
                <c:pt idx="66">
                  <c:v>-14.4</c:v>
                </c:pt>
                <c:pt idx="67">
                  <c:v>-50.6</c:v>
                </c:pt>
                <c:pt idx="68">
                  <c:v>-86.7</c:v>
                </c:pt>
                <c:pt idx="69">
                  <c:v>-122.7</c:v>
                </c:pt>
                <c:pt idx="70">
                  <c:v>-158.1</c:v>
                </c:pt>
                <c:pt idx="71">
                  <c:v>-192.2</c:v>
                </c:pt>
                <c:pt idx="72">
                  <c:v>-210.9</c:v>
                </c:pt>
                <c:pt idx="73">
                  <c:v>-170.3</c:v>
                </c:pt>
                <c:pt idx="74">
                  <c:v>-94.6</c:v>
                </c:pt>
                <c:pt idx="75">
                  <c:v>-32</c:v>
                </c:pt>
                <c:pt idx="76">
                  <c:v>16.2</c:v>
                </c:pt>
                <c:pt idx="77">
                  <c:v>54.1</c:v>
                </c:pt>
                <c:pt idx="78">
                  <c:v>84.2</c:v>
                </c:pt>
                <c:pt idx="79">
                  <c:v>108.7</c:v>
                </c:pt>
                <c:pt idx="80">
                  <c:v>128.80000000000001</c:v>
                </c:pt>
                <c:pt idx="81">
                  <c:v>145.5</c:v>
                </c:pt>
                <c:pt idx="82">
                  <c:v>159.6</c:v>
                </c:pt>
                <c:pt idx="83">
                  <c:v>171.6</c:v>
                </c:pt>
                <c:pt idx="84">
                  <c:v>180.6</c:v>
                </c:pt>
                <c:pt idx="85">
                  <c:v>168.2</c:v>
                </c:pt>
                <c:pt idx="86">
                  <c:v>132.5</c:v>
                </c:pt>
                <c:pt idx="87">
                  <c:v>96.6</c:v>
                </c:pt>
                <c:pt idx="88">
                  <c:v>61.3</c:v>
                </c:pt>
                <c:pt idx="89">
                  <c:v>25.8</c:v>
                </c:pt>
                <c:pt idx="90">
                  <c:v>-10.1</c:v>
                </c:pt>
                <c:pt idx="91">
                  <c:v>-46.4</c:v>
                </c:pt>
                <c:pt idx="92">
                  <c:v>-82.7</c:v>
                </c:pt>
                <c:pt idx="93">
                  <c:v>-118.8</c:v>
                </c:pt>
                <c:pt idx="94">
                  <c:v>-154.19999999999999</c:v>
                </c:pt>
                <c:pt idx="95">
                  <c:v>-188.7</c:v>
                </c:pt>
                <c:pt idx="96">
                  <c:v>-212.4</c:v>
                </c:pt>
                <c:pt idx="97">
                  <c:v>-173.1</c:v>
                </c:pt>
                <c:pt idx="98">
                  <c:v>-96</c:v>
                </c:pt>
                <c:pt idx="99">
                  <c:v>-33.799999999999997</c:v>
                </c:pt>
                <c:pt idx="100">
                  <c:v>14.3</c:v>
                </c:pt>
                <c:pt idx="101">
                  <c:v>52.3</c:v>
                </c:pt>
                <c:pt idx="102">
                  <c:v>82.7</c:v>
                </c:pt>
                <c:pt idx="103">
                  <c:v>107.4</c:v>
                </c:pt>
                <c:pt idx="104">
                  <c:v>127.5</c:v>
                </c:pt>
                <c:pt idx="105">
                  <c:v>144.30000000000001</c:v>
                </c:pt>
                <c:pt idx="106">
                  <c:v>158.4</c:v>
                </c:pt>
                <c:pt idx="107">
                  <c:v>168.7</c:v>
                </c:pt>
                <c:pt idx="108">
                  <c:v>160.30000000000001</c:v>
                </c:pt>
                <c:pt idx="109">
                  <c:v>128.30000000000001</c:v>
                </c:pt>
                <c:pt idx="110">
                  <c:v>91.6</c:v>
                </c:pt>
                <c:pt idx="111">
                  <c:v>55.6</c:v>
                </c:pt>
                <c:pt idx="112">
                  <c:v>19.5</c:v>
                </c:pt>
                <c:pt idx="113">
                  <c:v>-16.899999999999999</c:v>
                </c:pt>
                <c:pt idx="114">
                  <c:v>-53.4</c:v>
                </c:pt>
                <c:pt idx="115">
                  <c:v>-89.8</c:v>
                </c:pt>
                <c:pt idx="116">
                  <c:v>-125.8</c:v>
                </c:pt>
                <c:pt idx="117">
                  <c:v>-161.19999999999999</c:v>
                </c:pt>
                <c:pt idx="118">
                  <c:v>-195.4</c:v>
                </c:pt>
                <c:pt idx="119">
                  <c:v>-221.7</c:v>
                </c:pt>
                <c:pt idx="120">
                  <c:v>-195.9</c:v>
                </c:pt>
                <c:pt idx="121">
                  <c:v>-121.1</c:v>
                </c:pt>
                <c:pt idx="122">
                  <c:v>-53.2</c:v>
                </c:pt>
                <c:pt idx="123">
                  <c:v>-1.1000000000000001</c:v>
                </c:pt>
                <c:pt idx="124">
                  <c:v>39.700000000000003</c:v>
                </c:pt>
                <c:pt idx="125">
                  <c:v>72.400000000000006</c:v>
                </c:pt>
                <c:pt idx="126">
                  <c:v>98.8</c:v>
                </c:pt>
                <c:pt idx="127">
                  <c:v>120.3</c:v>
                </c:pt>
                <c:pt idx="128">
                  <c:v>138.30000000000001</c:v>
                </c:pt>
                <c:pt idx="129">
                  <c:v>153.4</c:v>
                </c:pt>
                <c:pt idx="130">
                  <c:v>165.9</c:v>
                </c:pt>
                <c:pt idx="131">
                  <c:v>169.3</c:v>
                </c:pt>
                <c:pt idx="132">
                  <c:v>143.69999999999999</c:v>
                </c:pt>
                <c:pt idx="133">
                  <c:v>106.2</c:v>
                </c:pt>
                <c:pt idx="134">
                  <c:v>69.8</c:v>
                </c:pt>
                <c:pt idx="135">
                  <c:v>33.700000000000003</c:v>
                </c:pt>
                <c:pt idx="136">
                  <c:v>-2.7</c:v>
                </c:pt>
                <c:pt idx="137">
                  <c:v>-39.299999999999997</c:v>
                </c:pt>
                <c:pt idx="138">
                  <c:v>-75.900000000000006</c:v>
                </c:pt>
                <c:pt idx="139">
                  <c:v>-112.3</c:v>
                </c:pt>
                <c:pt idx="140">
                  <c:v>-148.1</c:v>
                </c:pt>
                <c:pt idx="141">
                  <c:v>-182.9</c:v>
                </c:pt>
                <c:pt idx="142">
                  <c:v>-214.8</c:v>
                </c:pt>
                <c:pt idx="143">
                  <c:v>-217.4</c:v>
                </c:pt>
                <c:pt idx="144">
                  <c:v>-151.9</c:v>
                </c:pt>
                <c:pt idx="145">
                  <c:v>-74.400000000000006</c:v>
                </c:pt>
                <c:pt idx="146">
                  <c:v>-15.5</c:v>
                </c:pt>
                <c:pt idx="147">
                  <c:v>29.8</c:v>
                </c:pt>
                <c:pt idx="148">
                  <c:v>65.900000000000006</c:v>
                </c:pt>
                <c:pt idx="149">
                  <c:v>94.8</c:v>
                </c:pt>
                <c:pt idx="150">
                  <c:v>118.3</c:v>
                </c:pt>
                <c:pt idx="151">
                  <c:v>137.5</c:v>
                </c:pt>
                <c:pt idx="152">
                  <c:v>153.5</c:v>
                </c:pt>
                <c:pt idx="153">
                  <c:v>167.1</c:v>
                </c:pt>
                <c:pt idx="154">
                  <c:v>178.3</c:v>
                </c:pt>
                <c:pt idx="155">
                  <c:v>174.3</c:v>
                </c:pt>
                <c:pt idx="156">
                  <c:v>143.1</c:v>
                </c:pt>
                <c:pt idx="157">
                  <c:v>106.9</c:v>
                </c:pt>
                <c:pt idx="158">
                  <c:v>71.3</c:v>
                </c:pt>
                <c:pt idx="159">
                  <c:v>35.700000000000003</c:v>
                </c:pt>
                <c:pt idx="160">
                  <c:v>-0.2</c:v>
                </c:pt>
                <c:pt idx="161">
                  <c:v>-36.5</c:v>
                </c:pt>
                <c:pt idx="162">
                  <c:v>-73</c:v>
                </c:pt>
                <c:pt idx="163">
                  <c:v>-109.3</c:v>
                </c:pt>
                <c:pt idx="164">
                  <c:v>-145.1</c:v>
                </c:pt>
                <c:pt idx="165">
                  <c:v>-179.9</c:v>
                </c:pt>
                <c:pt idx="166">
                  <c:v>-210.6</c:v>
                </c:pt>
                <c:pt idx="167">
                  <c:v>-196.5</c:v>
                </c:pt>
                <c:pt idx="168">
                  <c:v>-121.5</c:v>
                </c:pt>
                <c:pt idx="169">
                  <c:v>-50.9</c:v>
                </c:pt>
                <c:pt idx="170">
                  <c:v>3.3</c:v>
                </c:pt>
                <c:pt idx="171">
                  <c:v>45.5</c:v>
                </c:pt>
                <c:pt idx="172">
                  <c:v>78.900000000000006</c:v>
                </c:pt>
                <c:pt idx="173">
                  <c:v>105.9</c:v>
                </c:pt>
                <c:pt idx="174">
                  <c:v>128</c:v>
                </c:pt>
                <c:pt idx="175">
                  <c:v>146.4</c:v>
                </c:pt>
                <c:pt idx="176">
                  <c:v>161.69999999999999</c:v>
                </c:pt>
                <c:pt idx="177">
                  <c:v>174.8</c:v>
                </c:pt>
                <c:pt idx="178">
                  <c:v>186.1</c:v>
                </c:pt>
                <c:pt idx="179">
                  <c:v>188.1</c:v>
                </c:pt>
                <c:pt idx="180">
                  <c:v>160.80000000000001</c:v>
                </c:pt>
                <c:pt idx="181">
                  <c:v>124.4</c:v>
                </c:pt>
                <c:pt idx="182">
                  <c:v>89.6</c:v>
                </c:pt>
                <c:pt idx="183">
                  <c:v>54.8</c:v>
                </c:pt>
                <c:pt idx="184">
                  <c:v>19.5</c:v>
                </c:pt>
                <c:pt idx="185">
                  <c:v>-16.399999999999999</c:v>
                </c:pt>
                <c:pt idx="186">
                  <c:v>-52.6</c:v>
                </c:pt>
                <c:pt idx="187">
                  <c:v>-88.9</c:v>
                </c:pt>
                <c:pt idx="188">
                  <c:v>-125</c:v>
                </c:pt>
                <c:pt idx="189">
                  <c:v>-160.4</c:v>
                </c:pt>
                <c:pt idx="190">
                  <c:v>-193.5</c:v>
                </c:pt>
                <c:pt idx="191">
                  <c:v>-191.5</c:v>
                </c:pt>
                <c:pt idx="192">
                  <c:v>-122.1</c:v>
                </c:pt>
                <c:pt idx="193">
                  <c:v>-51.1</c:v>
                </c:pt>
                <c:pt idx="194">
                  <c:v>3.1</c:v>
                </c:pt>
                <c:pt idx="195">
                  <c:v>45.5</c:v>
                </c:pt>
                <c:pt idx="196">
                  <c:v>78.900000000000006</c:v>
                </c:pt>
                <c:pt idx="197">
                  <c:v>105.7</c:v>
                </c:pt>
                <c:pt idx="198">
                  <c:v>127.8</c:v>
                </c:pt>
                <c:pt idx="199">
                  <c:v>146</c:v>
                </c:pt>
                <c:pt idx="200">
                  <c:v>161.4</c:v>
                </c:pt>
                <c:pt idx="201">
                  <c:v>174.5</c:v>
                </c:pt>
                <c:pt idx="202">
                  <c:v>185.8</c:v>
                </c:pt>
                <c:pt idx="203">
                  <c:v>190.7</c:v>
                </c:pt>
                <c:pt idx="204">
                  <c:v>167.8</c:v>
                </c:pt>
                <c:pt idx="205">
                  <c:v>130.80000000000001</c:v>
                </c:pt>
                <c:pt idx="206">
                  <c:v>95.6</c:v>
                </c:pt>
                <c:pt idx="207">
                  <c:v>60.5</c:v>
                </c:pt>
                <c:pt idx="208">
                  <c:v>25.1</c:v>
                </c:pt>
                <c:pt idx="209">
                  <c:v>-10.8</c:v>
                </c:pt>
                <c:pt idx="210">
                  <c:v>-47.2</c:v>
                </c:pt>
                <c:pt idx="211">
                  <c:v>-83.6</c:v>
                </c:pt>
                <c:pt idx="212">
                  <c:v>-119.8</c:v>
                </c:pt>
                <c:pt idx="213">
                  <c:v>-155.4</c:v>
                </c:pt>
                <c:pt idx="214">
                  <c:v>-189.2</c:v>
                </c:pt>
                <c:pt idx="215">
                  <c:v>-200.6</c:v>
                </c:pt>
                <c:pt idx="216">
                  <c:v>-145.69999999999999</c:v>
                </c:pt>
                <c:pt idx="217">
                  <c:v>-70.099999999999994</c:v>
                </c:pt>
                <c:pt idx="218">
                  <c:v>-11.2</c:v>
                </c:pt>
                <c:pt idx="219">
                  <c:v>34.1</c:v>
                </c:pt>
                <c:pt idx="220">
                  <c:v>69.900000000000006</c:v>
                </c:pt>
                <c:pt idx="221">
                  <c:v>98.6</c:v>
                </c:pt>
                <c:pt idx="222">
                  <c:v>121.9</c:v>
                </c:pt>
                <c:pt idx="223">
                  <c:v>141.19999999999999</c:v>
                </c:pt>
                <c:pt idx="224">
                  <c:v>157.4</c:v>
                </c:pt>
                <c:pt idx="225">
                  <c:v>171.2</c:v>
                </c:pt>
                <c:pt idx="226">
                  <c:v>182.7</c:v>
                </c:pt>
                <c:pt idx="227">
                  <c:v>182.7</c:v>
                </c:pt>
                <c:pt idx="228">
                  <c:v>155.5</c:v>
                </c:pt>
                <c:pt idx="229">
                  <c:v>119.6</c:v>
                </c:pt>
                <c:pt idx="230">
                  <c:v>84.2</c:v>
                </c:pt>
                <c:pt idx="231">
                  <c:v>48.8</c:v>
                </c:pt>
                <c:pt idx="232">
                  <c:v>13.1</c:v>
                </c:pt>
                <c:pt idx="233">
                  <c:v>-23.2</c:v>
                </c:pt>
                <c:pt idx="234">
                  <c:v>-59.7</c:v>
                </c:pt>
                <c:pt idx="235">
                  <c:v>-96.1</c:v>
                </c:pt>
                <c:pt idx="236">
                  <c:v>-132.19999999999999</c:v>
                </c:pt>
                <c:pt idx="237">
                  <c:v>-167.6</c:v>
                </c:pt>
                <c:pt idx="238">
                  <c:v>-200.2</c:v>
                </c:pt>
                <c:pt idx="239">
                  <c:v>-197.2</c:v>
                </c:pt>
                <c:pt idx="240">
                  <c:v>-129.69999999999999</c:v>
                </c:pt>
                <c:pt idx="241">
                  <c:v>-58.5</c:v>
                </c:pt>
                <c:pt idx="242">
                  <c:v>-3.6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C4-44C4-82F5-326482CA70BE}"/>
            </c:ext>
          </c:extLst>
        </c:ser>
        <c:ser>
          <c:idx val="2"/>
          <c:order val="2"/>
          <c:tx>
            <c:strRef>
              <c:f>pump!$L$3</c:f>
              <c:strCache>
                <c:ptCount val="1"/>
                <c:pt idx="0">
                  <c:v>6V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pump!$I$4:$I$246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pump!$L$4:$L$246</c:f>
              <c:numCache>
                <c:formatCode>General</c:formatCode>
                <c:ptCount val="243"/>
                <c:pt idx="0">
                  <c:v>79.900000000000006</c:v>
                </c:pt>
                <c:pt idx="1">
                  <c:v>99</c:v>
                </c:pt>
                <c:pt idx="2">
                  <c:v>116.8</c:v>
                </c:pt>
                <c:pt idx="3">
                  <c:v>118.9</c:v>
                </c:pt>
                <c:pt idx="4">
                  <c:v>88.4</c:v>
                </c:pt>
                <c:pt idx="5">
                  <c:v>56.6</c:v>
                </c:pt>
                <c:pt idx="6">
                  <c:v>29.3</c:v>
                </c:pt>
                <c:pt idx="7">
                  <c:v>4.3</c:v>
                </c:pt>
                <c:pt idx="8">
                  <c:v>-18.899999999999999</c:v>
                </c:pt>
                <c:pt idx="9">
                  <c:v>-40.9</c:v>
                </c:pt>
                <c:pt idx="10">
                  <c:v>-62.1</c:v>
                </c:pt>
                <c:pt idx="11">
                  <c:v>-83</c:v>
                </c:pt>
                <c:pt idx="12">
                  <c:v>-103.8</c:v>
                </c:pt>
                <c:pt idx="13">
                  <c:v>-125.1</c:v>
                </c:pt>
                <c:pt idx="14">
                  <c:v>-145.6</c:v>
                </c:pt>
                <c:pt idx="15">
                  <c:v>-144</c:v>
                </c:pt>
                <c:pt idx="16">
                  <c:v>-103.4</c:v>
                </c:pt>
                <c:pt idx="17">
                  <c:v>-54.1</c:v>
                </c:pt>
                <c:pt idx="18">
                  <c:v>-16.2</c:v>
                </c:pt>
                <c:pt idx="19">
                  <c:v>14.5</c:v>
                </c:pt>
                <c:pt idx="20">
                  <c:v>41</c:v>
                </c:pt>
                <c:pt idx="21">
                  <c:v>64.7</c:v>
                </c:pt>
                <c:pt idx="22">
                  <c:v>86.5</c:v>
                </c:pt>
                <c:pt idx="23">
                  <c:v>106.9</c:v>
                </c:pt>
                <c:pt idx="24">
                  <c:v>126.1</c:v>
                </c:pt>
                <c:pt idx="25">
                  <c:v>144.30000000000001</c:v>
                </c:pt>
                <c:pt idx="26">
                  <c:v>154.69999999999999</c:v>
                </c:pt>
                <c:pt idx="27">
                  <c:v>132.5</c:v>
                </c:pt>
                <c:pt idx="28">
                  <c:v>97.1</c:v>
                </c:pt>
                <c:pt idx="29">
                  <c:v>67.599999999999994</c:v>
                </c:pt>
                <c:pt idx="30">
                  <c:v>41.1</c:v>
                </c:pt>
                <c:pt idx="31">
                  <c:v>16.7</c:v>
                </c:pt>
                <c:pt idx="32">
                  <c:v>-6.1</c:v>
                </c:pt>
                <c:pt idx="33">
                  <c:v>-27.6</c:v>
                </c:pt>
                <c:pt idx="34">
                  <c:v>-48.5</c:v>
                </c:pt>
                <c:pt idx="35">
                  <c:v>-69.2</c:v>
                </c:pt>
                <c:pt idx="36">
                  <c:v>-89.8</c:v>
                </c:pt>
                <c:pt idx="37">
                  <c:v>-110.4</c:v>
                </c:pt>
                <c:pt idx="38">
                  <c:v>-120.6</c:v>
                </c:pt>
                <c:pt idx="39">
                  <c:v>-88.1</c:v>
                </c:pt>
                <c:pt idx="40">
                  <c:v>-38.799999999999997</c:v>
                </c:pt>
                <c:pt idx="41">
                  <c:v>-1.8</c:v>
                </c:pt>
                <c:pt idx="42">
                  <c:v>28.5</c:v>
                </c:pt>
                <c:pt idx="43">
                  <c:v>54.9</c:v>
                </c:pt>
                <c:pt idx="44">
                  <c:v>78.7</c:v>
                </c:pt>
                <c:pt idx="45">
                  <c:v>100.7</c:v>
                </c:pt>
                <c:pt idx="46">
                  <c:v>121.3</c:v>
                </c:pt>
                <c:pt idx="47">
                  <c:v>140.9</c:v>
                </c:pt>
                <c:pt idx="48">
                  <c:v>159.30000000000001</c:v>
                </c:pt>
                <c:pt idx="49">
                  <c:v>171.2</c:v>
                </c:pt>
                <c:pt idx="50">
                  <c:v>150</c:v>
                </c:pt>
                <c:pt idx="51">
                  <c:v>114.1</c:v>
                </c:pt>
                <c:pt idx="52">
                  <c:v>84</c:v>
                </c:pt>
                <c:pt idx="53">
                  <c:v>56.8</c:v>
                </c:pt>
                <c:pt idx="54">
                  <c:v>32</c:v>
                </c:pt>
                <c:pt idx="55">
                  <c:v>8.8000000000000007</c:v>
                </c:pt>
                <c:pt idx="56">
                  <c:v>-13.3</c:v>
                </c:pt>
                <c:pt idx="57">
                  <c:v>-34.5</c:v>
                </c:pt>
                <c:pt idx="58">
                  <c:v>-55.4</c:v>
                </c:pt>
                <c:pt idx="59">
                  <c:v>-76.099999999999994</c:v>
                </c:pt>
                <c:pt idx="60">
                  <c:v>-96.6</c:v>
                </c:pt>
                <c:pt idx="61">
                  <c:v>-107.2</c:v>
                </c:pt>
                <c:pt idx="62">
                  <c:v>-81.400000000000006</c:v>
                </c:pt>
                <c:pt idx="63">
                  <c:v>-36.200000000000003</c:v>
                </c:pt>
                <c:pt idx="64">
                  <c:v>1.1000000000000001</c:v>
                </c:pt>
                <c:pt idx="65">
                  <c:v>31.2</c:v>
                </c:pt>
                <c:pt idx="66">
                  <c:v>57.4</c:v>
                </c:pt>
                <c:pt idx="67">
                  <c:v>81.2</c:v>
                </c:pt>
                <c:pt idx="68">
                  <c:v>103.1</c:v>
                </c:pt>
                <c:pt idx="69">
                  <c:v>123.5</c:v>
                </c:pt>
                <c:pt idx="70">
                  <c:v>142.69999999999999</c:v>
                </c:pt>
                <c:pt idx="71">
                  <c:v>160.9</c:v>
                </c:pt>
                <c:pt idx="72">
                  <c:v>175.7</c:v>
                </c:pt>
                <c:pt idx="73">
                  <c:v>165</c:v>
                </c:pt>
                <c:pt idx="74">
                  <c:v>129.9</c:v>
                </c:pt>
                <c:pt idx="75">
                  <c:v>97.7</c:v>
                </c:pt>
                <c:pt idx="76">
                  <c:v>69.3</c:v>
                </c:pt>
                <c:pt idx="77">
                  <c:v>43.4</c:v>
                </c:pt>
                <c:pt idx="78">
                  <c:v>19.399999999999999</c:v>
                </c:pt>
                <c:pt idx="79">
                  <c:v>-3.4</c:v>
                </c:pt>
                <c:pt idx="80">
                  <c:v>-25.2</c:v>
                </c:pt>
                <c:pt idx="81">
                  <c:v>-46.5</c:v>
                </c:pt>
                <c:pt idx="82">
                  <c:v>-67.599999999999994</c:v>
                </c:pt>
                <c:pt idx="83">
                  <c:v>-88.7</c:v>
                </c:pt>
                <c:pt idx="84">
                  <c:v>-106.6</c:v>
                </c:pt>
                <c:pt idx="85">
                  <c:v>-118.1</c:v>
                </c:pt>
                <c:pt idx="86">
                  <c:v>-138.9</c:v>
                </c:pt>
                <c:pt idx="87">
                  <c:v>-162.6</c:v>
                </c:pt>
                <c:pt idx="88">
                  <c:v>-186.8</c:v>
                </c:pt>
                <c:pt idx="89">
                  <c:v>-212.4</c:v>
                </c:pt>
                <c:pt idx="90">
                  <c:v>-233.6</c:v>
                </c:pt>
                <c:pt idx="91">
                  <c:v>-206.4</c:v>
                </c:pt>
                <c:pt idx="92">
                  <c:v>-130.6</c:v>
                </c:pt>
                <c:pt idx="93">
                  <c:v>-70.8</c:v>
                </c:pt>
                <c:pt idx="94">
                  <c:v>-27.6</c:v>
                </c:pt>
                <c:pt idx="95">
                  <c:v>4.9000000000000004</c:v>
                </c:pt>
                <c:pt idx="96">
                  <c:v>11.6</c:v>
                </c:pt>
                <c:pt idx="97">
                  <c:v>-19.2</c:v>
                </c:pt>
                <c:pt idx="98">
                  <c:v>-52.1</c:v>
                </c:pt>
                <c:pt idx="99">
                  <c:v>-81.099999999999994</c:v>
                </c:pt>
                <c:pt idx="100">
                  <c:v>-108.8</c:v>
                </c:pt>
                <c:pt idx="101">
                  <c:v>-136.19999999999999</c:v>
                </c:pt>
                <c:pt idx="102">
                  <c:v>-164</c:v>
                </c:pt>
                <c:pt idx="103">
                  <c:v>-192.8</c:v>
                </c:pt>
                <c:pt idx="104">
                  <c:v>-222.8</c:v>
                </c:pt>
                <c:pt idx="105">
                  <c:v>-254.3</c:v>
                </c:pt>
                <c:pt idx="106">
                  <c:v>-286.8</c:v>
                </c:pt>
                <c:pt idx="107">
                  <c:v>-316.7</c:v>
                </c:pt>
                <c:pt idx="108">
                  <c:v>-303.5</c:v>
                </c:pt>
                <c:pt idx="109">
                  <c:v>-215.9</c:v>
                </c:pt>
                <c:pt idx="110">
                  <c:v>-130.9</c:v>
                </c:pt>
                <c:pt idx="111">
                  <c:v>-72.099999999999994</c:v>
                </c:pt>
                <c:pt idx="112">
                  <c:v>-29.2</c:v>
                </c:pt>
                <c:pt idx="113">
                  <c:v>4.0999999999999996</c:v>
                </c:pt>
                <c:pt idx="114">
                  <c:v>31.5</c:v>
                </c:pt>
                <c:pt idx="115">
                  <c:v>55.1</c:v>
                </c:pt>
                <c:pt idx="116">
                  <c:v>76.2</c:v>
                </c:pt>
                <c:pt idx="117">
                  <c:v>95.7</c:v>
                </c:pt>
                <c:pt idx="118">
                  <c:v>113.5</c:v>
                </c:pt>
                <c:pt idx="119">
                  <c:v>117.9</c:v>
                </c:pt>
                <c:pt idx="120">
                  <c:v>89</c:v>
                </c:pt>
                <c:pt idx="121">
                  <c:v>54.9</c:v>
                </c:pt>
                <c:pt idx="122">
                  <c:v>26.3</c:v>
                </c:pt>
                <c:pt idx="123">
                  <c:v>0.1</c:v>
                </c:pt>
                <c:pt idx="124">
                  <c:v>-24.7</c:v>
                </c:pt>
                <c:pt idx="125">
                  <c:v>-48.6</c:v>
                </c:pt>
                <c:pt idx="126">
                  <c:v>-71.900000000000006</c:v>
                </c:pt>
                <c:pt idx="127">
                  <c:v>-95</c:v>
                </c:pt>
                <c:pt idx="128">
                  <c:v>-118.6</c:v>
                </c:pt>
                <c:pt idx="129">
                  <c:v>-143.1</c:v>
                </c:pt>
                <c:pt idx="130">
                  <c:v>-167.7</c:v>
                </c:pt>
                <c:pt idx="131">
                  <c:v>-172.2</c:v>
                </c:pt>
                <c:pt idx="132">
                  <c:v>-122.6</c:v>
                </c:pt>
                <c:pt idx="133">
                  <c:v>-63.5</c:v>
                </c:pt>
                <c:pt idx="134">
                  <c:v>-20.9</c:v>
                </c:pt>
                <c:pt idx="135">
                  <c:v>12.3</c:v>
                </c:pt>
                <c:pt idx="136">
                  <c:v>40.1</c:v>
                </c:pt>
                <c:pt idx="137">
                  <c:v>64.5</c:v>
                </c:pt>
                <c:pt idx="138">
                  <c:v>86.4</c:v>
                </c:pt>
                <c:pt idx="139">
                  <c:v>106.7</c:v>
                </c:pt>
                <c:pt idx="140">
                  <c:v>125.7</c:v>
                </c:pt>
                <c:pt idx="141">
                  <c:v>143.5</c:v>
                </c:pt>
                <c:pt idx="142">
                  <c:v>149.80000000000001</c:v>
                </c:pt>
                <c:pt idx="143">
                  <c:v>120.4</c:v>
                </c:pt>
                <c:pt idx="144">
                  <c:v>84.9</c:v>
                </c:pt>
                <c:pt idx="145">
                  <c:v>55.2</c:v>
                </c:pt>
                <c:pt idx="146">
                  <c:v>28.2</c:v>
                </c:pt>
                <c:pt idx="147">
                  <c:v>3.1</c:v>
                </c:pt>
                <c:pt idx="148">
                  <c:v>-20.8</c:v>
                </c:pt>
                <c:pt idx="149">
                  <c:v>-43.9</c:v>
                </c:pt>
                <c:pt idx="150">
                  <c:v>-66.5</c:v>
                </c:pt>
                <c:pt idx="151">
                  <c:v>-89.1</c:v>
                </c:pt>
                <c:pt idx="152">
                  <c:v>-112.1</c:v>
                </c:pt>
                <c:pt idx="153">
                  <c:v>-135.4</c:v>
                </c:pt>
                <c:pt idx="154">
                  <c:v>-140.4</c:v>
                </c:pt>
                <c:pt idx="155">
                  <c:v>-99.4</c:v>
                </c:pt>
                <c:pt idx="156">
                  <c:v>-46.2</c:v>
                </c:pt>
                <c:pt idx="157">
                  <c:v>-5.9</c:v>
                </c:pt>
                <c:pt idx="158">
                  <c:v>25.8</c:v>
                </c:pt>
                <c:pt idx="159">
                  <c:v>52.9</c:v>
                </c:pt>
                <c:pt idx="160">
                  <c:v>76.8</c:v>
                </c:pt>
                <c:pt idx="161">
                  <c:v>98.3</c:v>
                </c:pt>
                <c:pt idx="162">
                  <c:v>118.3</c:v>
                </c:pt>
                <c:pt idx="163">
                  <c:v>137.30000000000001</c:v>
                </c:pt>
                <c:pt idx="164">
                  <c:v>155.19999999999999</c:v>
                </c:pt>
                <c:pt idx="165">
                  <c:v>172.2</c:v>
                </c:pt>
                <c:pt idx="166">
                  <c:v>181.4</c:v>
                </c:pt>
                <c:pt idx="167">
                  <c:v>158.5</c:v>
                </c:pt>
                <c:pt idx="168">
                  <c:v>121.1</c:v>
                </c:pt>
                <c:pt idx="169">
                  <c:v>89.1</c:v>
                </c:pt>
                <c:pt idx="170">
                  <c:v>60.6</c:v>
                </c:pt>
                <c:pt idx="171">
                  <c:v>34.4</c:v>
                </c:pt>
                <c:pt idx="172">
                  <c:v>9.8000000000000007</c:v>
                </c:pt>
                <c:pt idx="173">
                  <c:v>-13.7</c:v>
                </c:pt>
                <c:pt idx="174">
                  <c:v>-36.299999999999997</c:v>
                </c:pt>
                <c:pt idx="175">
                  <c:v>-58.4</c:v>
                </c:pt>
                <c:pt idx="176">
                  <c:v>-80.7</c:v>
                </c:pt>
                <c:pt idx="177">
                  <c:v>-103.1</c:v>
                </c:pt>
                <c:pt idx="178">
                  <c:v>-116.4</c:v>
                </c:pt>
                <c:pt idx="179">
                  <c:v>-87.2</c:v>
                </c:pt>
                <c:pt idx="180">
                  <c:v>-35</c:v>
                </c:pt>
                <c:pt idx="181">
                  <c:v>4.0999999999999996</c:v>
                </c:pt>
                <c:pt idx="182">
                  <c:v>35.200000000000003</c:v>
                </c:pt>
                <c:pt idx="183">
                  <c:v>62</c:v>
                </c:pt>
                <c:pt idx="184">
                  <c:v>85.7</c:v>
                </c:pt>
                <c:pt idx="185">
                  <c:v>107.2</c:v>
                </c:pt>
                <c:pt idx="186">
                  <c:v>127.1</c:v>
                </c:pt>
                <c:pt idx="187">
                  <c:v>145.80000000000001</c:v>
                </c:pt>
                <c:pt idx="188">
                  <c:v>163.4</c:v>
                </c:pt>
                <c:pt idx="189">
                  <c:v>176.5</c:v>
                </c:pt>
                <c:pt idx="190">
                  <c:v>158.6</c:v>
                </c:pt>
                <c:pt idx="191">
                  <c:v>119.3</c:v>
                </c:pt>
                <c:pt idx="192">
                  <c:v>86.4</c:v>
                </c:pt>
                <c:pt idx="193">
                  <c:v>57.2</c:v>
                </c:pt>
                <c:pt idx="194">
                  <c:v>30.4</c:v>
                </c:pt>
                <c:pt idx="195">
                  <c:v>5.5</c:v>
                </c:pt>
                <c:pt idx="196">
                  <c:v>-18.2</c:v>
                </c:pt>
                <c:pt idx="197">
                  <c:v>-41.2</c:v>
                </c:pt>
                <c:pt idx="198">
                  <c:v>-63.9</c:v>
                </c:pt>
                <c:pt idx="199">
                  <c:v>-86.8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C4-44C4-82F5-326482CA70BE}"/>
            </c:ext>
          </c:extLst>
        </c:ser>
        <c:ser>
          <c:idx val="3"/>
          <c:order val="3"/>
          <c:tx>
            <c:strRef>
              <c:f>pump!$M$3</c:f>
              <c:strCache>
                <c:ptCount val="1"/>
                <c:pt idx="0">
                  <c:v>8V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pump!$I$4:$I$246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pump!$M$4:$M$246</c:f>
              <c:numCache>
                <c:formatCode>General</c:formatCode>
                <c:ptCount val="243"/>
                <c:pt idx="0">
                  <c:v>1</c:v>
                </c:pt>
                <c:pt idx="1">
                  <c:v>55.4</c:v>
                </c:pt>
                <c:pt idx="2">
                  <c:v>288.60000000000002</c:v>
                </c:pt>
                <c:pt idx="3">
                  <c:v>577.9</c:v>
                </c:pt>
                <c:pt idx="4">
                  <c:v>769.1</c:v>
                </c:pt>
                <c:pt idx="5">
                  <c:v>878.9</c:v>
                </c:pt>
                <c:pt idx="6">
                  <c:v>943.3</c:v>
                </c:pt>
                <c:pt idx="7">
                  <c:v>986.8</c:v>
                </c:pt>
                <c:pt idx="8">
                  <c:v>1022</c:v>
                </c:pt>
                <c:pt idx="9">
                  <c:v>1054</c:v>
                </c:pt>
                <c:pt idx="10">
                  <c:v>1084.5999999999999</c:v>
                </c:pt>
                <c:pt idx="11">
                  <c:v>1114.5999999999999</c:v>
                </c:pt>
                <c:pt idx="12">
                  <c:v>1143.8</c:v>
                </c:pt>
                <c:pt idx="13">
                  <c:v>1172</c:v>
                </c:pt>
                <c:pt idx="14">
                  <c:v>1200.5999999999999</c:v>
                </c:pt>
                <c:pt idx="15">
                  <c:v>1228.5999999999999</c:v>
                </c:pt>
                <c:pt idx="16">
                  <c:v>1256.4000000000001</c:v>
                </c:pt>
                <c:pt idx="17">
                  <c:v>1283.8</c:v>
                </c:pt>
                <c:pt idx="18">
                  <c:v>1311.1</c:v>
                </c:pt>
                <c:pt idx="19">
                  <c:v>1337.9</c:v>
                </c:pt>
                <c:pt idx="20">
                  <c:v>1363.4</c:v>
                </c:pt>
                <c:pt idx="21">
                  <c:v>1387.1</c:v>
                </c:pt>
                <c:pt idx="22">
                  <c:v>1408.1</c:v>
                </c:pt>
                <c:pt idx="23">
                  <c:v>1427.9</c:v>
                </c:pt>
                <c:pt idx="24">
                  <c:v>1446</c:v>
                </c:pt>
                <c:pt idx="25">
                  <c:v>1439.5</c:v>
                </c:pt>
                <c:pt idx="26">
                  <c:v>1378.3</c:v>
                </c:pt>
                <c:pt idx="27">
                  <c:v>1314.8</c:v>
                </c:pt>
                <c:pt idx="28">
                  <c:v>1262</c:v>
                </c:pt>
                <c:pt idx="29">
                  <c:v>1215.9000000000001</c:v>
                </c:pt>
                <c:pt idx="30">
                  <c:v>1175</c:v>
                </c:pt>
                <c:pt idx="31">
                  <c:v>1138.4000000000001</c:v>
                </c:pt>
                <c:pt idx="32">
                  <c:v>1105.2</c:v>
                </c:pt>
                <c:pt idx="33">
                  <c:v>1074.9000000000001</c:v>
                </c:pt>
                <c:pt idx="34">
                  <c:v>1046.9000000000001</c:v>
                </c:pt>
                <c:pt idx="35">
                  <c:v>1020.9</c:v>
                </c:pt>
                <c:pt idx="36">
                  <c:v>997.4</c:v>
                </c:pt>
                <c:pt idx="37">
                  <c:v>979.1</c:v>
                </c:pt>
                <c:pt idx="38">
                  <c:v>958.2</c:v>
                </c:pt>
                <c:pt idx="39">
                  <c:v>936.7</c:v>
                </c:pt>
                <c:pt idx="40">
                  <c:v>916.4</c:v>
                </c:pt>
                <c:pt idx="41">
                  <c:v>896.9</c:v>
                </c:pt>
                <c:pt idx="42">
                  <c:v>878.1</c:v>
                </c:pt>
                <c:pt idx="43">
                  <c:v>859.8</c:v>
                </c:pt>
                <c:pt idx="44">
                  <c:v>842</c:v>
                </c:pt>
                <c:pt idx="45">
                  <c:v>825.3</c:v>
                </c:pt>
                <c:pt idx="46">
                  <c:v>808.6</c:v>
                </c:pt>
                <c:pt idx="47">
                  <c:v>791.9</c:v>
                </c:pt>
                <c:pt idx="48">
                  <c:v>774.6</c:v>
                </c:pt>
                <c:pt idx="49">
                  <c:v>756.4</c:v>
                </c:pt>
                <c:pt idx="50">
                  <c:v>737.4</c:v>
                </c:pt>
                <c:pt idx="51">
                  <c:v>717.7</c:v>
                </c:pt>
                <c:pt idx="52">
                  <c:v>696.5</c:v>
                </c:pt>
                <c:pt idx="53">
                  <c:v>673.6</c:v>
                </c:pt>
                <c:pt idx="54">
                  <c:v>648.9</c:v>
                </c:pt>
                <c:pt idx="55">
                  <c:v>621.79999999999995</c:v>
                </c:pt>
                <c:pt idx="56">
                  <c:v>592.4</c:v>
                </c:pt>
                <c:pt idx="57">
                  <c:v>561.20000000000005</c:v>
                </c:pt>
                <c:pt idx="58">
                  <c:v>528.6</c:v>
                </c:pt>
                <c:pt idx="59">
                  <c:v>495</c:v>
                </c:pt>
                <c:pt idx="60">
                  <c:v>465</c:v>
                </c:pt>
                <c:pt idx="61">
                  <c:v>491.7</c:v>
                </c:pt>
                <c:pt idx="62">
                  <c:v>634.4</c:v>
                </c:pt>
                <c:pt idx="63">
                  <c:v>787.6</c:v>
                </c:pt>
                <c:pt idx="64">
                  <c:v>881.6</c:v>
                </c:pt>
                <c:pt idx="65">
                  <c:v>940.3</c:v>
                </c:pt>
                <c:pt idx="66">
                  <c:v>982.7</c:v>
                </c:pt>
                <c:pt idx="67">
                  <c:v>1018.4</c:v>
                </c:pt>
                <c:pt idx="68">
                  <c:v>1051.5</c:v>
                </c:pt>
                <c:pt idx="69">
                  <c:v>1082.9000000000001</c:v>
                </c:pt>
                <c:pt idx="70">
                  <c:v>1113.5</c:v>
                </c:pt>
                <c:pt idx="71">
                  <c:v>1143.2</c:v>
                </c:pt>
                <c:pt idx="72">
                  <c:v>1157.0999999999999</c:v>
                </c:pt>
                <c:pt idx="73">
                  <c:v>1119.3</c:v>
                </c:pt>
                <c:pt idx="74">
                  <c:v>1073</c:v>
                </c:pt>
                <c:pt idx="75">
                  <c:v>1037.0999999999999</c:v>
                </c:pt>
                <c:pt idx="76">
                  <c:v>1005.8</c:v>
                </c:pt>
                <c:pt idx="77">
                  <c:v>977.8</c:v>
                </c:pt>
                <c:pt idx="78">
                  <c:v>952</c:v>
                </c:pt>
                <c:pt idx="79">
                  <c:v>928</c:v>
                </c:pt>
                <c:pt idx="80">
                  <c:v>905.5</c:v>
                </c:pt>
                <c:pt idx="81">
                  <c:v>884.3</c:v>
                </c:pt>
                <c:pt idx="82">
                  <c:v>863.9</c:v>
                </c:pt>
                <c:pt idx="83">
                  <c:v>844.9</c:v>
                </c:pt>
                <c:pt idx="84">
                  <c:v>834.8</c:v>
                </c:pt>
                <c:pt idx="85">
                  <c:v>822.1</c:v>
                </c:pt>
                <c:pt idx="86">
                  <c:v>800.4</c:v>
                </c:pt>
                <c:pt idx="87">
                  <c:v>780.1</c:v>
                </c:pt>
                <c:pt idx="88">
                  <c:v>760.1</c:v>
                </c:pt>
                <c:pt idx="89">
                  <c:v>741.1</c:v>
                </c:pt>
                <c:pt idx="90">
                  <c:v>720.9</c:v>
                </c:pt>
                <c:pt idx="91">
                  <c:v>697.7</c:v>
                </c:pt>
                <c:pt idx="92">
                  <c:v>673.4</c:v>
                </c:pt>
                <c:pt idx="93">
                  <c:v>647.5</c:v>
                </c:pt>
                <c:pt idx="94">
                  <c:v>619.79999999999995</c:v>
                </c:pt>
                <c:pt idx="95">
                  <c:v>591.1</c:v>
                </c:pt>
                <c:pt idx="96">
                  <c:v>560.1</c:v>
                </c:pt>
                <c:pt idx="97">
                  <c:v>526.4</c:v>
                </c:pt>
                <c:pt idx="98">
                  <c:v>492.1</c:v>
                </c:pt>
                <c:pt idx="99">
                  <c:v>457.6</c:v>
                </c:pt>
                <c:pt idx="100">
                  <c:v>423.7</c:v>
                </c:pt>
                <c:pt idx="101">
                  <c:v>390.9</c:v>
                </c:pt>
                <c:pt idx="102">
                  <c:v>359.3</c:v>
                </c:pt>
                <c:pt idx="103">
                  <c:v>329.4</c:v>
                </c:pt>
                <c:pt idx="104">
                  <c:v>301.2</c:v>
                </c:pt>
                <c:pt idx="105">
                  <c:v>274.7</c:v>
                </c:pt>
                <c:pt idx="106">
                  <c:v>250.4</c:v>
                </c:pt>
                <c:pt idx="107">
                  <c:v>254.5</c:v>
                </c:pt>
                <c:pt idx="108">
                  <c:v>406.8</c:v>
                </c:pt>
                <c:pt idx="109">
                  <c:v>643.6</c:v>
                </c:pt>
                <c:pt idx="110">
                  <c:v>801.2</c:v>
                </c:pt>
                <c:pt idx="111">
                  <c:v>891.8</c:v>
                </c:pt>
                <c:pt idx="112">
                  <c:v>947.3</c:v>
                </c:pt>
                <c:pt idx="113">
                  <c:v>987.1</c:v>
                </c:pt>
                <c:pt idx="114">
                  <c:v>1020.9</c:v>
                </c:pt>
                <c:pt idx="115">
                  <c:v>1052.2</c:v>
                </c:pt>
                <c:pt idx="116">
                  <c:v>1082.2</c:v>
                </c:pt>
                <c:pt idx="117">
                  <c:v>1111.5999999999999</c:v>
                </c:pt>
                <c:pt idx="118">
                  <c:v>1140.7</c:v>
                </c:pt>
                <c:pt idx="119">
                  <c:v>1164.3</c:v>
                </c:pt>
                <c:pt idx="120">
                  <c:v>1143.7</c:v>
                </c:pt>
                <c:pt idx="121">
                  <c:v>1092.5</c:v>
                </c:pt>
                <c:pt idx="122">
                  <c:v>1053.0999999999999</c:v>
                </c:pt>
                <c:pt idx="123">
                  <c:v>1020</c:v>
                </c:pt>
                <c:pt idx="124">
                  <c:v>990.4</c:v>
                </c:pt>
                <c:pt idx="125">
                  <c:v>963.4</c:v>
                </c:pt>
                <c:pt idx="126">
                  <c:v>938.3</c:v>
                </c:pt>
                <c:pt idx="127">
                  <c:v>915</c:v>
                </c:pt>
                <c:pt idx="128">
                  <c:v>893</c:v>
                </c:pt>
                <c:pt idx="129">
                  <c:v>872.1</c:v>
                </c:pt>
                <c:pt idx="130">
                  <c:v>852.1</c:v>
                </c:pt>
                <c:pt idx="131">
                  <c:v>840.5</c:v>
                </c:pt>
                <c:pt idx="132">
                  <c:v>875.8</c:v>
                </c:pt>
                <c:pt idx="133">
                  <c:v>947.1</c:v>
                </c:pt>
                <c:pt idx="134">
                  <c:v>1002.5</c:v>
                </c:pt>
                <c:pt idx="135">
                  <c:v>1046.7</c:v>
                </c:pt>
                <c:pt idx="136">
                  <c:v>1086.5</c:v>
                </c:pt>
                <c:pt idx="137">
                  <c:v>1123.7</c:v>
                </c:pt>
                <c:pt idx="138">
                  <c:v>1158.7</c:v>
                </c:pt>
                <c:pt idx="139">
                  <c:v>1191.5999999999999</c:v>
                </c:pt>
                <c:pt idx="140">
                  <c:v>1222.5</c:v>
                </c:pt>
                <c:pt idx="141">
                  <c:v>1251.8</c:v>
                </c:pt>
                <c:pt idx="142">
                  <c:v>1277</c:v>
                </c:pt>
                <c:pt idx="143">
                  <c:v>1261.4000000000001</c:v>
                </c:pt>
                <c:pt idx="144">
                  <c:v>1204</c:v>
                </c:pt>
                <c:pt idx="145">
                  <c:v>1156.2</c:v>
                </c:pt>
                <c:pt idx="146">
                  <c:v>1115.8</c:v>
                </c:pt>
                <c:pt idx="147">
                  <c:v>1080</c:v>
                </c:pt>
                <c:pt idx="148">
                  <c:v>1047.5999999999999</c:v>
                </c:pt>
                <c:pt idx="149">
                  <c:v>1018.2</c:v>
                </c:pt>
                <c:pt idx="150">
                  <c:v>991</c:v>
                </c:pt>
                <c:pt idx="151">
                  <c:v>965.8</c:v>
                </c:pt>
                <c:pt idx="152">
                  <c:v>942.1</c:v>
                </c:pt>
                <c:pt idx="153">
                  <c:v>919.8</c:v>
                </c:pt>
                <c:pt idx="154">
                  <c:v>901.7</c:v>
                </c:pt>
                <c:pt idx="155">
                  <c:v>888.4</c:v>
                </c:pt>
                <c:pt idx="156">
                  <c:v>868.4</c:v>
                </c:pt>
                <c:pt idx="157">
                  <c:v>848.6</c:v>
                </c:pt>
                <c:pt idx="158">
                  <c:v>829.7</c:v>
                </c:pt>
                <c:pt idx="159">
                  <c:v>811.2</c:v>
                </c:pt>
                <c:pt idx="160">
                  <c:v>792.9</c:v>
                </c:pt>
                <c:pt idx="161">
                  <c:v>774.6</c:v>
                </c:pt>
                <c:pt idx="162">
                  <c:v>756.1</c:v>
                </c:pt>
                <c:pt idx="163">
                  <c:v>737</c:v>
                </c:pt>
                <c:pt idx="164">
                  <c:v>717.2</c:v>
                </c:pt>
                <c:pt idx="165">
                  <c:v>696.3</c:v>
                </c:pt>
                <c:pt idx="166">
                  <c:v>673.1</c:v>
                </c:pt>
                <c:pt idx="167">
                  <c:v>647.5</c:v>
                </c:pt>
                <c:pt idx="168">
                  <c:v>620</c:v>
                </c:pt>
                <c:pt idx="169">
                  <c:v>590.5</c:v>
                </c:pt>
                <c:pt idx="170">
                  <c:v>559.5</c:v>
                </c:pt>
                <c:pt idx="171">
                  <c:v>527.1</c:v>
                </c:pt>
                <c:pt idx="172">
                  <c:v>493.7</c:v>
                </c:pt>
                <c:pt idx="173">
                  <c:v>460.2</c:v>
                </c:pt>
                <c:pt idx="174">
                  <c:v>427</c:v>
                </c:pt>
                <c:pt idx="175">
                  <c:v>394.7</c:v>
                </c:pt>
                <c:pt idx="176">
                  <c:v>363.5</c:v>
                </c:pt>
                <c:pt idx="177">
                  <c:v>340.8</c:v>
                </c:pt>
                <c:pt idx="178">
                  <c:v>403</c:v>
                </c:pt>
                <c:pt idx="179">
                  <c:v>602.6</c:v>
                </c:pt>
                <c:pt idx="180">
                  <c:v>776.1</c:v>
                </c:pt>
                <c:pt idx="181">
                  <c:v>875.9</c:v>
                </c:pt>
                <c:pt idx="182">
                  <c:v>935.8</c:v>
                </c:pt>
                <c:pt idx="183">
                  <c:v>977.8</c:v>
                </c:pt>
                <c:pt idx="184">
                  <c:v>1013</c:v>
                </c:pt>
                <c:pt idx="185">
                  <c:v>1045.3</c:v>
                </c:pt>
                <c:pt idx="186">
                  <c:v>1076.2</c:v>
                </c:pt>
                <c:pt idx="187">
                  <c:v>1106.5</c:v>
                </c:pt>
                <c:pt idx="188">
                  <c:v>1136</c:v>
                </c:pt>
                <c:pt idx="189">
                  <c:v>1142.8</c:v>
                </c:pt>
                <c:pt idx="190">
                  <c:v>1095.9000000000001</c:v>
                </c:pt>
                <c:pt idx="191">
                  <c:v>1051.0999999999999</c:v>
                </c:pt>
                <c:pt idx="192">
                  <c:v>1016.6</c:v>
                </c:pt>
                <c:pt idx="193">
                  <c:v>986.4</c:v>
                </c:pt>
                <c:pt idx="194">
                  <c:v>959</c:v>
                </c:pt>
                <c:pt idx="195">
                  <c:v>933.6</c:v>
                </c:pt>
                <c:pt idx="196">
                  <c:v>909.3</c:v>
                </c:pt>
                <c:pt idx="197">
                  <c:v>885.7</c:v>
                </c:pt>
                <c:pt idx="198">
                  <c:v>862.9</c:v>
                </c:pt>
                <c:pt idx="199">
                  <c:v>840.8</c:v>
                </c:pt>
                <c:pt idx="200">
                  <c:v>819.1</c:v>
                </c:pt>
                <c:pt idx="201">
                  <c:v>798.4</c:v>
                </c:pt>
                <c:pt idx="202">
                  <c:v>778.5</c:v>
                </c:pt>
                <c:pt idx="203">
                  <c:v>757.7</c:v>
                </c:pt>
                <c:pt idx="204">
                  <c:v>736</c:v>
                </c:pt>
                <c:pt idx="205">
                  <c:v>713.4</c:v>
                </c:pt>
                <c:pt idx="206">
                  <c:v>689.4</c:v>
                </c:pt>
                <c:pt idx="207">
                  <c:v>663.6</c:v>
                </c:pt>
                <c:pt idx="208">
                  <c:v>635.79999999999995</c:v>
                </c:pt>
                <c:pt idx="209">
                  <c:v>606</c:v>
                </c:pt>
                <c:pt idx="210">
                  <c:v>574.4</c:v>
                </c:pt>
                <c:pt idx="211">
                  <c:v>541.1</c:v>
                </c:pt>
                <c:pt idx="212">
                  <c:v>506.8</c:v>
                </c:pt>
                <c:pt idx="213">
                  <c:v>471.8</c:v>
                </c:pt>
                <c:pt idx="214">
                  <c:v>436.9</c:v>
                </c:pt>
                <c:pt idx="215">
                  <c:v>402.5</c:v>
                </c:pt>
                <c:pt idx="216">
                  <c:v>369.3</c:v>
                </c:pt>
                <c:pt idx="217">
                  <c:v>337.4</c:v>
                </c:pt>
                <c:pt idx="218">
                  <c:v>307.2</c:v>
                </c:pt>
                <c:pt idx="219">
                  <c:v>279</c:v>
                </c:pt>
                <c:pt idx="220">
                  <c:v>253</c:v>
                </c:pt>
                <c:pt idx="221">
                  <c:v>229</c:v>
                </c:pt>
                <c:pt idx="222">
                  <c:v>207</c:v>
                </c:pt>
                <c:pt idx="223">
                  <c:v>187</c:v>
                </c:pt>
                <c:pt idx="224">
                  <c:v>168.6</c:v>
                </c:pt>
                <c:pt idx="225">
                  <c:v>151.9</c:v>
                </c:pt>
                <c:pt idx="226">
                  <c:v>136.9</c:v>
                </c:pt>
                <c:pt idx="227">
                  <c:v>123.2</c:v>
                </c:pt>
                <c:pt idx="228">
                  <c:v>110.9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C4-44C4-82F5-326482CA70BE}"/>
            </c:ext>
          </c:extLst>
        </c:ser>
        <c:ser>
          <c:idx val="4"/>
          <c:order val="4"/>
          <c:tx>
            <c:strRef>
              <c:f>pump!$N$3</c:f>
              <c:strCache>
                <c:ptCount val="1"/>
                <c:pt idx="0">
                  <c:v>10V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pump!$I$4:$I$246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pump!$N$4:$N$246</c:f>
              <c:numCache>
                <c:formatCode>General</c:formatCode>
                <c:ptCount val="243"/>
                <c:pt idx="0">
                  <c:v>44</c:v>
                </c:pt>
                <c:pt idx="1">
                  <c:v>289</c:v>
                </c:pt>
                <c:pt idx="2">
                  <c:v>638.5</c:v>
                </c:pt>
                <c:pt idx="3">
                  <c:v>822.3</c:v>
                </c:pt>
                <c:pt idx="4">
                  <c:v>807.7</c:v>
                </c:pt>
                <c:pt idx="5">
                  <c:v>759.9</c:v>
                </c:pt>
                <c:pt idx="6">
                  <c:v>722.3</c:v>
                </c:pt>
                <c:pt idx="7">
                  <c:v>686.9</c:v>
                </c:pt>
                <c:pt idx="8">
                  <c:v>652.20000000000005</c:v>
                </c:pt>
                <c:pt idx="9">
                  <c:v>617.5</c:v>
                </c:pt>
                <c:pt idx="10">
                  <c:v>582.79999999999995</c:v>
                </c:pt>
                <c:pt idx="11">
                  <c:v>548.20000000000005</c:v>
                </c:pt>
                <c:pt idx="12">
                  <c:v>513.9</c:v>
                </c:pt>
                <c:pt idx="13">
                  <c:v>479.9</c:v>
                </c:pt>
                <c:pt idx="14">
                  <c:v>454.7</c:v>
                </c:pt>
                <c:pt idx="15">
                  <c:v>525.6</c:v>
                </c:pt>
                <c:pt idx="16">
                  <c:v>729.7</c:v>
                </c:pt>
                <c:pt idx="17">
                  <c:v>904.7</c:v>
                </c:pt>
                <c:pt idx="18">
                  <c:v>998.6</c:v>
                </c:pt>
                <c:pt idx="19">
                  <c:v>1056.0999999999999</c:v>
                </c:pt>
                <c:pt idx="20">
                  <c:v>1104.8</c:v>
                </c:pt>
                <c:pt idx="21">
                  <c:v>1153.2</c:v>
                </c:pt>
                <c:pt idx="22">
                  <c:v>1202.3</c:v>
                </c:pt>
                <c:pt idx="23">
                  <c:v>1252</c:v>
                </c:pt>
                <c:pt idx="24">
                  <c:v>1302.0999999999999</c:v>
                </c:pt>
                <c:pt idx="25">
                  <c:v>1352.1</c:v>
                </c:pt>
                <c:pt idx="26">
                  <c:v>1400.6</c:v>
                </c:pt>
                <c:pt idx="27">
                  <c:v>1414.5</c:v>
                </c:pt>
                <c:pt idx="28">
                  <c:v>1358.7</c:v>
                </c:pt>
                <c:pt idx="29">
                  <c:v>1302</c:v>
                </c:pt>
                <c:pt idx="30">
                  <c:v>1256.2</c:v>
                </c:pt>
                <c:pt idx="31">
                  <c:v>1216</c:v>
                </c:pt>
                <c:pt idx="32">
                  <c:v>1180.0999999999999</c:v>
                </c:pt>
                <c:pt idx="33">
                  <c:v>1147.5999999999999</c:v>
                </c:pt>
                <c:pt idx="34">
                  <c:v>1117.7</c:v>
                </c:pt>
                <c:pt idx="35">
                  <c:v>1090</c:v>
                </c:pt>
                <c:pt idx="36">
                  <c:v>1064.3</c:v>
                </c:pt>
                <c:pt idx="37">
                  <c:v>1040.5</c:v>
                </c:pt>
                <c:pt idx="38">
                  <c:v>1021</c:v>
                </c:pt>
                <c:pt idx="39">
                  <c:v>1029</c:v>
                </c:pt>
                <c:pt idx="40">
                  <c:v>1076.9000000000001</c:v>
                </c:pt>
                <c:pt idx="41">
                  <c:v>1149.0999999999999</c:v>
                </c:pt>
                <c:pt idx="42">
                  <c:v>1221.5</c:v>
                </c:pt>
                <c:pt idx="43">
                  <c:v>1287.5</c:v>
                </c:pt>
                <c:pt idx="44">
                  <c:v>1348.7</c:v>
                </c:pt>
                <c:pt idx="45">
                  <c:v>1405.9</c:v>
                </c:pt>
                <c:pt idx="46">
                  <c:v>1457.9</c:v>
                </c:pt>
                <c:pt idx="47">
                  <c:v>1502.9</c:v>
                </c:pt>
                <c:pt idx="48">
                  <c:v>1539.4</c:v>
                </c:pt>
                <c:pt idx="49">
                  <c:v>1567.6</c:v>
                </c:pt>
                <c:pt idx="50">
                  <c:v>1570.2</c:v>
                </c:pt>
                <c:pt idx="51">
                  <c:v>1510.2</c:v>
                </c:pt>
                <c:pt idx="52">
                  <c:v>1439.1</c:v>
                </c:pt>
                <c:pt idx="53">
                  <c:v>1381.1</c:v>
                </c:pt>
                <c:pt idx="54">
                  <c:v>1330.5</c:v>
                </c:pt>
                <c:pt idx="55">
                  <c:v>1285.4000000000001</c:v>
                </c:pt>
                <c:pt idx="56">
                  <c:v>1244.8</c:v>
                </c:pt>
                <c:pt idx="57">
                  <c:v>1207.8</c:v>
                </c:pt>
                <c:pt idx="58">
                  <c:v>1174.2</c:v>
                </c:pt>
                <c:pt idx="59">
                  <c:v>1143.3</c:v>
                </c:pt>
                <c:pt idx="60">
                  <c:v>1114.9000000000001</c:v>
                </c:pt>
                <c:pt idx="61">
                  <c:v>1088.8</c:v>
                </c:pt>
                <c:pt idx="62">
                  <c:v>1068.0999999999999</c:v>
                </c:pt>
                <c:pt idx="63">
                  <c:v>1046.7</c:v>
                </c:pt>
                <c:pt idx="64">
                  <c:v>1023.9</c:v>
                </c:pt>
                <c:pt idx="65">
                  <c:v>1002.7</c:v>
                </c:pt>
                <c:pt idx="66">
                  <c:v>982.5</c:v>
                </c:pt>
                <c:pt idx="67">
                  <c:v>963.3</c:v>
                </c:pt>
                <c:pt idx="68">
                  <c:v>945.1</c:v>
                </c:pt>
                <c:pt idx="69">
                  <c:v>927.5</c:v>
                </c:pt>
                <c:pt idx="70">
                  <c:v>910.3</c:v>
                </c:pt>
                <c:pt idx="71">
                  <c:v>893.6</c:v>
                </c:pt>
                <c:pt idx="72">
                  <c:v>877.8</c:v>
                </c:pt>
                <c:pt idx="73">
                  <c:v>862.7</c:v>
                </c:pt>
                <c:pt idx="74">
                  <c:v>847.9</c:v>
                </c:pt>
                <c:pt idx="75">
                  <c:v>833.5</c:v>
                </c:pt>
                <c:pt idx="76">
                  <c:v>819.3</c:v>
                </c:pt>
                <c:pt idx="77">
                  <c:v>805.1</c:v>
                </c:pt>
                <c:pt idx="78">
                  <c:v>790.9</c:v>
                </c:pt>
                <c:pt idx="79">
                  <c:v>776.4</c:v>
                </c:pt>
                <c:pt idx="80">
                  <c:v>761.7</c:v>
                </c:pt>
                <c:pt idx="81">
                  <c:v>746.5</c:v>
                </c:pt>
                <c:pt idx="82">
                  <c:v>730.5</c:v>
                </c:pt>
                <c:pt idx="83">
                  <c:v>713.7</c:v>
                </c:pt>
                <c:pt idx="84">
                  <c:v>696.5</c:v>
                </c:pt>
                <c:pt idx="85">
                  <c:v>697.2</c:v>
                </c:pt>
                <c:pt idx="86">
                  <c:v>755</c:v>
                </c:pt>
                <c:pt idx="87">
                  <c:v>864.3</c:v>
                </c:pt>
                <c:pt idx="88">
                  <c:v>958.3</c:v>
                </c:pt>
                <c:pt idx="89">
                  <c:v>1023.3</c:v>
                </c:pt>
                <c:pt idx="90">
                  <c:v>1077.0999999999999</c:v>
                </c:pt>
                <c:pt idx="91">
                  <c:v>1128.0999999999999</c:v>
                </c:pt>
                <c:pt idx="92">
                  <c:v>1178.4000000000001</c:v>
                </c:pt>
                <c:pt idx="93">
                  <c:v>1228.0999999999999</c:v>
                </c:pt>
                <c:pt idx="94">
                  <c:v>1277.4000000000001</c:v>
                </c:pt>
                <c:pt idx="95">
                  <c:v>1326.1</c:v>
                </c:pt>
                <c:pt idx="96">
                  <c:v>1374</c:v>
                </c:pt>
                <c:pt idx="97">
                  <c:v>1413.2</c:v>
                </c:pt>
                <c:pt idx="98">
                  <c:v>1392.9</c:v>
                </c:pt>
                <c:pt idx="99">
                  <c:v>1329.8</c:v>
                </c:pt>
                <c:pt idx="100">
                  <c:v>1277.9000000000001</c:v>
                </c:pt>
                <c:pt idx="101">
                  <c:v>1233.5999999999999</c:v>
                </c:pt>
                <c:pt idx="102">
                  <c:v>1194.2</c:v>
                </c:pt>
                <c:pt idx="103">
                  <c:v>1158.5999999999999</c:v>
                </c:pt>
                <c:pt idx="104">
                  <c:v>1126.3</c:v>
                </c:pt>
                <c:pt idx="105">
                  <c:v>1096.5</c:v>
                </c:pt>
                <c:pt idx="106">
                  <c:v>1068.9000000000001</c:v>
                </c:pt>
                <c:pt idx="107">
                  <c:v>1043.5</c:v>
                </c:pt>
                <c:pt idx="108">
                  <c:v>1019.8</c:v>
                </c:pt>
                <c:pt idx="109">
                  <c:v>1010.1</c:v>
                </c:pt>
                <c:pt idx="110">
                  <c:v>1044.4000000000001</c:v>
                </c:pt>
                <c:pt idx="111">
                  <c:v>1110</c:v>
                </c:pt>
                <c:pt idx="112">
                  <c:v>1180.5</c:v>
                </c:pt>
                <c:pt idx="113">
                  <c:v>1245.2</c:v>
                </c:pt>
                <c:pt idx="114">
                  <c:v>1304.7</c:v>
                </c:pt>
                <c:pt idx="115">
                  <c:v>1360.5</c:v>
                </c:pt>
                <c:pt idx="116">
                  <c:v>1412.9</c:v>
                </c:pt>
                <c:pt idx="117">
                  <c:v>1461.4</c:v>
                </c:pt>
                <c:pt idx="118">
                  <c:v>1504</c:v>
                </c:pt>
                <c:pt idx="119">
                  <c:v>1539.9</c:v>
                </c:pt>
                <c:pt idx="120">
                  <c:v>1568.2</c:v>
                </c:pt>
                <c:pt idx="121">
                  <c:v>1582.9</c:v>
                </c:pt>
                <c:pt idx="122">
                  <c:v>1543.2</c:v>
                </c:pt>
                <c:pt idx="123">
                  <c:v>1465.5</c:v>
                </c:pt>
                <c:pt idx="124">
                  <c:v>1399.1</c:v>
                </c:pt>
                <c:pt idx="125">
                  <c:v>1342.3</c:v>
                </c:pt>
                <c:pt idx="126">
                  <c:v>1292.2</c:v>
                </c:pt>
                <c:pt idx="127">
                  <c:v>1247.8</c:v>
                </c:pt>
                <c:pt idx="128">
                  <c:v>1207.9000000000001</c:v>
                </c:pt>
                <c:pt idx="129">
                  <c:v>1172</c:v>
                </c:pt>
                <c:pt idx="130">
                  <c:v>1139.4000000000001</c:v>
                </c:pt>
                <c:pt idx="131">
                  <c:v>1109.7</c:v>
                </c:pt>
                <c:pt idx="132">
                  <c:v>1082.3</c:v>
                </c:pt>
                <c:pt idx="133">
                  <c:v>1059.5999999999999</c:v>
                </c:pt>
                <c:pt idx="134">
                  <c:v>1039.5</c:v>
                </c:pt>
                <c:pt idx="135">
                  <c:v>1016.7</c:v>
                </c:pt>
                <c:pt idx="136">
                  <c:v>995.2</c:v>
                </c:pt>
                <c:pt idx="137">
                  <c:v>975.1</c:v>
                </c:pt>
                <c:pt idx="138">
                  <c:v>956.1</c:v>
                </c:pt>
                <c:pt idx="139">
                  <c:v>938.2</c:v>
                </c:pt>
                <c:pt idx="140">
                  <c:v>921</c:v>
                </c:pt>
                <c:pt idx="141">
                  <c:v>904.3</c:v>
                </c:pt>
                <c:pt idx="142">
                  <c:v>888.1</c:v>
                </c:pt>
                <c:pt idx="143">
                  <c:v>872.3</c:v>
                </c:pt>
                <c:pt idx="144">
                  <c:v>857.1</c:v>
                </c:pt>
                <c:pt idx="145">
                  <c:v>842.6</c:v>
                </c:pt>
                <c:pt idx="146">
                  <c:v>828.5</c:v>
                </c:pt>
                <c:pt idx="147">
                  <c:v>814.9</c:v>
                </c:pt>
                <c:pt idx="148">
                  <c:v>801.2</c:v>
                </c:pt>
                <c:pt idx="149">
                  <c:v>787.5</c:v>
                </c:pt>
                <c:pt idx="150">
                  <c:v>773.8</c:v>
                </c:pt>
                <c:pt idx="151">
                  <c:v>759.7</c:v>
                </c:pt>
                <c:pt idx="152">
                  <c:v>745.2</c:v>
                </c:pt>
                <c:pt idx="153">
                  <c:v>730.1</c:v>
                </c:pt>
                <c:pt idx="154">
                  <c:v>714.3</c:v>
                </c:pt>
                <c:pt idx="155">
                  <c:v>697.7</c:v>
                </c:pt>
                <c:pt idx="156">
                  <c:v>687.7</c:v>
                </c:pt>
                <c:pt idx="157">
                  <c:v>719.4</c:v>
                </c:pt>
                <c:pt idx="158">
                  <c:v>813.9</c:v>
                </c:pt>
                <c:pt idx="159">
                  <c:v>916.2</c:v>
                </c:pt>
                <c:pt idx="160">
                  <c:v>985.9</c:v>
                </c:pt>
                <c:pt idx="161">
                  <c:v>1039</c:v>
                </c:pt>
                <c:pt idx="162">
                  <c:v>1086.9000000000001</c:v>
                </c:pt>
                <c:pt idx="163">
                  <c:v>1133.2</c:v>
                </c:pt>
                <c:pt idx="164">
                  <c:v>1178.3</c:v>
                </c:pt>
                <c:pt idx="165">
                  <c:v>1222.4000000000001</c:v>
                </c:pt>
                <c:pt idx="166">
                  <c:v>1265.8</c:v>
                </c:pt>
                <c:pt idx="167">
                  <c:v>1307.3</c:v>
                </c:pt>
                <c:pt idx="168">
                  <c:v>1317.2</c:v>
                </c:pt>
                <c:pt idx="169">
                  <c:v>1265</c:v>
                </c:pt>
                <c:pt idx="170">
                  <c:v>1211.5</c:v>
                </c:pt>
                <c:pt idx="171">
                  <c:v>1168.3</c:v>
                </c:pt>
                <c:pt idx="172">
                  <c:v>1130.4000000000001</c:v>
                </c:pt>
                <c:pt idx="173">
                  <c:v>1096.3</c:v>
                </c:pt>
                <c:pt idx="174">
                  <c:v>1065.4000000000001</c:v>
                </c:pt>
                <c:pt idx="175">
                  <c:v>1037.0999999999999</c:v>
                </c:pt>
                <c:pt idx="176">
                  <c:v>1011</c:v>
                </c:pt>
                <c:pt idx="177">
                  <c:v>986.7</c:v>
                </c:pt>
                <c:pt idx="178">
                  <c:v>964.3</c:v>
                </c:pt>
                <c:pt idx="179">
                  <c:v>944.9</c:v>
                </c:pt>
                <c:pt idx="180">
                  <c:v>930.5</c:v>
                </c:pt>
                <c:pt idx="181">
                  <c:v>911.8</c:v>
                </c:pt>
                <c:pt idx="182">
                  <c:v>893.1</c:v>
                </c:pt>
                <c:pt idx="183">
                  <c:v>875.4</c:v>
                </c:pt>
                <c:pt idx="184">
                  <c:v>858.5</c:v>
                </c:pt>
                <c:pt idx="185">
                  <c:v>842.2</c:v>
                </c:pt>
                <c:pt idx="186">
                  <c:v>826.4</c:v>
                </c:pt>
                <c:pt idx="187">
                  <c:v>810.9</c:v>
                </c:pt>
                <c:pt idx="188">
                  <c:v>795.6</c:v>
                </c:pt>
                <c:pt idx="189">
                  <c:v>780.3</c:v>
                </c:pt>
                <c:pt idx="190">
                  <c:v>764.1</c:v>
                </c:pt>
                <c:pt idx="191">
                  <c:v>747.9</c:v>
                </c:pt>
                <c:pt idx="192">
                  <c:v>731.4</c:v>
                </c:pt>
                <c:pt idx="193">
                  <c:v>713.8</c:v>
                </c:pt>
                <c:pt idx="194">
                  <c:v>695.1</c:v>
                </c:pt>
                <c:pt idx="195">
                  <c:v>674.9</c:v>
                </c:pt>
                <c:pt idx="196">
                  <c:v>653.1</c:v>
                </c:pt>
                <c:pt idx="197">
                  <c:v>630</c:v>
                </c:pt>
                <c:pt idx="198">
                  <c:v>605.20000000000005</c:v>
                </c:pt>
                <c:pt idx="199">
                  <c:v>578.5</c:v>
                </c:pt>
                <c:pt idx="200">
                  <c:v>549.9</c:v>
                </c:pt>
                <c:pt idx="201">
                  <c:v>519.6</c:v>
                </c:pt>
                <c:pt idx="202">
                  <c:v>488.1</c:v>
                </c:pt>
                <c:pt idx="203">
                  <c:v>456</c:v>
                </c:pt>
                <c:pt idx="204">
                  <c:v>423.8</c:v>
                </c:pt>
                <c:pt idx="205">
                  <c:v>391.9</c:v>
                </c:pt>
                <c:pt idx="206">
                  <c:v>360.9</c:v>
                </c:pt>
                <c:pt idx="207">
                  <c:v>331.2</c:v>
                </c:pt>
                <c:pt idx="208">
                  <c:v>303.10000000000002</c:v>
                </c:pt>
                <c:pt idx="209">
                  <c:v>276.89999999999998</c:v>
                </c:pt>
                <c:pt idx="210">
                  <c:v>253</c:v>
                </c:pt>
                <c:pt idx="211">
                  <c:v>230.4</c:v>
                </c:pt>
                <c:pt idx="212">
                  <c:v>210.6</c:v>
                </c:pt>
                <c:pt idx="213">
                  <c:v>194.8</c:v>
                </c:pt>
                <c:pt idx="214">
                  <c:v>176.1</c:v>
                </c:pt>
                <c:pt idx="215">
                  <c:v>160.80000000000001</c:v>
                </c:pt>
                <c:pt idx="216">
                  <c:v>145.19999999999999</c:v>
                </c:pt>
                <c:pt idx="217">
                  <c:v>131.80000000000001</c:v>
                </c:pt>
                <c:pt idx="218">
                  <c:v>118.8</c:v>
                </c:pt>
                <c:pt idx="219">
                  <c:v>107.6</c:v>
                </c:pt>
                <c:pt idx="220">
                  <c:v>96</c:v>
                </c:pt>
                <c:pt idx="221">
                  <c:v>85.5</c:v>
                </c:pt>
                <c:pt idx="222">
                  <c:v>75.900000000000006</c:v>
                </c:pt>
                <c:pt idx="223">
                  <c:v>67.099999999999994</c:v>
                </c:pt>
                <c:pt idx="224">
                  <c:v>59</c:v>
                </c:pt>
                <c:pt idx="225">
                  <c:v>51.5</c:v>
                </c:pt>
                <c:pt idx="226">
                  <c:v>44.6</c:v>
                </c:pt>
                <c:pt idx="227">
                  <c:v>38.299999999999997</c:v>
                </c:pt>
                <c:pt idx="228">
                  <c:v>32.5</c:v>
                </c:pt>
                <c:pt idx="229">
                  <c:v>27.2</c:v>
                </c:pt>
                <c:pt idx="230">
                  <c:v>22.2</c:v>
                </c:pt>
                <c:pt idx="231">
                  <c:v>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C4-44C4-82F5-326482CA70BE}"/>
            </c:ext>
          </c:extLst>
        </c:ser>
        <c:ser>
          <c:idx val="5"/>
          <c:order val="5"/>
          <c:tx>
            <c:strRef>
              <c:f>pump!$O$3</c:f>
              <c:strCache>
                <c:ptCount val="1"/>
                <c:pt idx="0">
                  <c:v>12V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pump!$I$4:$I$246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pump!$O$4:$O$246</c:f>
              <c:numCache>
                <c:formatCode>General</c:formatCode>
                <c:ptCount val="243"/>
                <c:pt idx="0">
                  <c:v>4.5999999999999996</c:v>
                </c:pt>
                <c:pt idx="1">
                  <c:v>98</c:v>
                </c:pt>
                <c:pt idx="2">
                  <c:v>426.9</c:v>
                </c:pt>
                <c:pt idx="3">
                  <c:v>789.8</c:v>
                </c:pt>
                <c:pt idx="4">
                  <c:v>977.9</c:v>
                </c:pt>
                <c:pt idx="5">
                  <c:v>1058.4000000000001</c:v>
                </c:pt>
                <c:pt idx="6">
                  <c:v>1113.5999999999999</c:v>
                </c:pt>
                <c:pt idx="7">
                  <c:v>1167.7</c:v>
                </c:pt>
                <c:pt idx="8">
                  <c:v>1223.9000000000001</c:v>
                </c:pt>
                <c:pt idx="9">
                  <c:v>1281.5999999999999</c:v>
                </c:pt>
                <c:pt idx="10">
                  <c:v>1340.3</c:v>
                </c:pt>
                <c:pt idx="11">
                  <c:v>1398.8</c:v>
                </c:pt>
                <c:pt idx="12">
                  <c:v>1441.8</c:v>
                </c:pt>
                <c:pt idx="13">
                  <c:v>1413.4</c:v>
                </c:pt>
                <c:pt idx="14">
                  <c:v>1351.4</c:v>
                </c:pt>
                <c:pt idx="15">
                  <c:v>1302.2</c:v>
                </c:pt>
                <c:pt idx="16">
                  <c:v>1260.4000000000001</c:v>
                </c:pt>
                <c:pt idx="17">
                  <c:v>1223.3</c:v>
                </c:pt>
                <c:pt idx="18">
                  <c:v>1190</c:v>
                </c:pt>
                <c:pt idx="19">
                  <c:v>1159.8</c:v>
                </c:pt>
                <c:pt idx="20">
                  <c:v>1132</c:v>
                </c:pt>
                <c:pt idx="21">
                  <c:v>1106.3</c:v>
                </c:pt>
                <c:pt idx="22">
                  <c:v>1082.5999999999999</c:v>
                </c:pt>
                <c:pt idx="23">
                  <c:v>1060.5999999999999</c:v>
                </c:pt>
                <c:pt idx="24">
                  <c:v>1042</c:v>
                </c:pt>
                <c:pt idx="25">
                  <c:v>1021.8</c:v>
                </c:pt>
                <c:pt idx="26">
                  <c:v>1001.3</c:v>
                </c:pt>
                <c:pt idx="27">
                  <c:v>982.4</c:v>
                </c:pt>
                <c:pt idx="28">
                  <c:v>964.4</c:v>
                </c:pt>
                <c:pt idx="29">
                  <c:v>947.3</c:v>
                </c:pt>
                <c:pt idx="30">
                  <c:v>931.2</c:v>
                </c:pt>
                <c:pt idx="31">
                  <c:v>915.8</c:v>
                </c:pt>
                <c:pt idx="32">
                  <c:v>900.7</c:v>
                </c:pt>
                <c:pt idx="33">
                  <c:v>886.3</c:v>
                </c:pt>
                <c:pt idx="34">
                  <c:v>872.2</c:v>
                </c:pt>
                <c:pt idx="35">
                  <c:v>858.3</c:v>
                </c:pt>
                <c:pt idx="36">
                  <c:v>844.5</c:v>
                </c:pt>
                <c:pt idx="37">
                  <c:v>831.4</c:v>
                </c:pt>
                <c:pt idx="38">
                  <c:v>818.4</c:v>
                </c:pt>
                <c:pt idx="39">
                  <c:v>805.6</c:v>
                </c:pt>
                <c:pt idx="40">
                  <c:v>792.8</c:v>
                </c:pt>
                <c:pt idx="41">
                  <c:v>779.8</c:v>
                </c:pt>
                <c:pt idx="42">
                  <c:v>766.7</c:v>
                </c:pt>
                <c:pt idx="43">
                  <c:v>753.2</c:v>
                </c:pt>
                <c:pt idx="44">
                  <c:v>739.3</c:v>
                </c:pt>
                <c:pt idx="45">
                  <c:v>724.9</c:v>
                </c:pt>
                <c:pt idx="46">
                  <c:v>709.8</c:v>
                </c:pt>
                <c:pt idx="47">
                  <c:v>706.4</c:v>
                </c:pt>
                <c:pt idx="48">
                  <c:v>767.3</c:v>
                </c:pt>
                <c:pt idx="49">
                  <c:v>881.7</c:v>
                </c:pt>
                <c:pt idx="50">
                  <c:v>981.1</c:v>
                </c:pt>
                <c:pt idx="51">
                  <c:v>1059.5</c:v>
                </c:pt>
                <c:pt idx="52">
                  <c:v>1125.5</c:v>
                </c:pt>
                <c:pt idx="53">
                  <c:v>1188.2</c:v>
                </c:pt>
                <c:pt idx="54">
                  <c:v>1250.3</c:v>
                </c:pt>
                <c:pt idx="55">
                  <c:v>1311.4</c:v>
                </c:pt>
                <c:pt idx="56">
                  <c:v>1371.4</c:v>
                </c:pt>
                <c:pt idx="57">
                  <c:v>1429.1</c:v>
                </c:pt>
                <c:pt idx="58">
                  <c:v>1478.6</c:v>
                </c:pt>
                <c:pt idx="59">
                  <c:v>1475.8</c:v>
                </c:pt>
                <c:pt idx="60">
                  <c:v>1408.7</c:v>
                </c:pt>
                <c:pt idx="61">
                  <c:v>1348.6</c:v>
                </c:pt>
                <c:pt idx="62">
                  <c:v>1298.7</c:v>
                </c:pt>
                <c:pt idx="63">
                  <c:v>1255</c:v>
                </c:pt>
                <c:pt idx="64">
                  <c:v>1215.8</c:v>
                </c:pt>
                <c:pt idx="65">
                  <c:v>1180.7</c:v>
                </c:pt>
                <c:pt idx="66">
                  <c:v>1148.5999999999999</c:v>
                </c:pt>
                <c:pt idx="67">
                  <c:v>1119.0999999999999</c:v>
                </c:pt>
                <c:pt idx="68">
                  <c:v>1092.3</c:v>
                </c:pt>
                <c:pt idx="69">
                  <c:v>1067.8</c:v>
                </c:pt>
                <c:pt idx="70">
                  <c:v>1050.8</c:v>
                </c:pt>
                <c:pt idx="71">
                  <c:v>1063.9000000000001</c:v>
                </c:pt>
                <c:pt idx="72">
                  <c:v>1113.4000000000001</c:v>
                </c:pt>
                <c:pt idx="73">
                  <c:v>1181.4000000000001</c:v>
                </c:pt>
                <c:pt idx="74">
                  <c:v>1250.0999999999999</c:v>
                </c:pt>
                <c:pt idx="75">
                  <c:v>1317.9</c:v>
                </c:pt>
                <c:pt idx="76">
                  <c:v>1383.5</c:v>
                </c:pt>
                <c:pt idx="77">
                  <c:v>1444.4</c:v>
                </c:pt>
                <c:pt idx="78">
                  <c:v>1498.4</c:v>
                </c:pt>
                <c:pt idx="79">
                  <c:v>1542.4</c:v>
                </c:pt>
                <c:pt idx="80">
                  <c:v>1575.3</c:v>
                </c:pt>
                <c:pt idx="81">
                  <c:v>1597</c:v>
                </c:pt>
                <c:pt idx="82">
                  <c:v>1579.6</c:v>
                </c:pt>
                <c:pt idx="83">
                  <c:v>1507.5</c:v>
                </c:pt>
                <c:pt idx="84">
                  <c:v>1441</c:v>
                </c:pt>
                <c:pt idx="85">
                  <c:v>1385.6</c:v>
                </c:pt>
                <c:pt idx="86">
                  <c:v>1336.7</c:v>
                </c:pt>
                <c:pt idx="87">
                  <c:v>1293</c:v>
                </c:pt>
                <c:pt idx="88">
                  <c:v>1253.4000000000001</c:v>
                </c:pt>
                <c:pt idx="89">
                  <c:v>1217.2</c:v>
                </c:pt>
                <c:pt idx="90">
                  <c:v>1183.8</c:v>
                </c:pt>
                <c:pt idx="91">
                  <c:v>1153</c:v>
                </c:pt>
                <c:pt idx="92">
                  <c:v>1124.5</c:v>
                </c:pt>
                <c:pt idx="93">
                  <c:v>1100.3</c:v>
                </c:pt>
                <c:pt idx="94">
                  <c:v>1085</c:v>
                </c:pt>
                <c:pt idx="95">
                  <c:v>1062.4000000000001</c:v>
                </c:pt>
                <c:pt idx="96">
                  <c:v>1038.9000000000001</c:v>
                </c:pt>
                <c:pt idx="97">
                  <c:v>1017</c:v>
                </c:pt>
                <c:pt idx="98">
                  <c:v>996.8</c:v>
                </c:pt>
                <c:pt idx="99">
                  <c:v>978.4</c:v>
                </c:pt>
                <c:pt idx="100">
                  <c:v>960.7</c:v>
                </c:pt>
                <c:pt idx="101">
                  <c:v>944</c:v>
                </c:pt>
                <c:pt idx="102">
                  <c:v>927.9</c:v>
                </c:pt>
                <c:pt idx="103">
                  <c:v>912.5</c:v>
                </c:pt>
                <c:pt idx="104">
                  <c:v>897.8</c:v>
                </c:pt>
                <c:pt idx="105">
                  <c:v>883.6</c:v>
                </c:pt>
                <c:pt idx="106">
                  <c:v>869.8</c:v>
                </c:pt>
                <c:pt idx="107">
                  <c:v>856.4</c:v>
                </c:pt>
                <c:pt idx="108">
                  <c:v>843.2</c:v>
                </c:pt>
                <c:pt idx="109">
                  <c:v>830.1</c:v>
                </c:pt>
                <c:pt idx="110">
                  <c:v>817.3</c:v>
                </c:pt>
                <c:pt idx="111">
                  <c:v>804.6</c:v>
                </c:pt>
                <c:pt idx="112">
                  <c:v>792.2</c:v>
                </c:pt>
                <c:pt idx="113">
                  <c:v>779.7</c:v>
                </c:pt>
                <c:pt idx="114">
                  <c:v>767.2</c:v>
                </c:pt>
                <c:pt idx="115">
                  <c:v>754.6</c:v>
                </c:pt>
                <c:pt idx="116">
                  <c:v>741.6</c:v>
                </c:pt>
                <c:pt idx="117">
                  <c:v>728.3</c:v>
                </c:pt>
                <c:pt idx="118">
                  <c:v>714.1</c:v>
                </c:pt>
                <c:pt idx="119">
                  <c:v>698.9</c:v>
                </c:pt>
                <c:pt idx="120">
                  <c:v>683</c:v>
                </c:pt>
                <c:pt idx="121">
                  <c:v>666</c:v>
                </c:pt>
                <c:pt idx="122">
                  <c:v>647.5</c:v>
                </c:pt>
                <c:pt idx="123">
                  <c:v>627.5</c:v>
                </c:pt>
                <c:pt idx="124">
                  <c:v>605.70000000000005</c:v>
                </c:pt>
                <c:pt idx="125">
                  <c:v>581.5</c:v>
                </c:pt>
                <c:pt idx="126">
                  <c:v>555.79999999999995</c:v>
                </c:pt>
                <c:pt idx="127">
                  <c:v>528.29999999999995</c:v>
                </c:pt>
                <c:pt idx="128">
                  <c:v>499</c:v>
                </c:pt>
                <c:pt idx="129">
                  <c:v>469.7</c:v>
                </c:pt>
                <c:pt idx="130">
                  <c:v>470.5</c:v>
                </c:pt>
                <c:pt idx="131">
                  <c:v>600.70000000000005</c:v>
                </c:pt>
                <c:pt idx="132">
                  <c:v>805.2</c:v>
                </c:pt>
                <c:pt idx="133">
                  <c:v>945.7</c:v>
                </c:pt>
                <c:pt idx="134">
                  <c:v>1023.5</c:v>
                </c:pt>
                <c:pt idx="135">
                  <c:v>1078.4000000000001</c:v>
                </c:pt>
                <c:pt idx="136">
                  <c:v>1086.3</c:v>
                </c:pt>
                <c:pt idx="137">
                  <c:v>1030.7</c:v>
                </c:pt>
                <c:pt idx="138">
                  <c:v>991.8</c:v>
                </c:pt>
                <c:pt idx="139">
                  <c:v>964.8</c:v>
                </c:pt>
                <c:pt idx="140">
                  <c:v>941.3</c:v>
                </c:pt>
                <c:pt idx="141">
                  <c:v>919.4</c:v>
                </c:pt>
                <c:pt idx="142">
                  <c:v>899</c:v>
                </c:pt>
                <c:pt idx="143">
                  <c:v>879.1</c:v>
                </c:pt>
                <c:pt idx="144">
                  <c:v>859.1</c:v>
                </c:pt>
                <c:pt idx="145">
                  <c:v>819.7</c:v>
                </c:pt>
                <c:pt idx="146">
                  <c:v>800.9</c:v>
                </c:pt>
                <c:pt idx="147">
                  <c:v>806.9</c:v>
                </c:pt>
                <c:pt idx="148">
                  <c:v>792.2</c:v>
                </c:pt>
                <c:pt idx="149">
                  <c:v>776.1</c:v>
                </c:pt>
                <c:pt idx="150">
                  <c:v>760.1</c:v>
                </c:pt>
                <c:pt idx="151">
                  <c:v>743.8</c:v>
                </c:pt>
                <c:pt idx="152">
                  <c:v>727.1</c:v>
                </c:pt>
                <c:pt idx="153">
                  <c:v>709.8</c:v>
                </c:pt>
                <c:pt idx="154">
                  <c:v>691.5</c:v>
                </c:pt>
                <c:pt idx="155">
                  <c:v>672.1</c:v>
                </c:pt>
                <c:pt idx="156">
                  <c:v>651.1</c:v>
                </c:pt>
                <c:pt idx="157">
                  <c:v>628.4</c:v>
                </c:pt>
                <c:pt idx="158">
                  <c:v>603.79999999999995</c:v>
                </c:pt>
                <c:pt idx="159">
                  <c:v>577.4</c:v>
                </c:pt>
                <c:pt idx="160">
                  <c:v>549.20000000000005</c:v>
                </c:pt>
                <c:pt idx="161">
                  <c:v>519.5</c:v>
                </c:pt>
                <c:pt idx="162">
                  <c:v>488.8</c:v>
                </c:pt>
                <c:pt idx="163">
                  <c:v>457.7</c:v>
                </c:pt>
                <c:pt idx="164">
                  <c:v>426.9</c:v>
                </c:pt>
                <c:pt idx="165">
                  <c:v>396.9</c:v>
                </c:pt>
                <c:pt idx="166">
                  <c:v>367.3</c:v>
                </c:pt>
                <c:pt idx="167">
                  <c:v>338.8</c:v>
                </c:pt>
                <c:pt idx="168">
                  <c:v>311.5</c:v>
                </c:pt>
                <c:pt idx="169">
                  <c:v>285.8</c:v>
                </c:pt>
                <c:pt idx="170">
                  <c:v>261.7</c:v>
                </c:pt>
                <c:pt idx="171">
                  <c:v>239.4</c:v>
                </c:pt>
                <c:pt idx="172">
                  <c:v>218.6</c:v>
                </c:pt>
                <c:pt idx="173">
                  <c:v>199.4</c:v>
                </c:pt>
                <c:pt idx="174">
                  <c:v>181.6</c:v>
                </c:pt>
                <c:pt idx="175">
                  <c:v>165.3</c:v>
                </c:pt>
                <c:pt idx="176">
                  <c:v>150.4</c:v>
                </c:pt>
                <c:pt idx="177">
                  <c:v>136.5</c:v>
                </c:pt>
                <c:pt idx="178">
                  <c:v>123.8</c:v>
                </c:pt>
                <c:pt idx="179">
                  <c:v>112</c:v>
                </c:pt>
                <c:pt idx="180">
                  <c:v>101.2</c:v>
                </c:pt>
                <c:pt idx="181">
                  <c:v>91.2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AC4-44C4-82F5-326482CA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383200"/>
        <c:axId val="645387160"/>
      </c:scatterChart>
      <c:valAx>
        <c:axId val="64538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87160"/>
        <c:crosses val="autoZero"/>
        <c:crossBetween val="midCat"/>
      </c:valAx>
      <c:valAx>
        <c:axId val="64538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8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 side of actuator with varying voltage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pump!$AO$4:$AO$246</c:f>
              <c:numCache>
                <c:formatCode>General</c:formatCode>
                <c:ptCount val="243"/>
                <c:pt idx="0">
                  <c:v>-16.133332930000002</c:v>
                </c:pt>
                <c:pt idx="1">
                  <c:v>-18.199999545000001</c:v>
                </c:pt>
                <c:pt idx="2">
                  <c:v>-20.186666162000002</c:v>
                </c:pt>
                <c:pt idx="3">
                  <c:v>-22.199999445</c:v>
                </c:pt>
                <c:pt idx="4">
                  <c:v>-24.186666062</c:v>
                </c:pt>
                <c:pt idx="5">
                  <c:v>-22.373332774000001</c:v>
                </c:pt>
                <c:pt idx="6">
                  <c:v>-15.826666271000001</c:v>
                </c:pt>
                <c:pt idx="7">
                  <c:v>-10.279999742999999</c:v>
                </c:pt>
                <c:pt idx="8">
                  <c:v>-5.9333331850000004</c:v>
                </c:pt>
                <c:pt idx="9">
                  <c:v>-1.6533332920000001</c:v>
                </c:pt>
                <c:pt idx="10">
                  <c:v>0.83999997900000001</c:v>
                </c:pt>
                <c:pt idx="11">
                  <c:v>3.9599999009999998</c:v>
                </c:pt>
                <c:pt idx="12">
                  <c:v>5.4799998629999997</c:v>
                </c:pt>
                <c:pt idx="13">
                  <c:v>7.4666664799999998</c:v>
                </c:pt>
                <c:pt idx="14">
                  <c:v>8.5866664520000011</c:v>
                </c:pt>
                <c:pt idx="15">
                  <c:v>9.2266664360000004</c:v>
                </c:pt>
                <c:pt idx="16">
                  <c:v>5.786666522</c:v>
                </c:pt>
                <c:pt idx="17">
                  <c:v>1.3066666340000002</c:v>
                </c:pt>
                <c:pt idx="18">
                  <c:v>-3.1733332540000001</c:v>
                </c:pt>
                <c:pt idx="19">
                  <c:v>-7.013333158</c:v>
                </c:pt>
                <c:pt idx="20">
                  <c:v>-10.306666409</c:v>
                </c:pt>
                <c:pt idx="21">
                  <c:v>-13.119999672000001</c:v>
                </c:pt>
                <c:pt idx="22">
                  <c:v>-15.546666278</c:v>
                </c:pt>
                <c:pt idx="23">
                  <c:v>-17.666666225</c:v>
                </c:pt>
                <c:pt idx="24">
                  <c:v>-19.506666179</c:v>
                </c:pt>
                <c:pt idx="25">
                  <c:v>-21.146666138000001</c:v>
                </c:pt>
                <c:pt idx="26">
                  <c:v>-22.573332769</c:v>
                </c:pt>
                <c:pt idx="27">
                  <c:v>-22.679999432999999</c:v>
                </c:pt>
                <c:pt idx="28">
                  <c:v>-18.506666204000002</c:v>
                </c:pt>
                <c:pt idx="29">
                  <c:v>-13.519999662</c:v>
                </c:pt>
                <c:pt idx="30">
                  <c:v>-8.3066664589999988</c:v>
                </c:pt>
                <c:pt idx="31">
                  <c:v>-4.0399998989999997</c:v>
                </c:pt>
                <c:pt idx="32">
                  <c:v>-0.99999997500000004</c:v>
                </c:pt>
                <c:pt idx="33">
                  <c:v>2.3733332740000002</c:v>
                </c:pt>
                <c:pt idx="34">
                  <c:v>3.9199999019999998</c:v>
                </c:pt>
                <c:pt idx="35">
                  <c:v>6.506666504</c:v>
                </c:pt>
                <c:pt idx="36">
                  <c:v>7.1733331539999998</c:v>
                </c:pt>
                <c:pt idx="37">
                  <c:v>9.1333331050000002</c:v>
                </c:pt>
                <c:pt idx="38">
                  <c:v>9.3466664329999993</c:v>
                </c:pt>
                <c:pt idx="39">
                  <c:v>10.479999738</c:v>
                </c:pt>
                <c:pt idx="40">
                  <c:v>6.0933331810000002</c:v>
                </c:pt>
                <c:pt idx="41">
                  <c:v>0.89333331100000002</c:v>
                </c:pt>
                <c:pt idx="42">
                  <c:v>-3.5466665780000004</c:v>
                </c:pt>
                <c:pt idx="43">
                  <c:v>-7.3466664829999999</c:v>
                </c:pt>
                <c:pt idx="44">
                  <c:v>-10.586666402000001</c:v>
                </c:pt>
                <c:pt idx="45">
                  <c:v>-13.386666332000001</c:v>
                </c:pt>
                <c:pt idx="46">
                  <c:v>-15.786666272000001</c:v>
                </c:pt>
                <c:pt idx="47">
                  <c:v>-17.879999552999998</c:v>
                </c:pt>
                <c:pt idx="48">
                  <c:v>-19.693332841</c:v>
                </c:pt>
                <c:pt idx="49">
                  <c:v>-21.306666134</c:v>
                </c:pt>
                <c:pt idx="50">
                  <c:v>-22.733332765</c:v>
                </c:pt>
                <c:pt idx="51">
                  <c:v>-22.653332767000002</c:v>
                </c:pt>
                <c:pt idx="52">
                  <c:v>-16.906666244</c:v>
                </c:pt>
                <c:pt idx="53">
                  <c:v>-11.559999711</c:v>
                </c:pt>
                <c:pt idx="54">
                  <c:v>-6.4399998389999995</c:v>
                </c:pt>
                <c:pt idx="55">
                  <c:v>-2.6266666009999997</c:v>
                </c:pt>
                <c:pt idx="56">
                  <c:v>0.46666665499999999</c:v>
                </c:pt>
                <c:pt idx="57">
                  <c:v>3.4533332469999998</c:v>
                </c:pt>
                <c:pt idx="58">
                  <c:v>4.9999998750000003</c:v>
                </c:pt>
                <c:pt idx="59">
                  <c:v>7.4266664810000007</c:v>
                </c:pt>
                <c:pt idx="60">
                  <c:v>7.9733331339999998</c:v>
                </c:pt>
                <c:pt idx="61">
                  <c:v>9.8533330870000011</c:v>
                </c:pt>
                <c:pt idx="62">
                  <c:v>7.306666484</c:v>
                </c:pt>
                <c:pt idx="63">
                  <c:v>2.893333261</c:v>
                </c:pt>
                <c:pt idx="64">
                  <c:v>-1.7999999550000001</c:v>
                </c:pt>
                <c:pt idx="65">
                  <c:v>-5.9066665189999998</c:v>
                </c:pt>
                <c:pt idx="66">
                  <c:v>-9.413333097999999</c:v>
                </c:pt>
                <c:pt idx="67">
                  <c:v>-12.413333023</c:v>
                </c:pt>
                <c:pt idx="68">
                  <c:v>-14.986666292000001</c:v>
                </c:pt>
                <c:pt idx="69">
                  <c:v>-17.213332902999998</c:v>
                </c:pt>
                <c:pt idx="70">
                  <c:v>-19.146666187999998</c:v>
                </c:pt>
                <c:pt idx="71">
                  <c:v>-20.826666145999997</c:v>
                </c:pt>
                <c:pt idx="72">
                  <c:v>-22.319999442</c:v>
                </c:pt>
                <c:pt idx="73">
                  <c:v>-23.319999417000002</c:v>
                </c:pt>
                <c:pt idx="74">
                  <c:v>-20.639999484000001</c:v>
                </c:pt>
                <c:pt idx="75">
                  <c:v>-15.813332937999999</c:v>
                </c:pt>
                <c:pt idx="76">
                  <c:v>-10.066666415</c:v>
                </c:pt>
                <c:pt idx="77">
                  <c:v>-5.8666665199999999</c:v>
                </c:pt>
                <c:pt idx="78">
                  <c:v>-1.8133332879999999</c:v>
                </c:pt>
                <c:pt idx="79">
                  <c:v>1.266666635</c:v>
                </c:pt>
                <c:pt idx="80">
                  <c:v>3.5599999109999998</c:v>
                </c:pt>
                <c:pt idx="81">
                  <c:v>6.039999849</c:v>
                </c:pt>
                <c:pt idx="82">
                  <c:v>7.0266664910000003</c:v>
                </c:pt>
                <c:pt idx="83">
                  <c:v>9.1199997719999999</c:v>
                </c:pt>
                <c:pt idx="84">
                  <c:v>9.3333331000000008</c:v>
                </c:pt>
                <c:pt idx="85">
                  <c:v>10.919999727</c:v>
                </c:pt>
                <c:pt idx="86">
                  <c:v>7.3199998170000002</c:v>
                </c:pt>
                <c:pt idx="87">
                  <c:v>1.839999954</c:v>
                </c:pt>
                <c:pt idx="88">
                  <c:v>-2.6533332669999998</c:v>
                </c:pt>
                <c:pt idx="89">
                  <c:v>-6.4266665060000001</c:v>
                </c:pt>
                <c:pt idx="90">
                  <c:v>-9.6799997579999992</c:v>
                </c:pt>
                <c:pt idx="91">
                  <c:v>-12.519999687</c:v>
                </c:pt>
                <c:pt idx="92">
                  <c:v>-14.986666292000001</c:v>
                </c:pt>
                <c:pt idx="93">
                  <c:v>-17.186666237000001</c:v>
                </c:pt>
                <c:pt idx="94">
                  <c:v>-19.213332853000001</c:v>
                </c:pt>
                <c:pt idx="95">
                  <c:v>-21.173332804000001</c:v>
                </c:pt>
                <c:pt idx="96">
                  <c:v>-23.199999420000001</c:v>
                </c:pt>
                <c:pt idx="97">
                  <c:v>-24.839999379000002</c:v>
                </c:pt>
                <c:pt idx="98">
                  <c:v>-21.173332804000001</c:v>
                </c:pt>
                <c:pt idx="99">
                  <c:v>-14.986666292000001</c:v>
                </c:pt>
                <c:pt idx="100">
                  <c:v>-9.3199997670000005</c:v>
                </c:pt>
                <c:pt idx="101">
                  <c:v>-5.2933332010000003</c:v>
                </c:pt>
                <c:pt idx="102">
                  <c:v>-1.1866666370000001</c:v>
                </c:pt>
                <c:pt idx="103">
                  <c:v>1.519999962</c:v>
                </c:pt>
                <c:pt idx="104">
                  <c:v>4.013333233</c:v>
                </c:pt>
                <c:pt idx="105">
                  <c:v>6.1333331800000002</c:v>
                </c:pt>
                <c:pt idx="106">
                  <c:v>7.2799998180000003</c:v>
                </c:pt>
                <c:pt idx="107">
                  <c:v>9.0933331060000011</c:v>
                </c:pt>
                <c:pt idx="108">
                  <c:v>8.3466664579999996</c:v>
                </c:pt>
                <c:pt idx="109">
                  <c:v>4.9333332099999998</c:v>
                </c:pt>
                <c:pt idx="110">
                  <c:v>0.253333327</c:v>
                </c:pt>
                <c:pt idx="111">
                  <c:v>-4.2399998940000003</c:v>
                </c:pt>
                <c:pt idx="112">
                  <c:v>-8.0399997990000003</c:v>
                </c:pt>
                <c:pt idx="113">
                  <c:v>-11.293333051000001</c:v>
                </c:pt>
                <c:pt idx="114">
                  <c:v>-14.093332981</c:v>
                </c:pt>
                <c:pt idx="115">
                  <c:v>-16.479999587999998</c:v>
                </c:pt>
                <c:pt idx="116">
                  <c:v>-18.533332869999999</c:v>
                </c:pt>
                <c:pt idx="117">
                  <c:v>-20.333332824999999</c:v>
                </c:pt>
                <c:pt idx="118">
                  <c:v>-21.919999451999999</c:v>
                </c:pt>
                <c:pt idx="119">
                  <c:v>-23.266666085000001</c:v>
                </c:pt>
                <c:pt idx="120">
                  <c:v>-22.413332773</c:v>
                </c:pt>
                <c:pt idx="121">
                  <c:v>-17.879999552999998</c:v>
                </c:pt>
                <c:pt idx="122">
                  <c:v>-12.426666356</c:v>
                </c:pt>
                <c:pt idx="123">
                  <c:v>-7.7066664739999995</c:v>
                </c:pt>
                <c:pt idx="124">
                  <c:v>-3.1333332550000002</c:v>
                </c:pt>
                <c:pt idx="125">
                  <c:v>-0.43999998899999998</c:v>
                </c:pt>
                <c:pt idx="126">
                  <c:v>2.8533332619999996</c:v>
                </c:pt>
                <c:pt idx="127">
                  <c:v>4.6399998839999999</c:v>
                </c:pt>
                <c:pt idx="128">
                  <c:v>6.6799998330000001</c:v>
                </c:pt>
                <c:pt idx="129">
                  <c:v>8.0533331320000006</c:v>
                </c:pt>
                <c:pt idx="130">
                  <c:v>9.0933331060000011</c:v>
                </c:pt>
                <c:pt idx="131">
                  <c:v>10.319999742</c:v>
                </c:pt>
                <c:pt idx="132">
                  <c:v>9.1999997699999998</c:v>
                </c:pt>
                <c:pt idx="133">
                  <c:v>3.613333243</c:v>
                </c:pt>
                <c:pt idx="134">
                  <c:v>-1.279999968</c:v>
                </c:pt>
                <c:pt idx="135">
                  <c:v>-5.3333332000000002</c:v>
                </c:pt>
                <c:pt idx="136">
                  <c:v>-8.7999997800000003</c:v>
                </c:pt>
                <c:pt idx="137">
                  <c:v>-11.799999704999999</c:v>
                </c:pt>
                <c:pt idx="138">
                  <c:v>-14.413332972999999</c:v>
                </c:pt>
                <c:pt idx="139">
                  <c:v>-16.706666249000001</c:v>
                </c:pt>
                <c:pt idx="140">
                  <c:v>-18.786666197000002</c:v>
                </c:pt>
                <c:pt idx="141">
                  <c:v>-20.746666147999999</c:v>
                </c:pt>
                <c:pt idx="142">
                  <c:v>-22.719999432000002</c:v>
                </c:pt>
                <c:pt idx="144">
                  <c:v>-24.733332715</c:v>
                </c:pt>
                <c:pt idx="145">
                  <c:v>-23.786666071999999</c:v>
                </c:pt>
                <c:pt idx="146">
                  <c:v>-17.399999565000002</c:v>
                </c:pt>
                <c:pt idx="147">
                  <c:v>-11.826666371</c:v>
                </c:pt>
                <c:pt idx="148">
                  <c:v>-7.0666664900000002</c:v>
                </c:pt>
                <c:pt idx="149">
                  <c:v>-2.6666666000000001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C5-478F-93B9-4E1EA2730CE2}"/>
            </c:ext>
          </c:extLst>
        </c:ser>
        <c:ser>
          <c:idx val="1"/>
          <c:order val="1"/>
          <c:tx>
            <c:v>4V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pump!$AQ$4:$AQ$246</c:f>
              <c:numCache>
                <c:formatCode>General</c:formatCode>
                <c:ptCount val="243"/>
                <c:pt idx="0">
                  <c:v>-15.159999621000001</c:v>
                </c:pt>
                <c:pt idx="1">
                  <c:v>-21.666666124999999</c:v>
                </c:pt>
                <c:pt idx="2">
                  <c:v>-27.986665967</c:v>
                </c:pt>
                <c:pt idx="3">
                  <c:v>-34.026665815999998</c:v>
                </c:pt>
                <c:pt idx="4">
                  <c:v>-39.719999006999998</c:v>
                </c:pt>
                <c:pt idx="5">
                  <c:v>-44.999998875000003</c:v>
                </c:pt>
                <c:pt idx="6">
                  <c:v>-49.853332086999998</c:v>
                </c:pt>
                <c:pt idx="7">
                  <c:v>-54.293331975999997</c:v>
                </c:pt>
                <c:pt idx="8">
                  <c:v>-57.546665228000002</c:v>
                </c:pt>
                <c:pt idx="9">
                  <c:v>-53.533331994999998</c:v>
                </c:pt>
                <c:pt idx="10">
                  <c:v>-40.733332314999998</c:v>
                </c:pt>
                <c:pt idx="11">
                  <c:v>-28.839999279000001</c:v>
                </c:pt>
                <c:pt idx="12">
                  <c:v>-20.106666164</c:v>
                </c:pt>
                <c:pt idx="13">
                  <c:v>-13.586666327000001</c:v>
                </c:pt>
                <c:pt idx="14">
                  <c:v>-8.6933331159999998</c:v>
                </c:pt>
                <c:pt idx="15">
                  <c:v>-4.9199998769999995</c:v>
                </c:pt>
                <c:pt idx="16">
                  <c:v>-1.933333285</c:v>
                </c:pt>
                <c:pt idx="17">
                  <c:v>0.45333332199999998</c:v>
                </c:pt>
                <c:pt idx="18">
                  <c:v>2.3733332740000002</c:v>
                </c:pt>
                <c:pt idx="19">
                  <c:v>3.9199999019999998</c:v>
                </c:pt>
                <c:pt idx="20">
                  <c:v>5.1466665379999998</c:v>
                </c:pt>
                <c:pt idx="21">
                  <c:v>4.5333332200000003</c:v>
                </c:pt>
                <c:pt idx="22">
                  <c:v>-1.173333304</c:v>
                </c:pt>
                <c:pt idx="23">
                  <c:v>-8.1999997950000001</c:v>
                </c:pt>
                <c:pt idx="24">
                  <c:v>-14.919999627000001</c:v>
                </c:pt>
                <c:pt idx="25">
                  <c:v>-21.426666130999998</c:v>
                </c:pt>
                <c:pt idx="26">
                  <c:v>-27.759999305999997</c:v>
                </c:pt>
                <c:pt idx="27">
                  <c:v>-33.826665820999999</c:v>
                </c:pt>
                <c:pt idx="28">
                  <c:v>-39.546665678000004</c:v>
                </c:pt>
                <c:pt idx="29">
                  <c:v>-44.866665544999996</c:v>
                </c:pt>
                <c:pt idx="30">
                  <c:v>-49.733332089999998</c:v>
                </c:pt>
                <c:pt idx="31">
                  <c:v>-54.186665311999995</c:v>
                </c:pt>
                <c:pt idx="32">
                  <c:v>-58.013331883000006</c:v>
                </c:pt>
                <c:pt idx="33">
                  <c:v>-55.733331939999999</c:v>
                </c:pt>
                <c:pt idx="34">
                  <c:v>-42.706665599000004</c:v>
                </c:pt>
                <c:pt idx="35">
                  <c:v>-30.293332575999997</c:v>
                </c:pt>
                <c:pt idx="36">
                  <c:v>-21.239999469000001</c:v>
                </c:pt>
                <c:pt idx="37">
                  <c:v>-14.53333297</c:v>
                </c:pt>
                <c:pt idx="38">
                  <c:v>-9.5066664289999991</c:v>
                </c:pt>
                <c:pt idx="39">
                  <c:v>-5.6399998589999996</c:v>
                </c:pt>
                <c:pt idx="40">
                  <c:v>-2.6133332680000003</c:v>
                </c:pt>
                <c:pt idx="41">
                  <c:v>-0.19999999499999999</c:v>
                </c:pt>
                <c:pt idx="42">
                  <c:v>1.7466666229999999</c:v>
                </c:pt>
                <c:pt idx="43">
                  <c:v>3.3066665840000002</c:v>
                </c:pt>
                <c:pt idx="44">
                  <c:v>4.4533332219999995</c:v>
                </c:pt>
                <c:pt idx="45">
                  <c:v>3.0266665909999997</c:v>
                </c:pt>
                <c:pt idx="46">
                  <c:v>-3.1733332540000001</c:v>
                </c:pt>
                <c:pt idx="47">
                  <c:v>-10.13333308</c:v>
                </c:pt>
                <c:pt idx="48">
                  <c:v>-16.799999580000001</c:v>
                </c:pt>
                <c:pt idx="49">
                  <c:v>-23.266666085000001</c:v>
                </c:pt>
                <c:pt idx="50">
                  <c:v>-29.546665927999999</c:v>
                </c:pt>
                <c:pt idx="51">
                  <c:v>-35.519999111999994</c:v>
                </c:pt>
                <c:pt idx="52">
                  <c:v>-41.133332305000003</c:v>
                </c:pt>
                <c:pt idx="53">
                  <c:v>-46.333332175000002</c:v>
                </c:pt>
                <c:pt idx="54">
                  <c:v>-51.093332056000001</c:v>
                </c:pt>
                <c:pt idx="55">
                  <c:v>-55.426665280999998</c:v>
                </c:pt>
                <c:pt idx="56">
                  <c:v>-58.666665199999997</c:v>
                </c:pt>
                <c:pt idx="57">
                  <c:v>-53.666665324999997</c:v>
                </c:pt>
                <c:pt idx="58">
                  <c:v>-40.213332328</c:v>
                </c:pt>
                <c:pt idx="59">
                  <c:v>-28.653332617</c:v>
                </c:pt>
                <c:pt idx="60">
                  <c:v>-20.146666162999999</c:v>
                </c:pt>
                <c:pt idx="61">
                  <c:v>-13.853332987</c:v>
                </c:pt>
                <c:pt idx="62">
                  <c:v>-9.0933331060000011</c:v>
                </c:pt>
                <c:pt idx="63">
                  <c:v>-5.4133331980000001</c:v>
                </c:pt>
                <c:pt idx="64">
                  <c:v>-2.5066666040000003</c:v>
                </c:pt>
                <c:pt idx="65">
                  <c:v>-0.18666666199999998</c:v>
                </c:pt>
                <c:pt idx="66">
                  <c:v>1.666666625</c:v>
                </c:pt>
                <c:pt idx="67">
                  <c:v>3.106666589</c:v>
                </c:pt>
                <c:pt idx="68">
                  <c:v>4.1733332289999998</c:v>
                </c:pt>
                <c:pt idx="69">
                  <c:v>3.3466665830000002</c:v>
                </c:pt>
                <c:pt idx="70">
                  <c:v>-1.7999999550000001</c:v>
                </c:pt>
                <c:pt idx="71">
                  <c:v>-8.6799997829999995</c:v>
                </c:pt>
                <c:pt idx="72">
                  <c:v>-15.359999616</c:v>
                </c:pt>
                <c:pt idx="73">
                  <c:v>-21.839999454000001</c:v>
                </c:pt>
                <c:pt idx="74">
                  <c:v>-28.146665963</c:v>
                </c:pt>
                <c:pt idx="75">
                  <c:v>-34.186665811999994</c:v>
                </c:pt>
                <c:pt idx="76">
                  <c:v>-39.893332336</c:v>
                </c:pt>
                <c:pt idx="77">
                  <c:v>-45.186665536999996</c:v>
                </c:pt>
                <c:pt idx="78">
                  <c:v>-50.039998748999999</c:v>
                </c:pt>
                <c:pt idx="79">
                  <c:v>-54.466665304999999</c:v>
                </c:pt>
                <c:pt idx="80">
                  <c:v>-58.093331880999997</c:v>
                </c:pt>
                <c:pt idx="81">
                  <c:v>-55.959998600999995</c:v>
                </c:pt>
                <c:pt idx="82">
                  <c:v>-44.053332231999995</c:v>
                </c:pt>
                <c:pt idx="83">
                  <c:v>-31.573332544000003</c:v>
                </c:pt>
                <c:pt idx="84">
                  <c:v>-22.399999439999998</c:v>
                </c:pt>
                <c:pt idx="85">
                  <c:v>-15.639999609</c:v>
                </c:pt>
                <c:pt idx="86">
                  <c:v>-10.559999736</c:v>
                </c:pt>
                <c:pt idx="87">
                  <c:v>-6.7066664989999998</c:v>
                </c:pt>
                <c:pt idx="88">
                  <c:v>-3.6799999080000001</c:v>
                </c:pt>
                <c:pt idx="89">
                  <c:v>-1.2533333020000001</c:v>
                </c:pt>
                <c:pt idx="90">
                  <c:v>0.67999998299999997</c:v>
                </c:pt>
                <c:pt idx="91">
                  <c:v>2.2133332780000003</c:v>
                </c:pt>
                <c:pt idx="92">
                  <c:v>3.4399999139999999</c:v>
                </c:pt>
                <c:pt idx="93">
                  <c:v>3.4533332469999998</c:v>
                </c:pt>
                <c:pt idx="94">
                  <c:v>-1.3066666340000002</c:v>
                </c:pt>
                <c:pt idx="95">
                  <c:v>-8.2399997939999992</c:v>
                </c:pt>
                <c:pt idx="96">
                  <c:v>-14.93333296</c:v>
                </c:pt>
                <c:pt idx="97">
                  <c:v>-21.453332797000002</c:v>
                </c:pt>
                <c:pt idx="98">
                  <c:v>-27.786665972000002</c:v>
                </c:pt>
                <c:pt idx="99">
                  <c:v>-33.853332487000003</c:v>
                </c:pt>
                <c:pt idx="100">
                  <c:v>-39.573332344000001</c:v>
                </c:pt>
                <c:pt idx="101">
                  <c:v>-44.906665543999999</c:v>
                </c:pt>
                <c:pt idx="102">
                  <c:v>-49.813332088000003</c:v>
                </c:pt>
                <c:pt idx="103">
                  <c:v>-54.279998643000006</c:v>
                </c:pt>
                <c:pt idx="104">
                  <c:v>-58.253331876999994</c:v>
                </c:pt>
                <c:pt idx="105">
                  <c:v>-58.093331880999997</c:v>
                </c:pt>
                <c:pt idx="106">
                  <c:v>-46.573332169000004</c:v>
                </c:pt>
                <c:pt idx="107">
                  <c:v>-33.453332496999998</c:v>
                </c:pt>
                <c:pt idx="108">
                  <c:v>-23.866666070000001</c:v>
                </c:pt>
                <c:pt idx="109">
                  <c:v>-16.799999580000001</c:v>
                </c:pt>
                <c:pt idx="110">
                  <c:v>-11.533333044999999</c:v>
                </c:pt>
                <c:pt idx="111">
                  <c:v>-7.5466664780000006</c:v>
                </c:pt>
                <c:pt idx="112">
                  <c:v>-4.4266665560000007</c:v>
                </c:pt>
                <c:pt idx="113">
                  <c:v>-1.9466666179999998</c:v>
                </c:pt>
                <c:pt idx="114">
                  <c:v>1.3333333000000001E-2</c:v>
                </c:pt>
                <c:pt idx="115">
                  <c:v>1.5599999609999999</c:v>
                </c:pt>
                <c:pt idx="116">
                  <c:v>1.8533332870000001</c:v>
                </c:pt>
                <c:pt idx="117">
                  <c:v>-2.7066665990000001</c:v>
                </c:pt>
                <c:pt idx="118">
                  <c:v>-9.6399997590000002</c:v>
                </c:pt>
                <c:pt idx="119">
                  <c:v>-16.346666257999999</c:v>
                </c:pt>
                <c:pt idx="120">
                  <c:v>-22.866666094999999</c:v>
                </c:pt>
                <c:pt idx="121">
                  <c:v>-29.173332604000002</c:v>
                </c:pt>
                <c:pt idx="122">
                  <c:v>-35.186665786999995</c:v>
                </c:pt>
                <c:pt idx="123">
                  <c:v>-40.839998979000001</c:v>
                </c:pt>
                <c:pt idx="124">
                  <c:v>-46.079998848000002</c:v>
                </c:pt>
                <c:pt idx="125">
                  <c:v>-50.893332060999995</c:v>
                </c:pt>
                <c:pt idx="126">
                  <c:v>-55.266665285000002</c:v>
                </c:pt>
                <c:pt idx="127">
                  <c:v>-59.039998524000005</c:v>
                </c:pt>
                <c:pt idx="128">
                  <c:v>-57.586665226999997</c:v>
                </c:pt>
                <c:pt idx="129">
                  <c:v>-45.373332199000004</c:v>
                </c:pt>
                <c:pt idx="130">
                  <c:v>-32.759999180999998</c:v>
                </c:pt>
                <c:pt idx="131">
                  <c:v>-23.506666079000002</c:v>
                </c:pt>
                <c:pt idx="132">
                  <c:v>-16.653332917</c:v>
                </c:pt>
                <c:pt idx="133">
                  <c:v>-11.559999711</c:v>
                </c:pt>
                <c:pt idx="134">
                  <c:v>-7.6799998079999998</c:v>
                </c:pt>
                <c:pt idx="135">
                  <c:v>-4.6266665510000005</c:v>
                </c:pt>
                <c:pt idx="136">
                  <c:v>-2.2133332780000003</c:v>
                </c:pt>
                <c:pt idx="137">
                  <c:v>-0.30666665899999995</c:v>
                </c:pt>
                <c:pt idx="138">
                  <c:v>1.1999999699999999</c:v>
                </c:pt>
                <c:pt idx="139">
                  <c:v>2.3999999399999998</c:v>
                </c:pt>
                <c:pt idx="140">
                  <c:v>2.346666608</c:v>
                </c:pt>
                <c:pt idx="141">
                  <c:v>-1.7466666229999999</c:v>
                </c:pt>
                <c:pt idx="142">
                  <c:v>-8.3999997900000007</c:v>
                </c:pt>
                <c:pt idx="144">
                  <c:v>-15.066666290000001</c:v>
                </c:pt>
                <c:pt idx="145">
                  <c:v>-21.546666127999998</c:v>
                </c:pt>
                <c:pt idx="146">
                  <c:v>-27.86666597</c:v>
                </c:pt>
                <c:pt idx="147">
                  <c:v>-33.933332485000001</c:v>
                </c:pt>
                <c:pt idx="148">
                  <c:v>-39.653332341999999</c:v>
                </c:pt>
                <c:pt idx="149">
                  <c:v>-44.986665541999997</c:v>
                </c:pt>
                <c:pt idx="150">
                  <c:v>-49.879998753000002</c:v>
                </c:pt>
                <c:pt idx="151">
                  <c:v>-54.346665308000006</c:v>
                </c:pt>
                <c:pt idx="152">
                  <c:v>-58.279998543000005</c:v>
                </c:pt>
                <c:pt idx="153">
                  <c:v>-58.559998536000002</c:v>
                </c:pt>
                <c:pt idx="154">
                  <c:v>-48.786665446999997</c:v>
                </c:pt>
                <c:pt idx="155">
                  <c:v>-35.639999109000001</c:v>
                </c:pt>
                <c:pt idx="156">
                  <c:v>-25.626666025999999</c:v>
                </c:pt>
                <c:pt idx="157">
                  <c:v>-18.306666209000003</c:v>
                </c:pt>
                <c:pt idx="158">
                  <c:v>-12.866666345000001</c:v>
                </c:pt>
                <c:pt idx="159">
                  <c:v>-8.7199997820000004</c:v>
                </c:pt>
                <c:pt idx="160">
                  <c:v>-5.5199998619999997</c:v>
                </c:pt>
                <c:pt idx="161">
                  <c:v>-2.9866665919999997</c:v>
                </c:pt>
                <c:pt idx="162">
                  <c:v>-0.97333330899999992</c:v>
                </c:pt>
                <c:pt idx="163">
                  <c:v>0.62666665100000007</c:v>
                </c:pt>
                <c:pt idx="164">
                  <c:v>1.8933332859999998</c:v>
                </c:pt>
                <c:pt idx="165">
                  <c:v>2.5066666040000003</c:v>
                </c:pt>
                <c:pt idx="166">
                  <c:v>-0.86666664500000001</c:v>
                </c:pt>
                <c:pt idx="1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C5-478F-93B9-4E1EA2730CE2}"/>
            </c:ext>
          </c:extLst>
        </c:ser>
        <c:ser>
          <c:idx val="2"/>
          <c:order val="2"/>
          <c:tx>
            <c:v>6V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pump!$AS$4:$AS$246</c:f>
              <c:numCache>
                <c:formatCode>General</c:formatCode>
                <c:ptCount val="243"/>
                <c:pt idx="0">
                  <c:v>27.053332657000002</c:v>
                </c:pt>
                <c:pt idx="1">
                  <c:v>29.493332595999998</c:v>
                </c:pt>
                <c:pt idx="2">
                  <c:v>31.586665877000002</c:v>
                </c:pt>
                <c:pt idx="3">
                  <c:v>33.439999164</c:v>
                </c:pt>
                <c:pt idx="4">
                  <c:v>35.079999123</c:v>
                </c:pt>
                <c:pt idx="5">
                  <c:v>36.586665751999995</c:v>
                </c:pt>
                <c:pt idx="6">
                  <c:v>36.839999079000002</c:v>
                </c:pt>
                <c:pt idx="7">
                  <c:v>32.519999187000003</c:v>
                </c:pt>
                <c:pt idx="8">
                  <c:v>26.813332663000001</c:v>
                </c:pt>
                <c:pt idx="9">
                  <c:v>21.879999453</c:v>
                </c:pt>
                <c:pt idx="10">
                  <c:v>17.386666232</c:v>
                </c:pt>
                <c:pt idx="11">
                  <c:v>13.066666339999999</c:v>
                </c:pt>
                <c:pt idx="12">
                  <c:v>8.6399997840000005</c:v>
                </c:pt>
                <c:pt idx="13">
                  <c:v>3.9199999019999998</c:v>
                </c:pt>
                <c:pt idx="14">
                  <c:v>-1.1999999699999999</c:v>
                </c:pt>
                <c:pt idx="15">
                  <c:v>-6.8133331630000002</c:v>
                </c:pt>
                <c:pt idx="16">
                  <c:v>-12.813333012999999</c:v>
                </c:pt>
                <c:pt idx="17">
                  <c:v>-18.786666197000002</c:v>
                </c:pt>
                <c:pt idx="18">
                  <c:v>-19.719999507000001</c:v>
                </c:pt>
                <c:pt idx="19">
                  <c:v>-7.4266664810000007</c:v>
                </c:pt>
                <c:pt idx="20">
                  <c:v>5.8133331880000005</c:v>
                </c:pt>
                <c:pt idx="21">
                  <c:v>14.413332972999999</c:v>
                </c:pt>
                <c:pt idx="22">
                  <c:v>20.159999495999998</c:v>
                </c:pt>
                <c:pt idx="23">
                  <c:v>24.213332727999997</c:v>
                </c:pt>
                <c:pt idx="24">
                  <c:v>27.306665984000002</c:v>
                </c:pt>
                <c:pt idx="25">
                  <c:v>29.799999254999999</c:v>
                </c:pt>
                <c:pt idx="26">
                  <c:v>31.919999202</c:v>
                </c:pt>
                <c:pt idx="27">
                  <c:v>33.759999155999999</c:v>
                </c:pt>
                <c:pt idx="28">
                  <c:v>35.413332448000006</c:v>
                </c:pt>
                <c:pt idx="29">
                  <c:v>36.919999077</c:v>
                </c:pt>
                <c:pt idx="30">
                  <c:v>36.813332413000005</c:v>
                </c:pt>
                <c:pt idx="31">
                  <c:v>32.239999193999999</c:v>
                </c:pt>
                <c:pt idx="32">
                  <c:v>26.679999332999998</c:v>
                </c:pt>
                <c:pt idx="33">
                  <c:v>21.759999455999999</c:v>
                </c:pt>
                <c:pt idx="34">
                  <c:v>17.253332902</c:v>
                </c:pt>
                <c:pt idx="35">
                  <c:v>12.906666344</c:v>
                </c:pt>
                <c:pt idx="36">
                  <c:v>8.4399997889999998</c:v>
                </c:pt>
                <c:pt idx="37">
                  <c:v>3.6799999080000001</c:v>
                </c:pt>
                <c:pt idx="38">
                  <c:v>-1.46666663</c:v>
                </c:pt>
                <c:pt idx="39">
                  <c:v>-7.053333157</c:v>
                </c:pt>
                <c:pt idx="40">
                  <c:v>-12.893333011000001</c:v>
                </c:pt>
                <c:pt idx="41">
                  <c:v>-18.466666204999999</c:v>
                </c:pt>
                <c:pt idx="42">
                  <c:v>-18.679999533</c:v>
                </c:pt>
                <c:pt idx="43">
                  <c:v>-7.1999998200000004</c:v>
                </c:pt>
                <c:pt idx="44">
                  <c:v>5.7999998550000003</c:v>
                </c:pt>
                <c:pt idx="45">
                  <c:v>14.573332968999999</c:v>
                </c:pt>
                <c:pt idx="46">
                  <c:v>20.426666156</c:v>
                </c:pt>
                <c:pt idx="47">
                  <c:v>24.533332720000001</c:v>
                </c:pt>
                <c:pt idx="48">
                  <c:v>27.639999309</c:v>
                </c:pt>
                <c:pt idx="49">
                  <c:v>30.146665913</c:v>
                </c:pt>
                <c:pt idx="50">
                  <c:v>32.266665860000003</c:v>
                </c:pt>
                <c:pt idx="51">
                  <c:v>34.119999147000001</c:v>
                </c:pt>
                <c:pt idx="52">
                  <c:v>35.773332439000001</c:v>
                </c:pt>
                <c:pt idx="53">
                  <c:v>37.279999068000002</c:v>
                </c:pt>
                <c:pt idx="54">
                  <c:v>37.359999066</c:v>
                </c:pt>
                <c:pt idx="55">
                  <c:v>33.093332505999996</c:v>
                </c:pt>
                <c:pt idx="56">
                  <c:v>27.466665979999998</c:v>
                </c:pt>
                <c:pt idx="57">
                  <c:v>22.466666105000002</c:v>
                </c:pt>
                <c:pt idx="58">
                  <c:v>17.906666219000002</c:v>
                </c:pt>
                <c:pt idx="59">
                  <c:v>13.519999662</c:v>
                </c:pt>
                <c:pt idx="60">
                  <c:v>9.039999774</c:v>
                </c:pt>
                <c:pt idx="61">
                  <c:v>4.26666656</c:v>
                </c:pt>
                <c:pt idx="62">
                  <c:v>-0.90666664399999997</c:v>
                </c:pt>
                <c:pt idx="63">
                  <c:v>-6.506666504</c:v>
                </c:pt>
                <c:pt idx="64">
                  <c:v>-12.346666357999998</c:v>
                </c:pt>
                <c:pt idx="65">
                  <c:v>-17.986666217</c:v>
                </c:pt>
                <c:pt idx="66">
                  <c:v>-19.106666189000002</c:v>
                </c:pt>
                <c:pt idx="67">
                  <c:v>-8.5866664520000011</c:v>
                </c:pt>
                <c:pt idx="68">
                  <c:v>4.9599998760000004</c:v>
                </c:pt>
                <c:pt idx="69">
                  <c:v>14.226666311000001</c:v>
                </c:pt>
                <c:pt idx="70">
                  <c:v>20.359999491</c:v>
                </c:pt>
                <c:pt idx="71">
                  <c:v>24.626666050999997</c:v>
                </c:pt>
                <c:pt idx="72">
                  <c:v>27.813332637999999</c:v>
                </c:pt>
                <c:pt idx="73">
                  <c:v>30.373332574000003</c:v>
                </c:pt>
                <c:pt idx="74">
                  <c:v>32.533332520000002</c:v>
                </c:pt>
                <c:pt idx="75">
                  <c:v>34.399999139999998</c:v>
                </c:pt>
                <c:pt idx="76">
                  <c:v>36.093332431</c:v>
                </c:pt>
                <c:pt idx="77">
                  <c:v>37.613332393</c:v>
                </c:pt>
                <c:pt idx="78">
                  <c:v>38.093332380999996</c:v>
                </c:pt>
                <c:pt idx="79">
                  <c:v>34.319999142</c:v>
                </c:pt>
                <c:pt idx="80">
                  <c:v>28.519999287000001</c:v>
                </c:pt>
                <c:pt idx="81">
                  <c:v>23.399999415</c:v>
                </c:pt>
                <c:pt idx="82">
                  <c:v>18.786666197000002</c:v>
                </c:pt>
                <c:pt idx="83">
                  <c:v>14.373332974</c:v>
                </c:pt>
                <c:pt idx="84">
                  <c:v>9.8933330860000002</c:v>
                </c:pt>
                <c:pt idx="85">
                  <c:v>5.1333332049999996</c:v>
                </c:pt>
                <c:pt idx="86">
                  <c:v>-3.9999999000000001E-2</c:v>
                </c:pt>
                <c:pt idx="87">
                  <c:v>-5.6266665260000002</c:v>
                </c:pt>
                <c:pt idx="88">
                  <c:v>-11.453333047000001</c:v>
                </c:pt>
                <c:pt idx="89">
                  <c:v>-17.159999571</c:v>
                </c:pt>
                <c:pt idx="90">
                  <c:v>-19.306666184000001</c:v>
                </c:pt>
                <c:pt idx="91">
                  <c:v>-9.426666431000001</c:v>
                </c:pt>
                <c:pt idx="92">
                  <c:v>4.6133332180000002</c:v>
                </c:pt>
                <c:pt idx="93">
                  <c:v>14.186666312000002</c:v>
                </c:pt>
                <c:pt idx="94">
                  <c:v>20.479999488000001</c:v>
                </c:pt>
                <c:pt idx="95">
                  <c:v>24.839999379000002</c:v>
                </c:pt>
                <c:pt idx="96">
                  <c:v>28.093332630999999</c:v>
                </c:pt>
                <c:pt idx="97">
                  <c:v>30.679999233</c:v>
                </c:pt>
                <c:pt idx="98">
                  <c:v>32.866665845</c:v>
                </c:pt>
                <c:pt idx="99">
                  <c:v>34.773332463999999</c:v>
                </c:pt>
                <c:pt idx="100">
                  <c:v>36.466665755000001</c:v>
                </c:pt>
                <c:pt idx="101">
                  <c:v>38.013332383000005</c:v>
                </c:pt>
                <c:pt idx="102">
                  <c:v>38.733332365000003</c:v>
                </c:pt>
                <c:pt idx="103">
                  <c:v>35.013332458000001</c:v>
                </c:pt>
                <c:pt idx="104">
                  <c:v>29.039999274000003</c:v>
                </c:pt>
                <c:pt idx="105">
                  <c:v>23.853332737000002</c:v>
                </c:pt>
                <c:pt idx="106">
                  <c:v>19.173332854000002</c:v>
                </c:pt>
                <c:pt idx="107">
                  <c:v>14.706666299</c:v>
                </c:pt>
                <c:pt idx="108">
                  <c:v>10.173333078999999</c:v>
                </c:pt>
                <c:pt idx="109">
                  <c:v>5.3466665330000005</c:v>
                </c:pt>
                <c:pt idx="110">
                  <c:v>6.6666665E-2</c:v>
                </c:pt>
                <c:pt idx="111">
                  <c:v>-5.6399998589999996</c:v>
                </c:pt>
                <c:pt idx="112">
                  <c:v>-11.586666377</c:v>
                </c:pt>
                <c:pt idx="113">
                  <c:v>-17.586666227000002</c:v>
                </c:pt>
                <c:pt idx="114">
                  <c:v>-20.26666616</c:v>
                </c:pt>
                <c:pt idx="115">
                  <c:v>-9.6266664259999999</c:v>
                </c:pt>
                <c:pt idx="116">
                  <c:v>4.733333215</c:v>
                </c:pt>
                <c:pt idx="117">
                  <c:v>14.306666308999999</c:v>
                </c:pt>
                <c:pt idx="118">
                  <c:v>20.639999484000001</c:v>
                </c:pt>
                <c:pt idx="119">
                  <c:v>25.039999374000001</c:v>
                </c:pt>
                <c:pt idx="120">
                  <c:v>28.346665957999999</c:v>
                </c:pt>
                <c:pt idx="121">
                  <c:v>30.986665892000001</c:v>
                </c:pt>
                <c:pt idx="122">
                  <c:v>33.213332502999997</c:v>
                </c:pt>
                <c:pt idx="123">
                  <c:v>35.133332455000001</c:v>
                </c:pt>
                <c:pt idx="124">
                  <c:v>36.853332412</c:v>
                </c:pt>
                <c:pt idx="125">
                  <c:v>38.413332373000003</c:v>
                </c:pt>
                <c:pt idx="126">
                  <c:v>38.906665694000004</c:v>
                </c:pt>
                <c:pt idx="127">
                  <c:v>35.119999121999996</c:v>
                </c:pt>
                <c:pt idx="128">
                  <c:v>29.293332600999999</c:v>
                </c:pt>
                <c:pt idx="129">
                  <c:v>24.093332730999997</c:v>
                </c:pt>
                <c:pt idx="130">
                  <c:v>19.373332849000001</c:v>
                </c:pt>
                <c:pt idx="131">
                  <c:v>14.893332961</c:v>
                </c:pt>
                <c:pt idx="132">
                  <c:v>10.333333075000001</c:v>
                </c:pt>
                <c:pt idx="133">
                  <c:v>5.4799998629999997</c:v>
                </c:pt>
                <c:pt idx="134">
                  <c:v>0.17333332900000001</c:v>
                </c:pt>
                <c:pt idx="135">
                  <c:v>-5.5066665289999994</c:v>
                </c:pt>
                <c:pt idx="136">
                  <c:v>-11.33333305</c:v>
                </c:pt>
                <c:pt idx="137">
                  <c:v>-17.06666624</c:v>
                </c:pt>
                <c:pt idx="138">
                  <c:v>-19.213332853000001</c:v>
                </c:pt>
                <c:pt idx="139">
                  <c:v>-9.799999755</c:v>
                </c:pt>
                <c:pt idx="140">
                  <c:v>4.2799998930000003</c:v>
                </c:pt>
                <c:pt idx="141">
                  <c:v>14.226666311000001</c:v>
                </c:pt>
                <c:pt idx="142">
                  <c:v>20.746666147999999</c:v>
                </c:pt>
                <c:pt idx="144">
                  <c:v>25.239999369000003</c:v>
                </c:pt>
                <c:pt idx="145">
                  <c:v>28.586665952000001</c:v>
                </c:pt>
                <c:pt idx="146">
                  <c:v>31.239999219000001</c:v>
                </c:pt>
                <c:pt idx="147">
                  <c:v>33.453332496999998</c:v>
                </c:pt>
                <c:pt idx="148">
                  <c:v>35.373332449000003</c:v>
                </c:pt>
                <c:pt idx="149">
                  <c:v>37.093332406000002</c:v>
                </c:pt>
                <c:pt idx="150">
                  <c:v>38.666665700000003</c:v>
                </c:pt>
                <c:pt idx="151">
                  <c:v>39.613332343000003</c:v>
                </c:pt>
                <c:pt idx="152">
                  <c:v>36.519999086999995</c:v>
                </c:pt>
                <c:pt idx="153">
                  <c:v>30.479999237999998</c:v>
                </c:pt>
                <c:pt idx="154">
                  <c:v>25.146666037999999</c:v>
                </c:pt>
                <c:pt idx="155">
                  <c:v>20.373332824000002</c:v>
                </c:pt>
                <c:pt idx="156">
                  <c:v>15.853332937000001</c:v>
                </c:pt>
                <c:pt idx="157">
                  <c:v>11.319999717</c:v>
                </c:pt>
                <c:pt idx="158">
                  <c:v>6.4933331710000006</c:v>
                </c:pt>
                <c:pt idx="159">
                  <c:v>1.2266666359999998</c:v>
                </c:pt>
                <c:pt idx="160">
                  <c:v>-4.3999998900000001</c:v>
                </c:pt>
                <c:pt idx="161">
                  <c:v>-10.199999745</c:v>
                </c:pt>
                <c:pt idx="162">
                  <c:v>-16.013332933000001</c:v>
                </c:pt>
                <c:pt idx="163">
                  <c:v>-19.586666177000001</c:v>
                </c:pt>
                <c:pt idx="164">
                  <c:v>-11.546666377999999</c:v>
                </c:pt>
                <c:pt idx="165">
                  <c:v>3.1599999209999998</c:v>
                </c:pt>
                <c:pt idx="166">
                  <c:v>13.613332992999998</c:v>
                </c:pt>
                <c:pt idx="167">
                  <c:v>20.453332822</c:v>
                </c:pt>
                <c:pt idx="168">
                  <c:v>25.146666037999999</c:v>
                </c:pt>
                <c:pt idx="169">
                  <c:v>28.599999284999999</c:v>
                </c:pt>
                <c:pt idx="170">
                  <c:v>31.319999216999999</c:v>
                </c:pt>
                <c:pt idx="171">
                  <c:v>33.599999160000003</c:v>
                </c:pt>
                <c:pt idx="172">
                  <c:v>35.559999110999996</c:v>
                </c:pt>
                <c:pt idx="173">
                  <c:v>37.319999066999998</c:v>
                </c:pt>
                <c:pt idx="174">
                  <c:v>38.906665694000004</c:v>
                </c:pt>
                <c:pt idx="175">
                  <c:v>39.773332339</c:v>
                </c:pt>
                <c:pt idx="176">
                  <c:v>36.226665761</c:v>
                </c:pt>
                <c:pt idx="177">
                  <c:v>30.106665914000001</c:v>
                </c:pt>
                <c:pt idx="178">
                  <c:v>24.813332712999998</c:v>
                </c:pt>
                <c:pt idx="179">
                  <c:v>20.053332832000002</c:v>
                </c:pt>
                <c:pt idx="180">
                  <c:v>15.519999612000001</c:v>
                </c:pt>
                <c:pt idx="181">
                  <c:v>10.919999727</c:v>
                </c:pt>
                <c:pt idx="182">
                  <c:v>5.9866665169999997</c:v>
                </c:pt>
                <c:pt idx="183">
                  <c:v>0.63999998400000002</c:v>
                </c:pt>
                <c:pt idx="184">
                  <c:v>-5.026666541</c:v>
                </c:pt>
                <c:pt idx="185">
                  <c:v>-10.853333062000001</c:v>
                </c:pt>
                <c:pt idx="186">
                  <c:v>-16.626666251</c:v>
                </c:pt>
                <c:pt idx="187">
                  <c:v>-19.266666184999998</c:v>
                </c:pt>
                <c:pt idx="188">
                  <c:v>-10.359999741000001</c:v>
                </c:pt>
                <c:pt idx="189">
                  <c:v>3.799999905</c:v>
                </c:pt>
                <c:pt idx="190">
                  <c:v>14.079999647999999</c:v>
                </c:pt>
                <c:pt idx="191">
                  <c:v>20.866666145</c:v>
                </c:pt>
                <c:pt idx="192">
                  <c:v>25.559999360999999</c:v>
                </c:pt>
                <c:pt idx="193">
                  <c:v>29.026665940999997</c:v>
                </c:pt>
                <c:pt idx="194">
                  <c:v>31.759999206</c:v>
                </c:pt>
                <c:pt idx="195">
                  <c:v>34.039999149000003</c:v>
                </c:pt>
                <c:pt idx="196">
                  <c:v>36.039999098999999</c:v>
                </c:pt>
                <c:pt idx="197">
                  <c:v>37.799999055000001</c:v>
                </c:pt>
                <c:pt idx="198">
                  <c:v>39.413332348000004</c:v>
                </c:pt>
                <c:pt idx="199">
                  <c:v>40.439998989000003</c:v>
                </c:pt>
                <c:pt idx="200">
                  <c:v>37.666665725000001</c:v>
                </c:pt>
                <c:pt idx="201">
                  <c:v>31.639999209000003</c:v>
                </c:pt>
                <c:pt idx="202">
                  <c:v>26.186666012</c:v>
                </c:pt>
                <c:pt idx="203">
                  <c:v>21.319999467000002</c:v>
                </c:pt>
                <c:pt idx="204">
                  <c:v>16.759999580999999</c:v>
                </c:pt>
                <c:pt idx="205">
                  <c:v>12.199999695000001</c:v>
                </c:pt>
                <c:pt idx="206">
                  <c:v>7.3466664829999999</c:v>
                </c:pt>
                <c:pt idx="207">
                  <c:v>2.0666666149999999</c:v>
                </c:pt>
                <c:pt idx="208">
                  <c:v>-3.5466665780000004</c:v>
                </c:pt>
                <c:pt idx="209">
                  <c:v>-9.3333331000000008</c:v>
                </c:pt>
                <c:pt idx="210">
                  <c:v>-15.133332955</c:v>
                </c:pt>
                <c:pt idx="211">
                  <c:v>-18.906666194000003</c:v>
                </c:pt>
                <c:pt idx="212">
                  <c:v>-11.786666372000001</c:v>
                </c:pt>
                <c:pt idx="213">
                  <c:v>2.9066665940000003</c:v>
                </c:pt>
                <c:pt idx="214">
                  <c:v>13.773332989</c:v>
                </c:pt>
                <c:pt idx="215">
                  <c:v>20.853332812000001</c:v>
                </c:pt>
                <c:pt idx="216">
                  <c:v>25.679999358</c:v>
                </c:pt>
                <c:pt idx="217">
                  <c:v>29.199999269999999</c:v>
                </c:pt>
                <c:pt idx="218">
                  <c:v>31.986665866999999</c:v>
                </c:pt>
                <c:pt idx="219">
                  <c:v>34.279999143000005</c:v>
                </c:pt>
                <c:pt idx="220">
                  <c:v>36.266665760000002</c:v>
                </c:pt>
                <c:pt idx="221">
                  <c:v>38.039999049000002</c:v>
                </c:pt>
                <c:pt idx="222">
                  <c:v>39.666665674999997</c:v>
                </c:pt>
                <c:pt idx="223">
                  <c:v>40.733332314999998</c:v>
                </c:pt>
                <c:pt idx="224">
                  <c:v>37.626665725999999</c:v>
                </c:pt>
                <c:pt idx="225">
                  <c:v>31.439999214</c:v>
                </c:pt>
                <c:pt idx="226">
                  <c:v>26.013332682999998</c:v>
                </c:pt>
                <c:pt idx="227">
                  <c:v>21.159999470999999</c:v>
                </c:pt>
                <c:pt idx="228">
                  <c:v>16.573332918999998</c:v>
                </c:pt>
                <c:pt idx="229">
                  <c:v>11.959999701000001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C5-478F-93B9-4E1EA2730CE2}"/>
            </c:ext>
          </c:extLst>
        </c:ser>
        <c:ser>
          <c:idx val="3"/>
          <c:order val="3"/>
          <c:tx>
            <c:v>8V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pump!$AU$4:$AU$246</c:f>
              <c:numCache>
                <c:formatCode>General</c:formatCode>
                <c:ptCount val="243"/>
                <c:pt idx="0">
                  <c:v>14.479999963799999</c:v>
                </c:pt>
                <c:pt idx="1">
                  <c:v>19.973333283400002</c:v>
                </c:pt>
                <c:pt idx="2">
                  <c:v>24.346666605799999</c:v>
                </c:pt>
                <c:pt idx="3">
                  <c:v>28.1066665964</c:v>
                </c:pt>
                <c:pt idx="4">
                  <c:v>31.5066665879</c:v>
                </c:pt>
                <c:pt idx="5">
                  <c:v>34.666666579999998</c:v>
                </c:pt>
                <c:pt idx="6">
                  <c:v>37.626666572600001</c:v>
                </c:pt>
                <c:pt idx="7">
                  <c:v>40.413333232300005</c:v>
                </c:pt>
                <c:pt idx="8">
                  <c:v>43.039999892400004</c:v>
                </c:pt>
                <c:pt idx="9">
                  <c:v>43.693333224099995</c:v>
                </c:pt>
                <c:pt idx="10">
                  <c:v>38.026666571599996</c:v>
                </c:pt>
                <c:pt idx="11">
                  <c:v>31.066666589</c:v>
                </c:pt>
                <c:pt idx="12">
                  <c:v>25.3199999367</c:v>
                </c:pt>
                <c:pt idx="13">
                  <c:v>20.253333282700002</c:v>
                </c:pt>
                <c:pt idx="14">
                  <c:v>15.626666627600001</c:v>
                </c:pt>
                <c:pt idx="15">
                  <c:v>11.2666666385</c:v>
                </c:pt>
                <c:pt idx="16">
                  <c:v>7.0399999823999995</c:v>
                </c:pt>
                <c:pt idx="17">
                  <c:v>2.8266666595999999</c:v>
                </c:pt>
                <c:pt idx="18">
                  <c:v>-1.4399999964000001</c:v>
                </c:pt>
                <c:pt idx="19">
                  <c:v>-5.8399999853999995</c:v>
                </c:pt>
                <c:pt idx="20">
                  <c:v>-10.3333333075</c:v>
                </c:pt>
                <c:pt idx="21">
                  <c:v>-11.199999972000001</c:v>
                </c:pt>
                <c:pt idx="22">
                  <c:v>-2.7333333264999999</c:v>
                </c:pt>
                <c:pt idx="23">
                  <c:v>8.4399999788999995</c:v>
                </c:pt>
                <c:pt idx="24">
                  <c:v>16.133333293</c:v>
                </c:pt>
                <c:pt idx="25">
                  <c:v>21.519999946200002</c:v>
                </c:pt>
                <c:pt idx="26">
                  <c:v>25.826666602099998</c:v>
                </c:pt>
                <c:pt idx="27">
                  <c:v>29.573333259400002</c:v>
                </c:pt>
                <c:pt idx="28">
                  <c:v>32.959999917600001</c:v>
                </c:pt>
                <c:pt idx="29">
                  <c:v>36.106666576400002</c:v>
                </c:pt>
                <c:pt idx="30">
                  <c:v>39.066666568999999</c:v>
                </c:pt>
                <c:pt idx="31">
                  <c:v>41.879999895300003</c:v>
                </c:pt>
                <c:pt idx="32">
                  <c:v>44.519999888699999</c:v>
                </c:pt>
                <c:pt idx="33">
                  <c:v>45.453333219699999</c:v>
                </c:pt>
                <c:pt idx="34">
                  <c:v>40.306666565900002</c:v>
                </c:pt>
                <c:pt idx="35">
                  <c:v>33.2266665836</c:v>
                </c:pt>
                <c:pt idx="36">
                  <c:v>27.293333265099999</c:v>
                </c:pt>
                <c:pt idx="37">
                  <c:v>22.093333278099998</c:v>
                </c:pt>
                <c:pt idx="38">
                  <c:v>17.346666623299999</c:v>
                </c:pt>
                <c:pt idx="39">
                  <c:v>12.919999967700001</c:v>
                </c:pt>
                <c:pt idx="40">
                  <c:v>8.6666666449999994</c:v>
                </c:pt>
                <c:pt idx="41">
                  <c:v>4.4266666556000001</c:v>
                </c:pt>
                <c:pt idx="42">
                  <c:v>0.1599999996</c:v>
                </c:pt>
                <c:pt idx="43">
                  <c:v>-4.2133333228000005</c:v>
                </c:pt>
                <c:pt idx="44">
                  <c:v>-8.6933333116</c:v>
                </c:pt>
                <c:pt idx="45">
                  <c:v>-10.6933333066</c:v>
                </c:pt>
                <c:pt idx="46">
                  <c:v>-4.0666666564999998</c:v>
                </c:pt>
                <c:pt idx="47">
                  <c:v>7.4266666481000003</c:v>
                </c:pt>
                <c:pt idx="48">
                  <c:v>15.6933332941</c:v>
                </c:pt>
                <c:pt idx="49">
                  <c:v>21.373333279900002</c:v>
                </c:pt>
                <c:pt idx="50">
                  <c:v>25.839999935400002</c:v>
                </c:pt>
                <c:pt idx="51">
                  <c:v>29.693333259099997</c:v>
                </c:pt>
                <c:pt idx="52">
                  <c:v>33.173333250399999</c:v>
                </c:pt>
                <c:pt idx="53">
                  <c:v>36.386666575699998</c:v>
                </c:pt>
                <c:pt idx="54">
                  <c:v>39.386666568199999</c:v>
                </c:pt>
                <c:pt idx="55">
                  <c:v>42.2133332278</c:v>
                </c:pt>
                <c:pt idx="56">
                  <c:v>44.2266665561</c:v>
                </c:pt>
                <c:pt idx="57">
                  <c:v>40.853333231199997</c:v>
                </c:pt>
                <c:pt idx="58">
                  <c:v>33.5199999162</c:v>
                </c:pt>
                <c:pt idx="59">
                  <c:v>27.373333264900001</c:v>
                </c:pt>
                <c:pt idx="60">
                  <c:v>22.066666611500001</c:v>
                </c:pt>
                <c:pt idx="61">
                  <c:v>17.2399999569</c:v>
                </c:pt>
                <c:pt idx="62">
                  <c:v>12.759999968100001</c:v>
                </c:pt>
                <c:pt idx="63">
                  <c:v>8.4133333123000007</c:v>
                </c:pt>
                <c:pt idx="64">
                  <c:v>4.1066666563999998</c:v>
                </c:pt>
                <c:pt idx="65">
                  <c:v>-0.2399999994</c:v>
                </c:pt>
                <c:pt idx="66">
                  <c:v>-4.6799999883000005</c:v>
                </c:pt>
                <c:pt idx="67">
                  <c:v>-9.3733333098999996</c:v>
                </c:pt>
                <c:pt idx="68">
                  <c:v>-12.666666635</c:v>
                </c:pt>
                <c:pt idx="69">
                  <c:v>-5.9599999851000005</c:v>
                </c:pt>
                <c:pt idx="70">
                  <c:v>6.7733333163999996</c:v>
                </c:pt>
                <c:pt idx="71">
                  <c:v>15.493333294599999</c:v>
                </c:pt>
                <c:pt idx="72">
                  <c:v>21.399999946499999</c:v>
                </c:pt>
                <c:pt idx="73">
                  <c:v>25.999999934999998</c:v>
                </c:pt>
                <c:pt idx="74">
                  <c:v>29.933333258499999</c:v>
                </c:pt>
                <c:pt idx="75">
                  <c:v>33.479999916299995</c:v>
                </c:pt>
                <c:pt idx="76">
                  <c:v>36.746666574800003</c:v>
                </c:pt>
                <c:pt idx="77">
                  <c:v>39.786666567199994</c:v>
                </c:pt>
                <c:pt idx="78">
                  <c:v>42.6799998933</c:v>
                </c:pt>
                <c:pt idx="79">
                  <c:v>45.439999886400003</c:v>
                </c:pt>
                <c:pt idx="80">
                  <c:v>47.159999882099996</c:v>
                </c:pt>
                <c:pt idx="81">
                  <c:v>42.933333226000002</c:v>
                </c:pt>
                <c:pt idx="82">
                  <c:v>35.506666577899999</c:v>
                </c:pt>
                <c:pt idx="83">
                  <c:v>29.33333326</c:v>
                </c:pt>
                <c:pt idx="84">
                  <c:v>23.959999940099998</c:v>
                </c:pt>
                <c:pt idx="85">
                  <c:v>19.0799999523</c:v>
                </c:pt>
                <c:pt idx="86">
                  <c:v>14.559999963600001</c:v>
                </c:pt>
                <c:pt idx="87">
                  <c:v>10.2266666411</c:v>
                </c:pt>
                <c:pt idx="88">
                  <c:v>5.9333333184999999</c:v>
                </c:pt>
                <c:pt idx="89">
                  <c:v>1.6266666625999999</c:v>
                </c:pt>
                <c:pt idx="90">
                  <c:v>-2.7599999930999997</c:v>
                </c:pt>
                <c:pt idx="91">
                  <c:v>-7.333333315</c:v>
                </c:pt>
                <c:pt idx="92">
                  <c:v>-9.8799999752999987</c:v>
                </c:pt>
                <c:pt idx="93">
                  <c:v>-3.6266666576</c:v>
                </c:pt>
                <c:pt idx="94">
                  <c:v>7.8666666469999997</c:v>
                </c:pt>
                <c:pt idx="95">
                  <c:v>16.479999958800001</c:v>
                </c:pt>
                <c:pt idx="96">
                  <c:v>22.306666610900002</c:v>
                </c:pt>
                <c:pt idx="97">
                  <c:v>26.8399999329</c:v>
                </c:pt>
                <c:pt idx="98">
                  <c:v>30.7466665898</c:v>
                </c:pt>
                <c:pt idx="99">
                  <c:v>34.253333247699999</c:v>
                </c:pt>
                <c:pt idx="100">
                  <c:v>37.493333239599998</c:v>
                </c:pt>
                <c:pt idx="101">
                  <c:v>40.519999898699993</c:v>
                </c:pt>
                <c:pt idx="102">
                  <c:v>43.386666558199998</c:v>
                </c:pt>
                <c:pt idx="103">
                  <c:v>45.7999998855</c:v>
                </c:pt>
                <c:pt idx="104">
                  <c:v>43.893333223599996</c:v>
                </c:pt>
                <c:pt idx="105">
                  <c:v>36.613333241799999</c:v>
                </c:pt>
                <c:pt idx="106">
                  <c:v>30.079999924799999</c:v>
                </c:pt>
                <c:pt idx="107">
                  <c:v>24.5466666053</c:v>
                </c:pt>
                <c:pt idx="108">
                  <c:v>19.5599999511</c:v>
                </c:pt>
                <c:pt idx="109">
                  <c:v>14.9599999626</c:v>
                </c:pt>
                <c:pt idx="110">
                  <c:v>10.5466666403</c:v>
                </c:pt>
                <c:pt idx="111">
                  <c:v>6.2133333178000001</c:v>
                </c:pt>
                <c:pt idx="112">
                  <c:v>1.8533333287</c:v>
                </c:pt>
                <c:pt idx="113">
                  <c:v>-2.5866666601999997</c:v>
                </c:pt>
                <c:pt idx="114">
                  <c:v>-7.2266666486000002</c:v>
                </c:pt>
                <c:pt idx="115">
                  <c:v>-11.4799999713</c:v>
                </c:pt>
                <c:pt idx="116">
                  <c:v>-7.9333333134999995</c:v>
                </c:pt>
                <c:pt idx="117">
                  <c:v>4.5333333219999998</c:v>
                </c:pt>
                <c:pt idx="118">
                  <c:v>14.4266666306</c:v>
                </c:pt>
                <c:pt idx="119">
                  <c:v>20.906666614400002</c:v>
                </c:pt>
                <c:pt idx="120">
                  <c:v>25.746666602299999</c:v>
                </c:pt>
                <c:pt idx="121">
                  <c:v>29.8133332588</c:v>
                </c:pt>
                <c:pt idx="122">
                  <c:v>33.426666583100001</c:v>
                </c:pt>
                <c:pt idx="123">
                  <c:v>36.759999908099999</c:v>
                </c:pt>
                <c:pt idx="124">
                  <c:v>39.853333233699999</c:v>
                </c:pt>
                <c:pt idx="125">
                  <c:v>42.773333226399998</c:v>
                </c:pt>
                <c:pt idx="126">
                  <c:v>45.533333219500001</c:v>
                </c:pt>
                <c:pt idx="127">
                  <c:v>47.866666547000001</c:v>
                </c:pt>
                <c:pt idx="128">
                  <c:v>45.519999886199997</c:v>
                </c:pt>
                <c:pt idx="129">
                  <c:v>37.933333238499998</c:v>
                </c:pt>
                <c:pt idx="130">
                  <c:v>31.359999921599996</c:v>
                </c:pt>
                <c:pt idx="131">
                  <c:v>25.7733332689</c:v>
                </c:pt>
                <c:pt idx="132">
                  <c:v>20.746666614799999</c:v>
                </c:pt>
                <c:pt idx="133">
                  <c:v>16.106666626399999</c:v>
                </c:pt>
                <c:pt idx="134">
                  <c:v>11.693333304099999</c:v>
                </c:pt>
                <c:pt idx="135">
                  <c:v>7.3599999816000006</c:v>
                </c:pt>
                <c:pt idx="136">
                  <c:v>3.0133333258000001</c:v>
                </c:pt>
                <c:pt idx="137">
                  <c:v>-1.3999999965000001</c:v>
                </c:pt>
                <c:pt idx="138">
                  <c:v>-5.9866666516999993</c:v>
                </c:pt>
                <c:pt idx="139">
                  <c:v>-9.7466666422999992</c:v>
                </c:pt>
                <c:pt idx="140">
                  <c:v>-5.9866666516999993</c:v>
                </c:pt>
                <c:pt idx="141">
                  <c:v>5.4399999863999993</c:v>
                </c:pt>
                <c:pt idx="142">
                  <c:v>15.213333295299998</c:v>
                </c:pt>
                <c:pt idx="144">
                  <c:v>21.653333279200002</c:v>
                </c:pt>
                <c:pt idx="145">
                  <c:v>26.506666600400003</c:v>
                </c:pt>
                <c:pt idx="146">
                  <c:v>30.5866665902</c:v>
                </c:pt>
                <c:pt idx="147">
                  <c:v>34.226666581099998</c:v>
                </c:pt>
                <c:pt idx="148">
                  <c:v>37.586666572699997</c:v>
                </c:pt>
                <c:pt idx="149">
                  <c:v>40.706666564900004</c:v>
                </c:pt>
                <c:pt idx="150">
                  <c:v>43.6399998909</c:v>
                </c:pt>
                <c:pt idx="151">
                  <c:v>46.346666550800002</c:v>
                </c:pt>
                <c:pt idx="152">
                  <c:v>46.199999884500002</c:v>
                </c:pt>
                <c:pt idx="153">
                  <c:v>39.546666567800003</c:v>
                </c:pt>
                <c:pt idx="154">
                  <c:v>32.519999918700002</c:v>
                </c:pt>
                <c:pt idx="155">
                  <c:v>26.733333266500001</c:v>
                </c:pt>
                <c:pt idx="156">
                  <c:v>21.5866666127</c:v>
                </c:pt>
                <c:pt idx="157">
                  <c:v>16.826666624600001</c:v>
                </c:pt>
                <c:pt idx="158">
                  <c:v>12.346666635799998</c:v>
                </c:pt>
                <c:pt idx="159">
                  <c:v>7.9599999801000001</c:v>
                </c:pt>
                <c:pt idx="160">
                  <c:v>3.5599999910999998</c:v>
                </c:pt>
                <c:pt idx="161">
                  <c:v>-0.87999999779999993</c:v>
                </c:pt>
                <c:pt idx="162">
                  <c:v>-5.4799999863000002</c:v>
                </c:pt>
                <c:pt idx="163">
                  <c:v>-10.1599999746</c:v>
                </c:pt>
                <c:pt idx="164">
                  <c:v>-9.6133333092999997</c:v>
                </c:pt>
                <c:pt idx="165">
                  <c:v>1.8933333285999998</c:v>
                </c:pt>
                <c:pt idx="166">
                  <c:v>13.066666634000001</c:v>
                </c:pt>
                <c:pt idx="167">
                  <c:v>20.253333282700002</c:v>
                </c:pt>
                <c:pt idx="168">
                  <c:v>25.4799999363</c:v>
                </c:pt>
                <c:pt idx="169">
                  <c:v>29.733333258999998</c:v>
                </c:pt>
                <c:pt idx="170">
                  <c:v>33.479999916299995</c:v>
                </c:pt>
                <c:pt idx="171">
                  <c:v>36.893333241099995</c:v>
                </c:pt>
                <c:pt idx="172">
                  <c:v>40.066666566499997</c:v>
                </c:pt>
                <c:pt idx="173">
                  <c:v>43.053333225699994</c:v>
                </c:pt>
                <c:pt idx="174">
                  <c:v>45.879999885300002</c:v>
                </c:pt>
                <c:pt idx="175">
                  <c:v>48.479999878800001</c:v>
                </c:pt>
                <c:pt idx="176">
                  <c:v>47.906666546899999</c:v>
                </c:pt>
                <c:pt idx="177">
                  <c:v>40.853333231199997</c:v>
                </c:pt>
                <c:pt idx="178">
                  <c:v>33.799999915500003</c:v>
                </c:pt>
                <c:pt idx="179">
                  <c:v>27.9466665968</c:v>
                </c:pt>
                <c:pt idx="180">
                  <c:v>22.746666609799998</c:v>
                </c:pt>
                <c:pt idx="181">
                  <c:v>17.946666621799999</c:v>
                </c:pt>
                <c:pt idx="182">
                  <c:v>13.4399999664</c:v>
                </c:pt>
                <c:pt idx="183">
                  <c:v>9.0533333107000011</c:v>
                </c:pt>
                <c:pt idx="184">
                  <c:v>4.6666666550000002</c:v>
                </c:pt>
                <c:pt idx="185">
                  <c:v>0.2399999994</c:v>
                </c:pt>
                <c:pt idx="186">
                  <c:v>-4.3066666559</c:v>
                </c:pt>
                <c:pt idx="187">
                  <c:v>-8.6933333116</c:v>
                </c:pt>
                <c:pt idx="188">
                  <c:v>-7.1999999819999996</c:v>
                </c:pt>
                <c:pt idx="189">
                  <c:v>3.7066666574</c:v>
                </c:pt>
                <c:pt idx="190">
                  <c:v>14.2933332976</c:v>
                </c:pt>
                <c:pt idx="191">
                  <c:v>21.239999946900003</c:v>
                </c:pt>
                <c:pt idx="192">
                  <c:v>26.319999934200002</c:v>
                </c:pt>
                <c:pt idx="193">
                  <c:v>30.519999923700002</c:v>
                </c:pt>
                <c:pt idx="194">
                  <c:v>34.239999914400002</c:v>
                </c:pt>
                <c:pt idx="195">
                  <c:v>37.626666572600001</c:v>
                </c:pt>
                <c:pt idx="196">
                  <c:v>40.786666564699999</c:v>
                </c:pt>
                <c:pt idx="197">
                  <c:v>43.773333223900003</c:v>
                </c:pt>
                <c:pt idx="198">
                  <c:v>46.599999883499997</c:v>
                </c:pt>
                <c:pt idx="199">
                  <c:v>49.239999876900001</c:v>
                </c:pt>
                <c:pt idx="200">
                  <c:v>48.986666544199998</c:v>
                </c:pt>
                <c:pt idx="201">
                  <c:v>42.413333227300001</c:v>
                </c:pt>
                <c:pt idx="202">
                  <c:v>35.293333245100001</c:v>
                </c:pt>
                <c:pt idx="203">
                  <c:v>29.306666593400003</c:v>
                </c:pt>
                <c:pt idx="204">
                  <c:v>23.999999939999999</c:v>
                </c:pt>
                <c:pt idx="205">
                  <c:v>19.146666618799998</c:v>
                </c:pt>
                <c:pt idx="206">
                  <c:v>14.5733332969</c:v>
                </c:pt>
                <c:pt idx="207">
                  <c:v>10.1599999746</c:v>
                </c:pt>
                <c:pt idx="208">
                  <c:v>5.7599999856000004</c:v>
                </c:pt>
                <c:pt idx="209">
                  <c:v>1.3466666633</c:v>
                </c:pt>
                <c:pt idx="210">
                  <c:v>-3.1466666588000001</c:v>
                </c:pt>
                <c:pt idx="211">
                  <c:v>-7.5466666478000004</c:v>
                </c:pt>
                <c:pt idx="212">
                  <c:v>-7.5466666478000004</c:v>
                </c:pt>
                <c:pt idx="213">
                  <c:v>1.4533333297</c:v>
                </c:pt>
                <c:pt idx="214">
                  <c:v>12.7199999682</c:v>
                </c:pt>
                <c:pt idx="215">
                  <c:v>20.293333282599999</c:v>
                </c:pt>
                <c:pt idx="216">
                  <c:v>25.706666602400002</c:v>
                </c:pt>
                <c:pt idx="217">
                  <c:v>30.1066665914</c:v>
                </c:pt>
                <c:pt idx="218">
                  <c:v>33.959999915099999</c:v>
                </c:pt>
                <c:pt idx="219">
                  <c:v>37.466666572999998</c:v>
                </c:pt>
                <c:pt idx="220">
                  <c:v>40.719999898199994</c:v>
                </c:pt>
                <c:pt idx="221">
                  <c:v>43.773333223900003</c:v>
                </c:pt>
                <c:pt idx="222">
                  <c:v>46.666666550000002</c:v>
                </c:pt>
                <c:pt idx="223">
                  <c:v>49.373333209900004</c:v>
                </c:pt>
                <c:pt idx="224">
                  <c:v>49.426666543099998</c:v>
                </c:pt>
                <c:pt idx="225">
                  <c:v>42.639999893400002</c:v>
                </c:pt>
                <c:pt idx="226">
                  <c:v>35.319999911699995</c:v>
                </c:pt>
                <c:pt idx="227">
                  <c:v>29.33333326</c:v>
                </c:pt>
                <c:pt idx="228">
                  <c:v>24.013333273299999</c:v>
                </c:pt>
                <c:pt idx="229">
                  <c:v>19.146666618799998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C5-478F-93B9-4E1EA2730CE2}"/>
            </c:ext>
          </c:extLst>
        </c:ser>
        <c:ser>
          <c:idx val="4"/>
          <c:order val="4"/>
          <c:tx>
            <c:v>10V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pump!$AW$4:$AW$246</c:f>
              <c:numCache>
                <c:formatCode>General</c:formatCode>
                <c:ptCount val="243"/>
                <c:pt idx="0">
                  <c:v>0.18666661999999998</c:v>
                </c:pt>
                <c:pt idx="1">
                  <c:v>19.639995089999999</c:v>
                </c:pt>
                <c:pt idx="2">
                  <c:v>77.679980579999992</c:v>
                </c:pt>
                <c:pt idx="3">
                  <c:v>81.933312849999993</c:v>
                </c:pt>
                <c:pt idx="4">
                  <c:v>47.079988229999998</c:v>
                </c:pt>
                <c:pt idx="5">
                  <c:v>53.613319929999996</c:v>
                </c:pt>
                <c:pt idx="6">
                  <c:v>85.186645369999994</c:v>
                </c:pt>
                <c:pt idx="7">
                  <c:v>98.919975269999995</c:v>
                </c:pt>
                <c:pt idx="8">
                  <c:v>102.83997428999999</c:v>
                </c:pt>
                <c:pt idx="9">
                  <c:v>112.99997174999999</c:v>
                </c:pt>
                <c:pt idx="10">
                  <c:v>123.62663576</c:v>
                </c:pt>
                <c:pt idx="11">
                  <c:v>131.63996708999997</c:v>
                </c:pt>
                <c:pt idx="12">
                  <c:v>138.22663211</c:v>
                </c:pt>
                <c:pt idx="13">
                  <c:v>144.15996396</c:v>
                </c:pt>
                <c:pt idx="14">
                  <c:v>149.65329592000001</c:v>
                </c:pt>
                <c:pt idx="15">
                  <c:v>154.81329462999997</c:v>
                </c:pt>
                <c:pt idx="16">
                  <c:v>159.73329339999998</c:v>
                </c:pt>
                <c:pt idx="17">
                  <c:v>164.39995889999997</c:v>
                </c:pt>
                <c:pt idx="18">
                  <c:v>168.82662446000001</c:v>
                </c:pt>
                <c:pt idx="19">
                  <c:v>172.43995688999999</c:v>
                </c:pt>
                <c:pt idx="20">
                  <c:v>169.33329099999997</c:v>
                </c:pt>
                <c:pt idx="21">
                  <c:v>158.78662696999999</c:v>
                </c:pt>
                <c:pt idx="22">
                  <c:v>149.23996268999997</c:v>
                </c:pt>
                <c:pt idx="23">
                  <c:v>141.33329799999998</c:v>
                </c:pt>
                <c:pt idx="24">
                  <c:v>134.53329969999999</c:v>
                </c:pt>
                <c:pt idx="25">
                  <c:v>128.50663453999999</c:v>
                </c:pt>
                <c:pt idx="26">
                  <c:v>123.07996922999999</c:v>
                </c:pt>
                <c:pt idx="27">
                  <c:v>118.03997048999999</c:v>
                </c:pt>
                <c:pt idx="28">
                  <c:v>113.27997167999999</c:v>
                </c:pt>
                <c:pt idx="29">
                  <c:v>105.75997355999999</c:v>
                </c:pt>
                <c:pt idx="30">
                  <c:v>59.986651669999993</c:v>
                </c:pt>
                <c:pt idx="31">
                  <c:v>6.6533316699999991</c:v>
                </c:pt>
                <c:pt idx="32">
                  <c:v>2.6666659999999998E-2</c:v>
                </c:pt>
                <c:pt idx="33">
                  <c:v>0.31999991999999994</c:v>
                </c:pt>
                <c:pt idx="34">
                  <c:v>15.466662799999998</c:v>
                </c:pt>
                <c:pt idx="35">
                  <c:v>73.826648210000002</c:v>
                </c:pt>
                <c:pt idx="36">
                  <c:v>130.77330063999997</c:v>
                </c:pt>
                <c:pt idx="37">
                  <c:v>140.67996482999999</c:v>
                </c:pt>
                <c:pt idx="38">
                  <c:v>90.946643929999993</c:v>
                </c:pt>
                <c:pt idx="39">
                  <c:v>31.266658849999999</c:v>
                </c:pt>
                <c:pt idx="40">
                  <c:v>45.999988499999994</c:v>
                </c:pt>
                <c:pt idx="41">
                  <c:v>29.666659249999999</c:v>
                </c:pt>
                <c:pt idx="42">
                  <c:v>2.6799993299999998</c:v>
                </c:pt>
                <c:pt idx="43">
                  <c:v>3.9999989999999992E-2</c:v>
                </c:pt>
                <c:pt idx="44">
                  <c:v>0.19999994999999998</c:v>
                </c:pt>
                <c:pt idx="45">
                  <c:v>0.18666661999999998</c:v>
                </c:pt>
                <c:pt idx="46">
                  <c:v>0.15999995999999997</c:v>
                </c:pt>
                <c:pt idx="47">
                  <c:v>0.89333310999999993</c:v>
                </c:pt>
                <c:pt idx="48">
                  <c:v>19.026661909999998</c:v>
                </c:pt>
                <c:pt idx="49">
                  <c:v>52.319986919999991</c:v>
                </c:pt>
                <c:pt idx="50">
                  <c:v>55.186652869999989</c:v>
                </c:pt>
                <c:pt idx="51">
                  <c:v>81.759979560000005</c:v>
                </c:pt>
                <c:pt idx="52">
                  <c:v>105.69330690999999</c:v>
                </c:pt>
                <c:pt idx="53">
                  <c:v>103.30664083999999</c:v>
                </c:pt>
                <c:pt idx="54">
                  <c:v>99.399975149999989</c:v>
                </c:pt>
                <c:pt idx="55">
                  <c:v>101.50664128999999</c:v>
                </c:pt>
                <c:pt idx="56">
                  <c:v>111.42663881</c:v>
                </c:pt>
                <c:pt idx="57">
                  <c:v>110.85330561999999</c:v>
                </c:pt>
                <c:pt idx="58">
                  <c:v>47.199988199999993</c:v>
                </c:pt>
                <c:pt idx="59">
                  <c:v>2.5466660299999999</c:v>
                </c:pt>
                <c:pt idx="60">
                  <c:v>6.6666649999999994E-2</c:v>
                </c:pt>
                <c:pt idx="61">
                  <c:v>6.6666649999999994E-2</c:v>
                </c:pt>
                <c:pt idx="62">
                  <c:v>0.61333317999999992</c:v>
                </c:pt>
                <c:pt idx="63">
                  <c:v>34.546658030000003</c:v>
                </c:pt>
                <c:pt idx="64">
                  <c:v>132.35996691</c:v>
                </c:pt>
                <c:pt idx="65">
                  <c:v>166.38662507000001</c:v>
                </c:pt>
                <c:pt idx="66">
                  <c:v>170.66662399999998</c:v>
                </c:pt>
                <c:pt idx="67">
                  <c:v>170.07995747999996</c:v>
                </c:pt>
                <c:pt idx="68">
                  <c:v>160.49329320999999</c:v>
                </c:pt>
                <c:pt idx="69">
                  <c:v>150.42662905999998</c:v>
                </c:pt>
                <c:pt idx="70">
                  <c:v>142.18663111999999</c:v>
                </c:pt>
                <c:pt idx="71">
                  <c:v>135.17329953999999</c:v>
                </c:pt>
                <c:pt idx="72">
                  <c:v>128.99996775</c:v>
                </c:pt>
                <c:pt idx="73">
                  <c:v>123.45330246999998</c:v>
                </c:pt>
                <c:pt idx="74">
                  <c:v>118.34663707999999</c:v>
                </c:pt>
                <c:pt idx="75">
                  <c:v>113.54663828</c:v>
                </c:pt>
                <c:pt idx="76">
                  <c:v>108.94663942999999</c:v>
                </c:pt>
                <c:pt idx="77">
                  <c:v>104.43997388999999</c:v>
                </c:pt>
                <c:pt idx="78">
                  <c:v>100.41330823</c:v>
                </c:pt>
                <c:pt idx="79">
                  <c:v>101.18664136999999</c:v>
                </c:pt>
                <c:pt idx="80">
                  <c:v>109.63997258999999</c:v>
                </c:pt>
                <c:pt idx="81">
                  <c:v>120.70663648999998</c:v>
                </c:pt>
                <c:pt idx="82">
                  <c:v>129.29330100999999</c:v>
                </c:pt>
                <c:pt idx="83">
                  <c:v>136.09329930999999</c:v>
                </c:pt>
                <c:pt idx="84">
                  <c:v>142.10663113999999</c:v>
                </c:pt>
                <c:pt idx="85">
                  <c:v>147.63996308999998</c:v>
                </c:pt>
                <c:pt idx="86">
                  <c:v>152.82662845999999</c:v>
                </c:pt>
                <c:pt idx="87">
                  <c:v>157.30662733999998</c:v>
                </c:pt>
                <c:pt idx="88">
                  <c:v>129.91996751999997</c:v>
                </c:pt>
                <c:pt idx="89">
                  <c:v>38.853323619999991</c:v>
                </c:pt>
                <c:pt idx="90">
                  <c:v>64.186650619999995</c:v>
                </c:pt>
                <c:pt idx="91">
                  <c:v>145.98663017000001</c:v>
                </c:pt>
                <c:pt idx="92">
                  <c:v>149.89329585999999</c:v>
                </c:pt>
                <c:pt idx="93">
                  <c:v>141.55996460999998</c:v>
                </c:pt>
                <c:pt idx="94">
                  <c:v>134.50663303999997</c:v>
                </c:pt>
                <c:pt idx="95">
                  <c:v>128.31996791999998</c:v>
                </c:pt>
                <c:pt idx="96">
                  <c:v>122.75996930999999</c:v>
                </c:pt>
                <c:pt idx="97">
                  <c:v>117.62663726</c:v>
                </c:pt>
                <c:pt idx="98">
                  <c:v>112.79997179999999</c:v>
                </c:pt>
                <c:pt idx="99">
                  <c:v>108.17330628999999</c:v>
                </c:pt>
                <c:pt idx="100">
                  <c:v>103.5999741</c:v>
                </c:pt>
                <c:pt idx="101">
                  <c:v>99.213308529999992</c:v>
                </c:pt>
                <c:pt idx="102">
                  <c:v>97.986642169999982</c:v>
                </c:pt>
                <c:pt idx="103">
                  <c:v>104.07997397999999</c:v>
                </c:pt>
                <c:pt idx="104">
                  <c:v>115.69330441</c:v>
                </c:pt>
                <c:pt idx="105">
                  <c:v>125.57330193999998</c:v>
                </c:pt>
                <c:pt idx="106">
                  <c:v>132.95996675999999</c:v>
                </c:pt>
                <c:pt idx="107">
                  <c:v>139.21329852999997</c:v>
                </c:pt>
                <c:pt idx="108">
                  <c:v>144.87996377999997</c:v>
                </c:pt>
                <c:pt idx="109">
                  <c:v>150.23996243999997</c:v>
                </c:pt>
                <c:pt idx="110">
                  <c:v>155.30662783999998</c:v>
                </c:pt>
                <c:pt idx="111">
                  <c:v>160.10662663999997</c:v>
                </c:pt>
                <c:pt idx="112">
                  <c:v>164.63995883999999</c:v>
                </c:pt>
                <c:pt idx="113">
                  <c:v>167.51995811999998</c:v>
                </c:pt>
                <c:pt idx="114">
                  <c:v>161.93329284999999</c:v>
                </c:pt>
                <c:pt idx="115">
                  <c:v>151.34662882999999</c:v>
                </c:pt>
                <c:pt idx="116">
                  <c:v>142.63996433999998</c:v>
                </c:pt>
                <c:pt idx="117">
                  <c:v>135.35996616</c:v>
                </c:pt>
                <c:pt idx="118">
                  <c:v>129.01330107999999</c:v>
                </c:pt>
                <c:pt idx="119">
                  <c:v>123.34663583</c:v>
                </c:pt>
                <c:pt idx="120">
                  <c:v>118.11997046999998</c:v>
                </c:pt>
                <c:pt idx="121">
                  <c:v>113.21330502999999</c:v>
                </c:pt>
                <c:pt idx="122">
                  <c:v>108.54663952999999</c:v>
                </c:pt>
                <c:pt idx="123">
                  <c:v>103.95997401</c:v>
                </c:pt>
                <c:pt idx="124">
                  <c:v>99.386641819999994</c:v>
                </c:pt>
                <c:pt idx="125">
                  <c:v>97.079975730000001</c:v>
                </c:pt>
                <c:pt idx="126">
                  <c:v>104.05330731999999</c:v>
                </c:pt>
                <c:pt idx="127">
                  <c:v>112.74663847999999</c:v>
                </c:pt>
                <c:pt idx="128">
                  <c:v>69.693315909999995</c:v>
                </c:pt>
                <c:pt idx="129">
                  <c:v>8.0133313299999998</c:v>
                </c:pt>
                <c:pt idx="130">
                  <c:v>0.98666641999999993</c:v>
                </c:pt>
                <c:pt idx="131">
                  <c:v>37.813323879999999</c:v>
                </c:pt>
                <c:pt idx="132">
                  <c:v>112.50663853999998</c:v>
                </c:pt>
                <c:pt idx="133">
                  <c:v>146.15996346</c:v>
                </c:pt>
                <c:pt idx="134">
                  <c:v>159.63996008999999</c:v>
                </c:pt>
                <c:pt idx="135">
                  <c:v>162.21329277999996</c:v>
                </c:pt>
                <c:pt idx="136">
                  <c:v>155.27996117999999</c:v>
                </c:pt>
                <c:pt idx="137">
                  <c:v>145.13329704999998</c:v>
                </c:pt>
                <c:pt idx="138">
                  <c:v>137.15996570999999</c:v>
                </c:pt>
                <c:pt idx="139">
                  <c:v>130.42663406</c:v>
                </c:pt>
                <c:pt idx="140">
                  <c:v>113.87997152999999</c:v>
                </c:pt>
                <c:pt idx="141">
                  <c:v>44.973322089999996</c:v>
                </c:pt>
                <c:pt idx="142">
                  <c:v>2.4399993899999997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C5-478F-93B9-4E1EA2730CE2}"/>
            </c:ext>
          </c:extLst>
        </c:ser>
        <c:ser>
          <c:idx val="5"/>
          <c:order val="5"/>
          <c:tx>
            <c:v>12V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pump!$AY$4:$AY$246</c:f>
              <c:numCache>
                <c:formatCode>General</c:formatCode>
                <c:ptCount val="243"/>
                <c:pt idx="0">
                  <c:v>0.119999997</c:v>
                </c:pt>
                <c:pt idx="1">
                  <c:v>6.253333177</c:v>
                </c:pt>
                <c:pt idx="2">
                  <c:v>37.639999059000004</c:v>
                </c:pt>
                <c:pt idx="3">
                  <c:v>83.933331234999997</c:v>
                </c:pt>
                <c:pt idx="4">
                  <c:v>114.26666381</c:v>
                </c:pt>
                <c:pt idx="5">
                  <c:v>128.253330127</c:v>
                </c:pt>
                <c:pt idx="6">
                  <c:v>136.42666325600001</c:v>
                </c:pt>
                <c:pt idx="7">
                  <c:v>143.319996417</c:v>
                </c:pt>
                <c:pt idx="8">
                  <c:v>149.786662922</c:v>
                </c:pt>
                <c:pt idx="9">
                  <c:v>156.06666276499999</c:v>
                </c:pt>
                <c:pt idx="10">
                  <c:v>160.73332931499999</c:v>
                </c:pt>
                <c:pt idx="11">
                  <c:v>155.93332943499999</c:v>
                </c:pt>
                <c:pt idx="12">
                  <c:v>145.26666303499999</c:v>
                </c:pt>
                <c:pt idx="13">
                  <c:v>136.63999658399999</c:v>
                </c:pt>
                <c:pt idx="14">
                  <c:v>129.55999676100001</c:v>
                </c:pt>
                <c:pt idx="15">
                  <c:v>123.386663582</c:v>
                </c:pt>
                <c:pt idx="16">
                  <c:v>117.79999705500001</c:v>
                </c:pt>
                <c:pt idx="17">
                  <c:v>112.653330517</c:v>
                </c:pt>
                <c:pt idx="18">
                  <c:v>107.77333063899999</c:v>
                </c:pt>
                <c:pt idx="19">
                  <c:v>103.01333075800001</c:v>
                </c:pt>
                <c:pt idx="20">
                  <c:v>98.333330875000001</c:v>
                </c:pt>
                <c:pt idx="21">
                  <c:v>93.679997658000005</c:v>
                </c:pt>
                <c:pt idx="22">
                  <c:v>91.426664381000009</c:v>
                </c:pt>
                <c:pt idx="23">
                  <c:v>97.239997568999996</c:v>
                </c:pt>
                <c:pt idx="24">
                  <c:v>110.47999723800001</c:v>
                </c:pt>
                <c:pt idx="25">
                  <c:v>123.50666357899999</c:v>
                </c:pt>
                <c:pt idx="26">
                  <c:v>133.87999665300001</c:v>
                </c:pt>
                <c:pt idx="27">
                  <c:v>142.19999644500001</c:v>
                </c:pt>
                <c:pt idx="28">
                  <c:v>149.55999626100001</c:v>
                </c:pt>
                <c:pt idx="29">
                  <c:v>156.45332942200002</c:v>
                </c:pt>
                <c:pt idx="30">
                  <c:v>163.07999592299998</c:v>
                </c:pt>
                <c:pt idx="31">
                  <c:v>169.41332909799999</c:v>
                </c:pt>
                <c:pt idx="32">
                  <c:v>175.37332894899998</c:v>
                </c:pt>
                <c:pt idx="33">
                  <c:v>180.853328812</c:v>
                </c:pt>
                <c:pt idx="34">
                  <c:v>184.47999538799999</c:v>
                </c:pt>
                <c:pt idx="35">
                  <c:v>178.59999553500001</c:v>
                </c:pt>
                <c:pt idx="36">
                  <c:v>165.93332918499999</c:v>
                </c:pt>
                <c:pt idx="37">
                  <c:v>155.29332945100001</c:v>
                </c:pt>
                <c:pt idx="38">
                  <c:v>146.47999633799998</c:v>
                </c:pt>
                <c:pt idx="39">
                  <c:v>138.97332985899999</c:v>
                </c:pt>
                <c:pt idx="40">
                  <c:v>132.46666335500001</c:v>
                </c:pt>
                <c:pt idx="41">
                  <c:v>126.679996833</c:v>
                </c:pt>
                <c:pt idx="42">
                  <c:v>121.41333029800001</c:v>
                </c:pt>
                <c:pt idx="43">
                  <c:v>116.50666375399999</c:v>
                </c:pt>
                <c:pt idx="44">
                  <c:v>111.85333053699999</c:v>
                </c:pt>
                <c:pt idx="45">
                  <c:v>107.46666398000001</c:v>
                </c:pt>
                <c:pt idx="46">
                  <c:v>105.10666403899999</c:v>
                </c:pt>
                <c:pt idx="47">
                  <c:v>108.82666394600001</c:v>
                </c:pt>
                <c:pt idx="48">
                  <c:v>118.17333037899999</c:v>
                </c:pt>
                <c:pt idx="49">
                  <c:v>128.58666345200001</c:v>
                </c:pt>
                <c:pt idx="50">
                  <c:v>138.17332987899999</c:v>
                </c:pt>
                <c:pt idx="51">
                  <c:v>146.58666300200002</c:v>
                </c:pt>
                <c:pt idx="52">
                  <c:v>154.066662815</c:v>
                </c:pt>
                <c:pt idx="53">
                  <c:v>161.079995973</c:v>
                </c:pt>
                <c:pt idx="54">
                  <c:v>167.78666247200002</c:v>
                </c:pt>
                <c:pt idx="55">
                  <c:v>174.09332898100001</c:v>
                </c:pt>
                <c:pt idx="56">
                  <c:v>179.94666216799999</c:v>
                </c:pt>
                <c:pt idx="57">
                  <c:v>184.466662055</c:v>
                </c:pt>
                <c:pt idx="58">
                  <c:v>180.70666214899998</c:v>
                </c:pt>
                <c:pt idx="59">
                  <c:v>168.26666245999999</c:v>
                </c:pt>
                <c:pt idx="60">
                  <c:v>157.17332940399999</c:v>
                </c:pt>
                <c:pt idx="61">
                  <c:v>148.079996298</c:v>
                </c:pt>
                <c:pt idx="62">
                  <c:v>140.319996492</c:v>
                </c:pt>
                <c:pt idx="63">
                  <c:v>133.586663327</c:v>
                </c:pt>
                <c:pt idx="64">
                  <c:v>127.639996809</c:v>
                </c:pt>
                <c:pt idx="65">
                  <c:v>122.26666360999999</c:v>
                </c:pt>
                <c:pt idx="66">
                  <c:v>117.306663734</c:v>
                </c:pt>
                <c:pt idx="67">
                  <c:v>112.59999718500001</c:v>
                </c:pt>
                <c:pt idx="68">
                  <c:v>108.07999729800001</c:v>
                </c:pt>
                <c:pt idx="69">
                  <c:v>105.119997372</c:v>
                </c:pt>
                <c:pt idx="70">
                  <c:v>108.62666395100001</c:v>
                </c:pt>
                <c:pt idx="71">
                  <c:v>117.90666371899999</c:v>
                </c:pt>
                <c:pt idx="72">
                  <c:v>128.18666346199998</c:v>
                </c:pt>
                <c:pt idx="73">
                  <c:v>137.759996556</c:v>
                </c:pt>
                <c:pt idx="74">
                  <c:v>146.14666301299999</c:v>
                </c:pt>
                <c:pt idx="75">
                  <c:v>153.626662826</c:v>
                </c:pt>
                <c:pt idx="76">
                  <c:v>160.639995984</c:v>
                </c:pt>
                <c:pt idx="77">
                  <c:v>167.30666248399999</c:v>
                </c:pt>
                <c:pt idx="78">
                  <c:v>173.57332899400001</c:v>
                </c:pt>
                <c:pt idx="79">
                  <c:v>179.41332884799999</c:v>
                </c:pt>
                <c:pt idx="80">
                  <c:v>184.733328715</c:v>
                </c:pt>
                <c:pt idx="81">
                  <c:v>188.83999527899999</c:v>
                </c:pt>
                <c:pt idx="82">
                  <c:v>186.093328681</c:v>
                </c:pt>
                <c:pt idx="83">
                  <c:v>173.893328986</c:v>
                </c:pt>
                <c:pt idx="84">
                  <c:v>162.02666261600001</c:v>
                </c:pt>
                <c:pt idx="85">
                  <c:v>152.33332952500001</c:v>
                </c:pt>
                <c:pt idx="86">
                  <c:v>144.13332973000001</c:v>
                </c:pt>
                <c:pt idx="87">
                  <c:v>137.01332990799997</c:v>
                </c:pt>
                <c:pt idx="88">
                  <c:v>130.719996732</c:v>
                </c:pt>
                <c:pt idx="89">
                  <c:v>125.106663539</c:v>
                </c:pt>
                <c:pt idx="90">
                  <c:v>119.973330334</c:v>
                </c:pt>
                <c:pt idx="91">
                  <c:v>115.13333045500001</c:v>
                </c:pt>
                <c:pt idx="92">
                  <c:v>110.559997236</c:v>
                </c:pt>
                <c:pt idx="93">
                  <c:v>106.813330663</c:v>
                </c:pt>
                <c:pt idx="94">
                  <c:v>108.466663955</c:v>
                </c:pt>
                <c:pt idx="95">
                  <c:v>117.506663729</c:v>
                </c:pt>
                <c:pt idx="96">
                  <c:v>127.746663473</c:v>
                </c:pt>
                <c:pt idx="97">
                  <c:v>137.3333299</c:v>
                </c:pt>
                <c:pt idx="98">
                  <c:v>145.77332968900001</c:v>
                </c:pt>
                <c:pt idx="99">
                  <c:v>153.26666283500001</c:v>
                </c:pt>
                <c:pt idx="100">
                  <c:v>160.279995993</c:v>
                </c:pt>
                <c:pt idx="101">
                  <c:v>166.87999582799998</c:v>
                </c:pt>
                <c:pt idx="102">
                  <c:v>173.093329006</c:v>
                </c:pt>
                <c:pt idx="103">
                  <c:v>178.93332885999999</c:v>
                </c:pt>
                <c:pt idx="104">
                  <c:v>184.13332872999999</c:v>
                </c:pt>
                <c:pt idx="105">
                  <c:v>183.83999540400001</c:v>
                </c:pt>
                <c:pt idx="106">
                  <c:v>172.75999568099999</c:v>
                </c:pt>
                <c:pt idx="107">
                  <c:v>160.853329312</c:v>
                </c:pt>
                <c:pt idx="108">
                  <c:v>151.159996221</c:v>
                </c:pt>
                <c:pt idx="109">
                  <c:v>142.98666309200001</c:v>
                </c:pt>
                <c:pt idx="110">
                  <c:v>135.89332993600001</c:v>
                </c:pt>
                <c:pt idx="111">
                  <c:v>129.613330093</c:v>
                </c:pt>
                <c:pt idx="112">
                  <c:v>123.98666356699999</c:v>
                </c:pt>
                <c:pt idx="113">
                  <c:v>118.83999702899999</c:v>
                </c:pt>
                <c:pt idx="114">
                  <c:v>113.99999715</c:v>
                </c:pt>
                <c:pt idx="115">
                  <c:v>109.35999726600001</c:v>
                </c:pt>
                <c:pt idx="116">
                  <c:v>105.43999736399999</c:v>
                </c:pt>
                <c:pt idx="117">
                  <c:v>105.87999735300001</c:v>
                </c:pt>
                <c:pt idx="118">
                  <c:v>112.786663847</c:v>
                </c:pt>
                <c:pt idx="119">
                  <c:v>122.893330261</c:v>
                </c:pt>
                <c:pt idx="120">
                  <c:v>132.73333001500001</c:v>
                </c:pt>
                <c:pt idx="121">
                  <c:v>141.57332979399999</c:v>
                </c:pt>
                <c:pt idx="122">
                  <c:v>149.27999626799999</c:v>
                </c:pt>
                <c:pt idx="123">
                  <c:v>156.34666275799998</c:v>
                </c:pt>
                <c:pt idx="124">
                  <c:v>163.06666258999999</c:v>
                </c:pt>
                <c:pt idx="125">
                  <c:v>169.41332909799999</c:v>
                </c:pt>
                <c:pt idx="126">
                  <c:v>175.42666228100001</c:v>
                </c:pt>
                <c:pt idx="127">
                  <c:v>181.06666214000001</c:v>
                </c:pt>
                <c:pt idx="128">
                  <c:v>183.47999541299998</c:v>
                </c:pt>
                <c:pt idx="129">
                  <c:v>175.06666229000001</c:v>
                </c:pt>
                <c:pt idx="130">
                  <c:v>162.653329267</c:v>
                </c:pt>
                <c:pt idx="131">
                  <c:v>152.50666285399998</c:v>
                </c:pt>
                <c:pt idx="132">
                  <c:v>144.05332973200001</c:v>
                </c:pt>
                <c:pt idx="133">
                  <c:v>136.759996581</c:v>
                </c:pt>
                <c:pt idx="134">
                  <c:v>130.30666340899998</c:v>
                </c:pt>
                <c:pt idx="135">
                  <c:v>124.53333022</c:v>
                </c:pt>
                <c:pt idx="136">
                  <c:v>119.279997018</c:v>
                </c:pt>
                <c:pt idx="137">
                  <c:v>114.35999714100001</c:v>
                </c:pt>
                <c:pt idx="138">
                  <c:v>109.66666392499999</c:v>
                </c:pt>
                <c:pt idx="139">
                  <c:v>105.146664038</c:v>
                </c:pt>
                <c:pt idx="140">
                  <c:v>100.693330816</c:v>
                </c:pt>
                <c:pt idx="141">
                  <c:v>96.22666426100001</c:v>
                </c:pt>
                <c:pt idx="142">
                  <c:v>91.773331038999999</c:v>
                </c:pt>
                <c:pt idx="144">
                  <c:v>87.079997822999999</c:v>
                </c:pt>
                <c:pt idx="145">
                  <c:v>81.906664618999997</c:v>
                </c:pt>
                <c:pt idx="146">
                  <c:v>76.119998096999993</c:v>
                </c:pt>
                <c:pt idx="147">
                  <c:v>69.773331588999994</c:v>
                </c:pt>
                <c:pt idx="148">
                  <c:v>63.146665088000006</c:v>
                </c:pt>
                <c:pt idx="149">
                  <c:v>56.533331920000002</c:v>
                </c:pt>
                <c:pt idx="150">
                  <c:v>50.199998745000002</c:v>
                </c:pt>
                <c:pt idx="151">
                  <c:v>44.293332225999997</c:v>
                </c:pt>
                <c:pt idx="152">
                  <c:v>38.919999026999996</c:v>
                </c:pt>
                <c:pt idx="153">
                  <c:v>34.079999147999999</c:v>
                </c:pt>
                <c:pt idx="154">
                  <c:v>29.73333259</c:v>
                </c:pt>
                <c:pt idx="155">
                  <c:v>25.879999352999999</c:v>
                </c:pt>
                <c:pt idx="156">
                  <c:v>22.519999436999999</c:v>
                </c:pt>
                <c:pt idx="157">
                  <c:v>19.586666177000001</c:v>
                </c:pt>
                <c:pt idx="158">
                  <c:v>16.999999575</c:v>
                </c:pt>
                <c:pt idx="159">
                  <c:v>14.733332965000001</c:v>
                </c:pt>
                <c:pt idx="160">
                  <c:v>12.746666348</c:v>
                </c:pt>
                <c:pt idx="161">
                  <c:v>10.999999725</c:v>
                </c:pt>
                <c:pt idx="162">
                  <c:v>9.4533330970000016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C5-478F-93B9-4E1EA2730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81104"/>
        <c:axId val="545381464"/>
      </c:scatterChart>
      <c:valAx>
        <c:axId val="54538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Counter (9600 baud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81464"/>
        <c:crosses val="autoZero"/>
        <c:crossBetween val="midCat"/>
      </c:valAx>
      <c:valAx>
        <c:axId val="54538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8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 side of actuator with varying voltage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pump!$AO$4:$AO$246</c:f>
              <c:numCache>
                <c:formatCode>General</c:formatCode>
                <c:ptCount val="243"/>
                <c:pt idx="0">
                  <c:v>-16.133332930000002</c:v>
                </c:pt>
                <c:pt idx="1">
                  <c:v>-18.199999545000001</c:v>
                </c:pt>
                <c:pt idx="2">
                  <c:v>-20.186666162000002</c:v>
                </c:pt>
                <c:pt idx="3">
                  <c:v>-22.199999445</c:v>
                </c:pt>
                <c:pt idx="4">
                  <c:v>-24.186666062</c:v>
                </c:pt>
                <c:pt idx="5">
                  <c:v>-22.373332774000001</c:v>
                </c:pt>
                <c:pt idx="6">
                  <c:v>-15.826666271000001</c:v>
                </c:pt>
                <c:pt idx="7">
                  <c:v>-10.279999742999999</c:v>
                </c:pt>
                <c:pt idx="8">
                  <c:v>-5.9333331850000004</c:v>
                </c:pt>
                <c:pt idx="9">
                  <c:v>-1.6533332920000001</c:v>
                </c:pt>
                <c:pt idx="10">
                  <c:v>0.83999997900000001</c:v>
                </c:pt>
                <c:pt idx="11">
                  <c:v>3.9599999009999998</c:v>
                </c:pt>
                <c:pt idx="12">
                  <c:v>5.4799998629999997</c:v>
                </c:pt>
                <c:pt idx="13">
                  <c:v>7.4666664799999998</c:v>
                </c:pt>
                <c:pt idx="14">
                  <c:v>8.5866664520000011</c:v>
                </c:pt>
                <c:pt idx="15">
                  <c:v>9.2266664360000004</c:v>
                </c:pt>
                <c:pt idx="16">
                  <c:v>5.786666522</c:v>
                </c:pt>
                <c:pt idx="17">
                  <c:v>1.3066666340000002</c:v>
                </c:pt>
                <c:pt idx="18">
                  <c:v>-3.1733332540000001</c:v>
                </c:pt>
                <c:pt idx="19">
                  <c:v>-7.013333158</c:v>
                </c:pt>
                <c:pt idx="20">
                  <c:v>-10.306666409</c:v>
                </c:pt>
                <c:pt idx="21">
                  <c:v>-13.119999672000001</c:v>
                </c:pt>
                <c:pt idx="22">
                  <c:v>-15.546666278</c:v>
                </c:pt>
                <c:pt idx="23">
                  <c:v>-17.666666225</c:v>
                </c:pt>
                <c:pt idx="24">
                  <c:v>-19.506666179</c:v>
                </c:pt>
                <c:pt idx="25">
                  <c:v>-21.146666138000001</c:v>
                </c:pt>
                <c:pt idx="26">
                  <c:v>-22.573332769</c:v>
                </c:pt>
                <c:pt idx="27">
                  <c:v>-22.679999432999999</c:v>
                </c:pt>
                <c:pt idx="28">
                  <c:v>-18.506666204000002</c:v>
                </c:pt>
                <c:pt idx="29">
                  <c:v>-13.519999662</c:v>
                </c:pt>
                <c:pt idx="30">
                  <c:v>-8.3066664589999988</c:v>
                </c:pt>
                <c:pt idx="31">
                  <c:v>-4.0399998989999997</c:v>
                </c:pt>
                <c:pt idx="32">
                  <c:v>-0.99999997500000004</c:v>
                </c:pt>
                <c:pt idx="33">
                  <c:v>2.3733332740000002</c:v>
                </c:pt>
                <c:pt idx="34">
                  <c:v>3.9199999019999998</c:v>
                </c:pt>
                <c:pt idx="35">
                  <c:v>6.506666504</c:v>
                </c:pt>
                <c:pt idx="36">
                  <c:v>7.1733331539999998</c:v>
                </c:pt>
                <c:pt idx="37">
                  <c:v>9.1333331050000002</c:v>
                </c:pt>
                <c:pt idx="38">
                  <c:v>9.3466664329999993</c:v>
                </c:pt>
                <c:pt idx="39">
                  <c:v>10.479999738</c:v>
                </c:pt>
                <c:pt idx="40">
                  <c:v>6.0933331810000002</c:v>
                </c:pt>
                <c:pt idx="41">
                  <c:v>0.89333331100000002</c:v>
                </c:pt>
                <c:pt idx="42">
                  <c:v>-3.5466665780000004</c:v>
                </c:pt>
                <c:pt idx="43">
                  <c:v>-7.3466664829999999</c:v>
                </c:pt>
                <c:pt idx="44">
                  <c:v>-10.586666402000001</c:v>
                </c:pt>
                <c:pt idx="45">
                  <c:v>-13.386666332000001</c:v>
                </c:pt>
                <c:pt idx="46">
                  <c:v>-15.786666272000001</c:v>
                </c:pt>
                <c:pt idx="47">
                  <c:v>-17.879999552999998</c:v>
                </c:pt>
                <c:pt idx="48">
                  <c:v>-19.693332841</c:v>
                </c:pt>
                <c:pt idx="49">
                  <c:v>-21.306666134</c:v>
                </c:pt>
                <c:pt idx="50">
                  <c:v>-22.733332765</c:v>
                </c:pt>
                <c:pt idx="51">
                  <c:v>-22.653332767000002</c:v>
                </c:pt>
                <c:pt idx="52">
                  <c:v>-16.906666244</c:v>
                </c:pt>
                <c:pt idx="53">
                  <c:v>-11.559999711</c:v>
                </c:pt>
                <c:pt idx="54">
                  <c:v>-6.4399998389999995</c:v>
                </c:pt>
                <c:pt idx="55">
                  <c:v>-2.6266666009999997</c:v>
                </c:pt>
                <c:pt idx="56">
                  <c:v>0.46666665499999999</c:v>
                </c:pt>
                <c:pt idx="57">
                  <c:v>3.4533332469999998</c:v>
                </c:pt>
                <c:pt idx="58">
                  <c:v>4.9999998750000003</c:v>
                </c:pt>
                <c:pt idx="59">
                  <c:v>7.4266664810000007</c:v>
                </c:pt>
                <c:pt idx="60">
                  <c:v>7.9733331339999998</c:v>
                </c:pt>
                <c:pt idx="61">
                  <c:v>9.8533330870000011</c:v>
                </c:pt>
                <c:pt idx="62">
                  <c:v>7.306666484</c:v>
                </c:pt>
                <c:pt idx="63">
                  <c:v>2.893333261</c:v>
                </c:pt>
                <c:pt idx="64">
                  <c:v>-1.7999999550000001</c:v>
                </c:pt>
                <c:pt idx="65">
                  <c:v>-5.9066665189999998</c:v>
                </c:pt>
                <c:pt idx="66">
                  <c:v>-9.413333097999999</c:v>
                </c:pt>
                <c:pt idx="67">
                  <c:v>-12.413333023</c:v>
                </c:pt>
                <c:pt idx="68">
                  <c:v>-14.986666292000001</c:v>
                </c:pt>
                <c:pt idx="69">
                  <c:v>-17.213332902999998</c:v>
                </c:pt>
                <c:pt idx="70">
                  <c:v>-19.146666187999998</c:v>
                </c:pt>
                <c:pt idx="71">
                  <c:v>-20.826666145999997</c:v>
                </c:pt>
                <c:pt idx="72">
                  <c:v>-22.319999442</c:v>
                </c:pt>
                <c:pt idx="73">
                  <c:v>-23.319999417000002</c:v>
                </c:pt>
                <c:pt idx="74">
                  <c:v>-20.639999484000001</c:v>
                </c:pt>
                <c:pt idx="75">
                  <c:v>-15.813332937999999</c:v>
                </c:pt>
                <c:pt idx="76">
                  <c:v>-10.066666415</c:v>
                </c:pt>
                <c:pt idx="77">
                  <c:v>-5.8666665199999999</c:v>
                </c:pt>
                <c:pt idx="78">
                  <c:v>-1.8133332879999999</c:v>
                </c:pt>
                <c:pt idx="79">
                  <c:v>1.266666635</c:v>
                </c:pt>
                <c:pt idx="80">
                  <c:v>3.5599999109999998</c:v>
                </c:pt>
                <c:pt idx="81">
                  <c:v>6.039999849</c:v>
                </c:pt>
                <c:pt idx="82">
                  <c:v>7.0266664910000003</c:v>
                </c:pt>
                <c:pt idx="83">
                  <c:v>9.1199997719999999</c:v>
                </c:pt>
                <c:pt idx="84">
                  <c:v>9.3333331000000008</c:v>
                </c:pt>
                <c:pt idx="85">
                  <c:v>10.919999727</c:v>
                </c:pt>
                <c:pt idx="86">
                  <c:v>7.3199998170000002</c:v>
                </c:pt>
                <c:pt idx="87">
                  <c:v>1.839999954</c:v>
                </c:pt>
                <c:pt idx="88">
                  <c:v>-2.6533332669999998</c:v>
                </c:pt>
                <c:pt idx="89">
                  <c:v>-6.4266665060000001</c:v>
                </c:pt>
                <c:pt idx="90">
                  <c:v>-9.6799997579999992</c:v>
                </c:pt>
                <c:pt idx="91">
                  <c:v>-12.519999687</c:v>
                </c:pt>
                <c:pt idx="92">
                  <c:v>-14.986666292000001</c:v>
                </c:pt>
                <c:pt idx="93">
                  <c:v>-17.186666237000001</c:v>
                </c:pt>
                <c:pt idx="94">
                  <c:v>-19.213332853000001</c:v>
                </c:pt>
                <c:pt idx="95">
                  <c:v>-21.173332804000001</c:v>
                </c:pt>
                <c:pt idx="96">
                  <c:v>-23.199999420000001</c:v>
                </c:pt>
                <c:pt idx="97">
                  <c:v>-24.839999379000002</c:v>
                </c:pt>
                <c:pt idx="98">
                  <c:v>-21.173332804000001</c:v>
                </c:pt>
                <c:pt idx="99">
                  <c:v>-14.986666292000001</c:v>
                </c:pt>
                <c:pt idx="100">
                  <c:v>-9.3199997670000005</c:v>
                </c:pt>
                <c:pt idx="101">
                  <c:v>-5.2933332010000003</c:v>
                </c:pt>
                <c:pt idx="102">
                  <c:v>-1.1866666370000001</c:v>
                </c:pt>
                <c:pt idx="103">
                  <c:v>1.519999962</c:v>
                </c:pt>
                <c:pt idx="104">
                  <c:v>4.013333233</c:v>
                </c:pt>
                <c:pt idx="105">
                  <c:v>6.1333331800000002</c:v>
                </c:pt>
                <c:pt idx="106">
                  <c:v>7.2799998180000003</c:v>
                </c:pt>
                <c:pt idx="107">
                  <c:v>9.0933331060000011</c:v>
                </c:pt>
                <c:pt idx="108">
                  <c:v>8.3466664579999996</c:v>
                </c:pt>
                <c:pt idx="109">
                  <c:v>4.9333332099999998</c:v>
                </c:pt>
                <c:pt idx="110">
                  <c:v>0.253333327</c:v>
                </c:pt>
                <c:pt idx="111">
                  <c:v>-4.2399998940000003</c:v>
                </c:pt>
                <c:pt idx="112">
                  <c:v>-8.0399997990000003</c:v>
                </c:pt>
                <c:pt idx="113">
                  <c:v>-11.293333051000001</c:v>
                </c:pt>
                <c:pt idx="114">
                  <c:v>-14.093332981</c:v>
                </c:pt>
                <c:pt idx="115">
                  <c:v>-16.479999587999998</c:v>
                </c:pt>
                <c:pt idx="116">
                  <c:v>-18.533332869999999</c:v>
                </c:pt>
                <c:pt idx="117">
                  <c:v>-20.333332824999999</c:v>
                </c:pt>
                <c:pt idx="118">
                  <c:v>-21.919999451999999</c:v>
                </c:pt>
                <c:pt idx="119">
                  <c:v>-23.266666085000001</c:v>
                </c:pt>
                <c:pt idx="120">
                  <c:v>-22.413332773</c:v>
                </c:pt>
                <c:pt idx="121">
                  <c:v>-17.879999552999998</c:v>
                </c:pt>
                <c:pt idx="122">
                  <c:v>-12.426666356</c:v>
                </c:pt>
                <c:pt idx="123">
                  <c:v>-7.7066664739999995</c:v>
                </c:pt>
                <c:pt idx="124">
                  <c:v>-3.1333332550000002</c:v>
                </c:pt>
                <c:pt idx="125">
                  <c:v>-0.43999998899999998</c:v>
                </c:pt>
                <c:pt idx="126">
                  <c:v>2.8533332619999996</c:v>
                </c:pt>
                <c:pt idx="127">
                  <c:v>4.6399998839999999</c:v>
                </c:pt>
                <c:pt idx="128">
                  <c:v>6.6799998330000001</c:v>
                </c:pt>
                <c:pt idx="129">
                  <c:v>8.0533331320000006</c:v>
                </c:pt>
                <c:pt idx="130">
                  <c:v>9.0933331060000011</c:v>
                </c:pt>
                <c:pt idx="131">
                  <c:v>10.319999742</c:v>
                </c:pt>
                <c:pt idx="132">
                  <c:v>9.1999997699999998</c:v>
                </c:pt>
                <c:pt idx="133">
                  <c:v>3.613333243</c:v>
                </c:pt>
                <c:pt idx="134">
                  <c:v>-1.279999968</c:v>
                </c:pt>
                <c:pt idx="135">
                  <c:v>-5.3333332000000002</c:v>
                </c:pt>
                <c:pt idx="136">
                  <c:v>-8.7999997800000003</c:v>
                </c:pt>
                <c:pt idx="137">
                  <c:v>-11.799999704999999</c:v>
                </c:pt>
                <c:pt idx="138">
                  <c:v>-14.413332972999999</c:v>
                </c:pt>
                <c:pt idx="139">
                  <c:v>-16.706666249000001</c:v>
                </c:pt>
                <c:pt idx="140">
                  <c:v>-18.786666197000002</c:v>
                </c:pt>
                <c:pt idx="141">
                  <c:v>-20.746666147999999</c:v>
                </c:pt>
                <c:pt idx="142">
                  <c:v>-22.719999432000002</c:v>
                </c:pt>
                <c:pt idx="144">
                  <c:v>-24.733332715</c:v>
                </c:pt>
                <c:pt idx="145">
                  <c:v>-23.786666071999999</c:v>
                </c:pt>
                <c:pt idx="146">
                  <c:v>-17.399999565000002</c:v>
                </c:pt>
                <c:pt idx="147">
                  <c:v>-11.826666371</c:v>
                </c:pt>
                <c:pt idx="148">
                  <c:v>-7.0666664900000002</c:v>
                </c:pt>
                <c:pt idx="149">
                  <c:v>-2.6666666000000001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1-4730-A1CC-BBD9E4F94C4A}"/>
            </c:ext>
          </c:extLst>
        </c:ser>
        <c:ser>
          <c:idx val="1"/>
          <c:order val="1"/>
          <c:tx>
            <c:v>4V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pump!$AQ$4:$AQ$246</c:f>
              <c:numCache>
                <c:formatCode>General</c:formatCode>
                <c:ptCount val="243"/>
                <c:pt idx="0">
                  <c:v>-15.159999621000001</c:v>
                </c:pt>
                <c:pt idx="1">
                  <c:v>-21.666666124999999</c:v>
                </c:pt>
                <c:pt idx="2">
                  <c:v>-27.986665967</c:v>
                </c:pt>
                <c:pt idx="3">
                  <c:v>-34.026665815999998</c:v>
                </c:pt>
                <c:pt idx="4">
                  <c:v>-39.719999006999998</c:v>
                </c:pt>
                <c:pt idx="5">
                  <c:v>-44.999998875000003</c:v>
                </c:pt>
                <c:pt idx="6">
                  <c:v>-49.853332086999998</c:v>
                </c:pt>
                <c:pt idx="7">
                  <c:v>-54.293331975999997</c:v>
                </c:pt>
                <c:pt idx="8">
                  <c:v>-57.546665228000002</c:v>
                </c:pt>
                <c:pt idx="9">
                  <c:v>-53.533331994999998</c:v>
                </c:pt>
                <c:pt idx="10">
                  <c:v>-40.733332314999998</c:v>
                </c:pt>
                <c:pt idx="11">
                  <c:v>-28.839999279000001</c:v>
                </c:pt>
                <c:pt idx="12">
                  <c:v>-20.106666164</c:v>
                </c:pt>
                <c:pt idx="13">
                  <c:v>-13.586666327000001</c:v>
                </c:pt>
                <c:pt idx="14">
                  <c:v>-8.6933331159999998</c:v>
                </c:pt>
                <c:pt idx="15">
                  <c:v>-4.9199998769999995</c:v>
                </c:pt>
                <c:pt idx="16">
                  <c:v>-1.933333285</c:v>
                </c:pt>
                <c:pt idx="17">
                  <c:v>0.45333332199999998</c:v>
                </c:pt>
                <c:pt idx="18">
                  <c:v>2.3733332740000002</c:v>
                </c:pt>
                <c:pt idx="19">
                  <c:v>3.9199999019999998</c:v>
                </c:pt>
                <c:pt idx="20">
                  <c:v>5.1466665379999998</c:v>
                </c:pt>
                <c:pt idx="21">
                  <c:v>4.5333332200000003</c:v>
                </c:pt>
                <c:pt idx="22">
                  <c:v>-1.173333304</c:v>
                </c:pt>
                <c:pt idx="23">
                  <c:v>-8.1999997950000001</c:v>
                </c:pt>
                <c:pt idx="24">
                  <c:v>-14.919999627000001</c:v>
                </c:pt>
                <c:pt idx="25">
                  <c:v>-21.426666130999998</c:v>
                </c:pt>
                <c:pt idx="26">
                  <c:v>-27.759999305999997</c:v>
                </c:pt>
                <c:pt idx="27">
                  <c:v>-33.826665820999999</c:v>
                </c:pt>
                <c:pt idx="28">
                  <c:v>-39.546665678000004</c:v>
                </c:pt>
                <c:pt idx="29">
                  <c:v>-44.866665544999996</c:v>
                </c:pt>
                <c:pt idx="30">
                  <c:v>-49.733332089999998</c:v>
                </c:pt>
                <c:pt idx="31">
                  <c:v>-54.186665311999995</c:v>
                </c:pt>
                <c:pt idx="32">
                  <c:v>-58.013331883000006</c:v>
                </c:pt>
                <c:pt idx="33">
                  <c:v>-55.733331939999999</c:v>
                </c:pt>
                <c:pt idx="34">
                  <c:v>-42.706665599000004</c:v>
                </c:pt>
                <c:pt idx="35">
                  <c:v>-30.293332575999997</c:v>
                </c:pt>
                <c:pt idx="36">
                  <c:v>-21.239999469000001</c:v>
                </c:pt>
                <c:pt idx="37">
                  <c:v>-14.53333297</c:v>
                </c:pt>
                <c:pt idx="38">
                  <c:v>-9.5066664289999991</c:v>
                </c:pt>
                <c:pt idx="39">
                  <c:v>-5.6399998589999996</c:v>
                </c:pt>
                <c:pt idx="40">
                  <c:v>-2.6133332680000003</c:v>
                </c:pt>
                <c:pt idx="41">
                  <c:v>-0.19999999499999999</c:v>
                </c:pt>
                <c:pt idx="42">
                  <c:v>1.7466666229999999</c:v>
                </c:pt>
                <c:pt idx="43">
                  <c:v>3.3066665840000002</c:v>
                </c:pt>
                <c:pt idx="44">
                  <c:v>4.4533332219999995</c:v>
                </c:pt>
                <c:pt idx="45">
                  <c:v>3.0266665909999997</c:v>
                </c:pt>
                <c:pt idx="46">
                  <c:v>-3.1733332540000001</c:v>
                </c:pt>
                <c:pt idx="47">
                  <c:v>-10.13333308</c:v>
                </c:pt>
                <c:pt idx="48">
                  <c:v>-16.799999580000001</c:v>
                </c:pt>
                <c:pt idx="49">
                  <c:v>-23.266666085000001</c:v>
                </c:pt>
                <c:pt idx="50">
                  <c:v>-29.546665927999999</c:v>
                </c:pt>
                <c:pt idx="51">
                  <c:v>-35.519999111999994</c:v>
                </c:pt>
                <c:pt idx="52">
                  <c:v>-41.133332305000003</c:v>
                </c:pt>
                <c:pt idx="53">
                  <c:v>-46.333332175000002</c:v>
                </c:pt>
                <c:pt idx="54">
                  <c:v>-51.093332056000001</c:v>
                </c:pt>
                <c:pt idx="55">
                  <c:v>-55.426665280999998</c:v>
                </c:pt>
                <c:pt idx="56">
                  <c:v>-58.666665199999997</c:v>
                </c:pt>
                <c:pt idx="57">
                  <c:v>-53.666665324999997</c:v>
                </c:pt>
                <c:pt idx="58">
                  <c:v>-40.213332328</c:v>
                </c:pt>
                <c:pt idx="59">
                  <c:v>-28.653332617</c:v>
                </c:pt>
                <c:pt idx="60">
                  <c:v>-20.146666162999999</c:v>
                </c:pt>
                <c:pt idx="61">
                  <c:v>-13.853332987</c:v>
                </c:pt>
                <c:pt idx="62">
                  <c:v>-9.0933331060000011</c:v>
                </c:pt>
                <c:pt idx="63">
                  <c:v>-5.4133331980000001</c:v>
                </c:pt>
                <c:pt idx="64">
                  <c:v>-2.5066666040000003</c:v>
                </c:pt>
                <c:pt idx="65">
                  <c:v>-0.18666666199999998</c:v>
                </c:pt>
                <c:pt idx="66">
                  <c:v>1.666666625</c:v>
                </c:pt>
                <c:pt idx="67">
                  <c:v>3.106666589</c:v>
                </c:pt>
                <c:pt idx="68">
                  <c:v>4.1733332289999998</c:v>
                </c:pt>
                <c:pt idx="69">
                  <c:v>3.3466665830000002</c:v>
                </c:pt>
                <c:pt idx="70">
                  <c:v>-1.7999999550000001</c:v>
                </c:pt>
                <c:pt idx="71">
                  <c:v>-8.6799997829999995</c:v>
                </c:pt>
                <c:pt idx="72">
                  <c:v>-15.359999616</c:v>
                </c:pt>
                <c:pt idx="73">
                  <c:v>-21.839999454000001</c:v>
                </c:pt>
                <c:pt idx="74">
                  <c:v>-28.146665963</c:v>
                </c:pt>
                <c:pt idx="75">
                  <c:v>-34.186665811999994</c:v>
                </c:pt>
                <c:pt idx="76">
                  <c:v>-39.893332336</c:v>
                </c:pt>
                <c:pt idx="77">
                  <c:v>-45.186665536999996</c:v>
                </c:pt>
                <c:pt idx="78">
                  <c:v>-50.039998748999999</c:v>
                </c:pt>
                <c:pt idx="79">
                  <c:v>-54.466665304999999</c:v>
                </c:pt>
                <c:pt idx="80">
                  <c:v>-58.093331880999997</c:v>
                </c:pt>
                <c:pt idx="81">
                  <c:v>-55.959998600999995</c:v>
                </c:pt>
                <c:pt idx="82">
                  <c:v>-44.053332231999995</c:v>
                </c:pt>
                <c:pt idx="83">
                  <c:v>-31.573332544000003</c:v>
                </c:pt>
                <c:pt idx="84">
                  <c:v>-22.399999439999998</c:v>
                </c:pt>
                <c:pt idx="85">
                  <c:v>-15.639999609</c:v>
                </c:pt>
                <c:pt idx="86">
                  <c:v>-10.559999736</c:v>
                </c:pt>
                <c:pt idx="87">
                  <c:v>-6.7066664989999998</c:v>
                </c:pt>
                <c:pt idx="88">
                  <c:v>-3.6799999080000001</c:v>
                </c:pt>
                <c:pt idx="89">
                  <c:v>-1.2533333020000001</c:v>
                </c:pt>
                <c:pt idx="90">
                  <c:v>0.67999998299999997</c:v>
                </c:pt>
                <c:pt idx="91">
                  <c:v>2.2133332780000003</c:v>
                </c:pt>
                <c:pt idx="92">
                  <c:v>3.4399999139999999</c:v>
                </c:pt>
                <c:pt idx="93">
                  <c:v>3.4533332469999998</c:v>
                </c:pt>
                <c:pt idx="94">
                  <c:v>-1.3066666340000002</c:v>
                </c:pt>
                <c:pt idx="95">
                  <c:v>-8.2399997939999992</c:v>
                </c:pt>
                <c:pt idx="96">
                  <c:v>-14.93333296</c:v>
                </c:pt>
                <c:pt idx="97">
                  <c:v>-21.453332797000002</c:v>
                </c:pt>
                <c:pt idx="98">
                  <c:v>-27.786665972000002</c:v>
                </c:pt>
                <c:pt idx="99">
                  <c:v>-33.853332487000003</c:v>
                </c:pt>
                <c:pt idx="100">
                  <c:v>-39.573332344000001</c:v>
                </c:pt>
                <c:pt idx="101">
                  <c:v>-44.906665543999999</c:v>
                </c:pt>
                <c:pt idx="102">
                  <c:v>-49.813332088000003</c:v>
                </c:pt>
                <c:pt idx="103">
                  <c:v>-54.279998643000006</c:v>
                </c:pt>
                <c:pt idx="104">
                  <c:v>-58.253331876999994</c:v>
                </c:pt>
                <c:pt idx="105">
                  <c:v>-58.093331880999997</c:v>
                </c:pt>
                <c:pt idx="106">
                  <c:v>-46.573332169000004</c:v>
                </c:pt>
                <c:pt idx="107">
                  <c:v>-33.453332496999998</c:v>
                </c:pt>
                <c:pt idx="108">
                  <c:v>-23.866666070000001</c:v>
                </c:pt>
                <c:pt idx="109">
                  <c:v>-16.799999580000001</c:v>
                </c:pt>
                <c:pt idx="110">
                  <c:v>-11.533333044999999</c:v>
                </c:pt>
                <c:pt idx="111">
                  <c:v>-7.5466664780000006</c:v>
                </c:pt>
                <c:pt idx="112">
                  <c:v>-4.4266665560000007</c:v>
                </c:pt>
                <c:pt idx="113">
                  <c:v>-1.9466666179999998</c:v>
                </c:pt>
                <c:pt idx="114">
                  <c:v>1.3333333000000001E-2</c:v>
                </c:pt>
                <c:pt idx="115">
                  <c:v>1.5599999609999999</c:v>
                </c:pt>
                <c:pt idx="116">
                  <c:v>1.8533332870000001</c:v>
                </c:pt>
                <c:pt idx="117">
                  <c:v>-2.7066665990000001</c:v>
                </c:pt>
                <c:pt idx="118">
                  <c:v>-9.6399997590000002</c:v>
                </c:pt>
                <c:pt idx="119">
                  <c:v>-16.346666257999999</c:v>
                </c:pt>
                <c:pt idx="120">
                  <c:v>-22.866666094999999</c:v>
                </c:pt>
                <c:pt idx="121">
                  <c:v>-29.173332604000002</c:v>
                </c:pt>
                <c:pt idx="122">
                  <c:v>-35.186665786999995</c:v>
                </c:pt>
                <c:pt idx="123">
                  <c:v>-40.839998979000001</c:v>
                </c:pt>
                <c:pt idx="124">
                  <c:v>-46.079998848000002</c:v>
                </c:pt>
                <c:pt idx="125">
                  <c:v>-50.893332060999995</c:v>
                </c:pt>
                <c:pt idx="126">
                  <c:v>-55.266665285000002</c:v>
                </c:pt>
                <c:pt idx="127">
                  <c:v>-59.039998524000005</c:v>
                </c:pt>
                <c:pt idx="128">
                  <c:v>-57.586665226999997</c:v>
                </c:pt>
                <c:pt idx="129">
                  <c:v>-45.373332199000004</c:v>
                </c:pt>
                <c:pt idx="130">
                  <c:v>-32.759999180999998</c:v>
                </c:pt>
                <c:pt idx="131">
                  <c:v>-23.506666079000002</c:v>
                </c:pt>
                <c:pt idx="132">
                  <c:v>-16.653332917</c:v>
                </c:pt>
                <c:pt idx="133">
                  <c:v>-11.559999711</c:v>
                </c:pt>
                <c:pt idx="134">
                  <c:v>-7.6799998079999998</c:v>
                </c:pt>
                <c:pt idx="135">
                  <c:v>-4.6266665510000005</c:v>
                </c:pt>
                <c:pt idx="136">
                  <c:v>-2.2133332780000003</c:v>
                </c:pt>
                <c:pt idx="137">
                  <c:v>-0.30666665899999995</c:v>
                </c:pt>
                <c:pt idx="138">
                  <c:v>1.1999999699999999</c:v>
                </c:pt>
                <c:pt idx="139">
                  <c:v>2.3999999399999998</c:v>
                </c:pt>
                <c:pt idx="140">
                  <c:v>2.346666608</c:v>
                </c:pt>
                <c:pt idx="141">
                  <c:v>-1.7466666229999999</c:v>
                </c:pt>
                <c:pt idx="142">
                  <c:v>-8.3999997900000007</c:v>
                </c:pt>
                <c:pt idx="144">
                  <c:v>-15.066666290000001</c:v>
                </c:pt>
                <c:pt idx="145">
                  <c:v>-21.546666127999998</c:v>
                </c:pt>
                <c:pt idx="146">
                  <c:v>-27.86666597</c:v>
                </c:pt>
                <c:pt idx="147">
                  <c:v>-33.933332485000001</c:v>
                </c:pt>
                <c:pt idx="148">
                  <c:v>-39.653332341999999</c:v>
                </c:pt>
                <c:pt idx="149">
                  <c:v>-44.986665541999997</c:v>
                </c:pt>
                <c:pt idx="150">
                  <c:v>-49.879998753000002</c:v>
                </c:pt>
                <c:pt idx="151">
                  <c:v>-54.346665308000006</c:v>
                </c:pt>
                <c:pt idx="152">
                  <c:v>-58.279998543000005</c:v>
                </c:pt>
                <c:pt idx="153">
                  <c:v>-58.559998536000002</c:v>
                </c:pt>
                <c:pt idx="154">
                  <c:v>-48.786665446999997</c:v>
                </c:pt>
                <c:pt idx="155">
                  <c:v>-35.639999109000001</c:v>
                </c:pt>
                <c:pt idx="156">
                  <c:v>-25.626666025999999</c:v>
                </c:pt>
                <c:pt idx="157">
                  <c:v>-18.306666209000003</c:v>
                </c:pt>
                <c:pt idx="158">
                  <c:v>-12.866666345000001</c:v>
                </c:pt>
                <c:pt idx="159">
                  <c:v>-8.7199997820000004</c:v>
                </c:pt>
                <c:pt idx="160">
                  <c:v>-5.5199998619999997</c:v>
                </c:pt>
                <c:pt idx="161">
                  <c:v>-2.9866665919999997</c:v>
                </c:pt>
                <c:pt idx="162">
                  <c:v>-0.97333330899999992</c:v>
                </c:pt>
                <c:pt idx="163">
                  <c:v>0.62666665100000007</c:v>
                </c:pt>
                <c:pt idx="164">
                  <c:v>1.8933332859999998</c:v>
                </c:pt>
                <c:pt idx="165">
                  <c:v>2.5066666040000003</c:v>
                </c:pt>
                <c:pt idx="166">
                  <c:v>-0.86666664500000001</c:v>
                </c:pt>
                <c:pt idx="1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1-4730-A1CC-BBD9E4F94C4A}"/>
            </c:ext>
          </c:extLst>
        </c:ser>
        <c:ser>
          <c:idx val="2"/>
          <c:order val="2"/>
          <c:tx>
            <c:v>6V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pump!$AS$4:$AS$246</c:f>
              <c:numCache>
                <c:formatCode>General</c:formatCode>
                <c:ptCount val="243"/>
                <c:pt idx="0">
                  <c:v>27.053332657000002</c:v>
                </c:pt>
                <c:pt idx="1">
                  <c:v>29.493332595999998</c:v>
                </c:pt>
                <c:pt idx="2">
                  <c:v>31.586665877000002</c:v>
                </c:pt>
                <c:pt idx="3">
                  <c:v>33.439999164</c:v>
                </c:pt>
                <c:pt idx="4">
                  <c:v>35.079999123</c:v>
                </c:pt>
                <c:pt idx="5">
                  <c:v>36.586665751999995</c:v>
                </c:pt>
                <c:pt idx="6">
                  <c:v>36.839999079000002</c:v>
                </c:pt>
                <c:pt idx="7">
                  <c:v>32.519999187000003</c:v>
                </c:pt>
                <c:pt idx="8">
                  <c:v>26.813332663000001</c:v>
                </c:pt>
                <c:pt idx="9">
                  <c:v>21.879999453</c:v>
                </c:pt>
                <c:pt idx="10">
                  <c:v>17.386666232</c:v>
                </c:pt>
                <c:pt idx="11">
                  <c:v>13.066666339999999</c:v>
                </c:pt>
                <c:pt idx="12">
                  <c:v>8.6399997840000005</c:v>
                </c:pt>
                <c:pt idx="13">
                  <c:v>3.9199999019999998</c:v>
                </c:pt>
                <c:pt idx="14">
                  <c:v>-1.1999999699999999</c:v>
                </c:pt>
                <c:pt idx="15">
                  <c:v>-6.8133331630000002</c:v>
                </c:pt>
                <c:pt idx="16">
                  <c:v>-12.813333012999999</c:v>
                </c:pt>
                <c:pt idx="17">
                  <c:v>-18.786666197000002</c:v>
                </c:pt>
                <c:pt idx="18">
                  <c:v>-19.719999507000001</c:v>
                </c:pt>
                <c:pt idx="19">
                  <c:v>-7.4266664810000007</c:v>
                </c:pt>
                <c:pt idx="20">
                  <c:v>5.8133331880000005</c:v>
                </c:pt>
                <c:pt idx="21">
                  <c:v>14.413332972999999</c:v>
                </c:pt>
                <c:pt idx="22">
                  <c:v>20.159999495999998</c:v>
                </c:pt>
                <c:pt idx="23">
                  <c:v>24.213332727999997</c:v>
                </c:pt>
                <c:pt idx="24">
                  <c:v>27.306665984000002</c:v>
                </c:pt>
                <c:pt idx="25">
                  <c:v>29.799999254999999</c:v>
                </c:pt>
                <c:pt idx="26">
                  <c:v>31.919999202</c:v>
                </c:pt>
                <c:pt idx="27">
                  <c:v>33.759999155999999</c:v>
                </c:pt>
                <c:pt idx="28">
                  <c:v>35.413332448000006</c:v>
                </c:pt>
                <c:pt idx="29">
                  <c:v>36.919999077</c:v>
                </c:pt>
                <c:pt idx="30">
                  <c:v>36.813332413000005</c:v>
                </c:pt>
                <c:pt idx="31">
                  <c:v>32.239999193999999</c:v>
                </c:pt>
                <c:pt idx="32">
                  <c:v>26.679999332999998</c:v>
                </c:pt>
                <c:pt idx="33">
                  <c:v>21.759999455999999</c:v>
                </c:pt>
                <c:pt idx="34">
                  <c:v>17.253332902</c:v>
                </c:pt>
                <c:pt idx="35">
                  <c:v>12.906666344</c:v>
                </c:pt>
                <c:pt idx="36">
                  <c:v>8.4399997889999998</c:v>
                </c:pt>
                <c:pt idx="37">
                  <c:v>3.6799999080000001</c:v>
                </c:pt>
                <c:pt idx="38">
                  <c:v>-1.46666663</c:v>
                </c:pt>
                <c:pt idx="39">
                  <c:v>-7.053333157</c:v>
                </c:pt>
                <c:pt idx="40">
                  <c:v>-12.893333011000001</c:v>
                </c:pt>
                <c:pt idx="41">
                  <c:v>-18.466666204999999</c:v>
                </c:pt>
                <c:pt idx="42">
                  <c:v>-18.679999533</c:v>
                </c:pt>
                <c:pt idx="43">
                  <c:v>-7.1999998200000004</c:v>
                </c:pt>
                <c:pt idx="44">
                  <c:v>5.7999998550000003</c:v>
                </c:pt>
                <c:pt idx="45">
                  <c:v>14.573332968999999</c:v>
                </c:pt>
                <c:pt idx="46">
                  <c:v>20.426666156</c:v>
                </c:pt>
                <c:pt idx="47">
                  <c:v>24.533332720000001</c:v>
                </c:pt>
                <c:pt idx="48">
                  <c:v>27.639999309</c:v>
                </c:pt>
                <c:pt idx="49">
                  <c:v>30.146665913</c:v>
                </c:pt>
                <c:pt idx="50">
                  <c:v>32.266665860000003</c:v>
                </c:pt>
                <c:pt idx="51">
                  <c:v>34.119999147000001</c:v>
                </c:pt>
                <c:pt idx="52">
                  <c:v>35.773332439000001</c:v>
                </c:pt>
                <c:pt idx="53">
                  <c:v>37.279999068000002</c:v>
                </c:pt>
                <c:pt idx="54">
                  <c:v>37.359999066</c:v>
                </c:pt>
                <c:pt idx="55">
                  <c:v>33.093332505999996</c:v>
                </c:pt>
                <c:pt idx="56">
                  <c:v>27.466665979999998</c:v>
                </c:pt>
                <c:pt idx="57">
                  <c:v>22.466666105000002</c:v>
                </c:pt>
                <c:pt idx="58">
                  <c:v>17.906666219000002</c:v>
                </c:pt>
                <c:pt idx="59">
                  <c:v>13.519999662</c:v>
                </c:pt>
                <c:pt idx="60">
                  <c:v>9.039999774</c:v>
                </c:pt>
                <c:pt idx="61">
                  <c:v>4.26666656</c:v>
                </c:pt>
                <c:pt idx="62">
                  <c:v>-0.90666664399999997</c:v>
                </c:pt>
                <c:pt idx="63">
                  <c:v>-6.506666504</c:v>
                </c:pt>
                <c:pt idx="64">
                  <c:v>-12.346666357999998</c:v>
                </c:pt>
                <c:pt idx="65">
                  <c:v>-17.986666217</c:v>
                </c:pt>
                <c:pt idx="66">
                  <c:v>-19.106666189000002</c:v>
                </c:pt>
                <c:pt idx="67">
                  <c:v>-8.5866664520000011</c:v>
                </c:pt>
                <c:pt idx="68">
                  <c:v>4.9599998760000004</c:v>
                </c:pt>
                <c:pt idx="69">
                  <c:v>14.226666311000001</c:v>
                </c:pt>
                <c:pt idx="70">
                  <c:v>20.359999491</c:v>
                </c:pt>
                <c:pt idx="71">
                  <c:v>24.626666050999997</c:v>
                </c:pt>
                <c:pt idx="72">
                  <c:v>27.813332637999999</c:v>
                </c:pt>
                <c:pt idx="73">
                  <c:v>30.373332574000003</c:v>
                </c:pt>
                <c:pt idx="74">
                  <c:v>32.533332520000002</c:v>
                </c:pt>
                <c:pt idx="75">
                  <c:v>34.399999139999998</c:v>
                </c:pt>
                <c:pt idx="76">
                  <c:v>36.093332431</c:v>
                </c:pt>
                <c:pt idx="77">
                  <c:v>37.613332393</c:v>
                </c:pt>
                <c:pt idx="78">
                  <c:v>38.093332380999996</c:v>
                </c:pt>
                <c:pt idx="79">
                  <c:v>34.319999142</c:v>
                </c:pt>
                <c:pt idx="80">
                  <c:v>28.519999287000001</c:v>
                </c:pt>
                <c:pt idx="81">
                  <c:v>23.399999415</c:v>
                </c:pt>
                <c:pt idx="82">
                  <c:v>18.786666197000002</c:v>
                </c:pt>
                <c:pt idx="83">
                  <c:v>14.373332974</c:v>
                </c:pt>
                <c:pt idx="84">
                  <c:v>9.8933330860000002</c:v>
                </c:pt>
                <c:pt idx="85">
                  <c:v>5.1333332049999996</c:v>
                </c:pt>
                <c:pt idx="86">
                  <c:v>-3.9999999000000001E-2</c:v>
                </c:pt>
                <c:pt idx="87">
                  <c:v>-5.6266665260000002</c:v>
                </c:pt>
                <c:pt idx="88">
                  <c:v>-11.453333047000001</c:v>
                </c:pt>
                <c:pt idx="89">
                  <c:v>-17.159999571</c:v>
                </c:pt>
                <c:pt idx="90">
                  <c:v>-19.306666184000001</c:v>
                </c:pt>
                <c:pt idx="91">
                  <c:v>-9.426666431000001</c:v>
                </c:pt>
                <c:pt idx="92">
                  <c:v>4.6133332180000002</c:v>
                </c:pt>
                <c:pt idx="93">
                  <c:v>14.186666312000002</c:v>
                </c:pt>
                <c:pt idx="94">
                  <c:v>20.479999488000001</c:v>
                </c:pt>
                <c:pt idx="95">
                  <c:v>24.839999379000002</c:v>
                </c:pt>
                <c:pt idx="96">
                  <c:v>28.093332630999999</c:v>
                </c:pt>
                <c:pt idx="97">
                  <c:v>30.679999233</c:v>
                </c:pt>
                <c:pt idx="98">
                  <c:v>32.866665845</c:v>
                </c:pt>
                <c:pt idx="99">
                  <c:v>34.773332463999999</c:v>
                </c:pt>
                <c:pt idx="100">
                  <c:v>36.466665755000001</c:v>
                </c:pt>
                <c:pt idx="101">
                  <c:v>38.013332383000005</c:v>
                </c:pt>
                <c:pt idx="102">
                  <c:v>38.733332365000003</c:v>
                </c:pt>
                <c:pt idx="103">
                  <c:v>35.013332458000001</c:v>
                </c:pt>
                <c:pt idx="104">
                  <c:v>29.039999274000003</c:v>
                </c:pt>
                <c:pt idx="105">
                  <c:v>23.853332737000002</c:v>
                </c:pt>
                <c:pt idx="106">
                  <c:v>19.173332854000002</c:v>
                </c:pt>
                <c:pt idx="107">
                  <c:v>14.706666299</c:v>
                </c:pt>
                <c:pt idx="108">
                  <c:v>10.173333078999999</c:v>
                </c:pt>
                <c:pt idx="109">
                  <c:v>5.3466665330000005</c:v>
                </c:pt>
                <c:pt idx="110">
                  <c:v>6.6666665E-2</c:v>
                </c:pt>
                <c:pt idx="111">
                  <c:v>-5.6399998589999996</c:v>
                </c:pt>
                <c:pt idx="112">
                  <c:v>-11.586666377</c:v>
                </c:pt>
                <c:pt idx="113">
                  <c:v>-17.586666227000002</c:v>
                </c:pt>
                <c:pt idx="114">
                  <c:v>-20.26666616</c:v>
                </c:pt>
                <c:pt idx="115">
                  <c:v>-9.6266664259999999</c:v>
                </c:pt>
                <c:pt idx="116">
                  <c:v>4.733333215</c:v>
                </c:pt>
                <c:pt idx="117">
                  <c:v>14.306666308999999</c:v>
                </c:pt>
                <c:pt idx="118">
                  <c:v>20.639999484000001</c:v>
                </c:pt>
                <c:pt idx="119">
                  <c:v>25.039999374000001</c:v>
                </c:pt>
                <c:pt idx="120">
                  <c:v>28.346665957999999</c:v>
                </c:pt>
                <c:pt idx="121">
                  <c:v>30.986665892000001</c:v>
                </c:pt>
                <c:pt idx="122">
                  <c:v>33.213332502999997</c:v>
                </c:pt>
                <c:pt idx="123">
                  <c:v>35.133332455000001</c:v>
                </c:pt>
                <c:pt idx="124">
                  <c:v>36.853332412</c:v>
                </c:pt>
                <c:pt idx="125">
                  <c:v>38.413332373000003</c:v>
                </c:pt>
                <c:pt idx="126">
                  <c:v>38.906665694000004</c:v>
                </c:pt>
                <c:pt idx="127">
                  <c:v>35.119999121999996</c:v>
                </c:pt>
                <c:pt idx="128">
                  <c:v>29.293332600999999</c:v>
                </c:pt>
                <c:pt idx="129">
                  <c:v>24.093332730999997</c:v>
                </c:pt>
                <c:pt idx="130">
                  <c:v>19.373332849000001</c:v>
                </c:pt>
                <c:pt idx="131">
                  <c:v>14.893332961</c:v>
                </c:pt>
                <c:pt idx="132">
                  <c:v>10.333333075000001</c:v>
                </c:pt>
                <c:pt idx="133">
                  <c:v>5.4799998629999997</c:v>
                </c:pt>
                <c:pt idx="134">
                  <c:v>0.17333332900000001</c:v>
                </c:pt>
                <c:pt idx="135">
                  <c:v>-5.5066665289999994</c:v>
                </c:pt>
                <c:pt idx="136">
                  <c:v>-11.33333305</c:v>
                </c:pt>
                <c:pt idx="137">
                  <c:v>-17.06666624</c:v>
                </c:pt>
                <c:pt idx="138">
                  <c:v>-19.213332853000001</c:v>
                </c:pt>
                <c:pt idx="139">
                  <c:v>-9.799999755</c:v>
                </c:pt>
                <c:pt idx="140">
                  <c:v>4.2799998930000003</c:v>
                </c:pt>
                <c:pt idx="141">
                  <c:v>14.226666311000001</c:v>
                </c:pt>
                <c:pt idx="142">
                  <c:v>20.746666147999999</c:v>
                </c:pt>
                <c:pt idx="144">
                  <c:v>25.239999369000003</c:v>
                </c:pt>
                <c:pt idx="145">
                  <c:v>28.586665952000001</c:v>
                </c:pt>
                <c:pt idx="146">
                  <c:v>31.239999219000001</c:v>
                </c:pt>
                <c:pt idx="147">
                  <c:v>33.453332496999998</c:v>
                </c:pt>
                <c:pt idx="148">
                  <c:v>35.373332449000003</c:v>
                </c:pt>
                <c:pt idx="149">
                  <c:v>37.093332406000002</c:v>
                </c:pt>
                <c:pt idx="150">
                  <c:v>38.666665700000003</c:v>
                </c:pt>
                <c:pt idx="151">
                  <c:v>39.613332343000003</c:v>
                </c:pt>
                <c:pt idx="152">
                  <c:v>36.519999086999995</c:v>
                </c:pt>
                <c:pt idx="153">
                  <c:v>30.479999237999998</c:v>
                </c:pt>
                <c:pt idx="154">
                  <c:v>25.146666037999999</c:v>
                </c:pt>
                <c:pt idx="155">
                  <c:v>20.373332824000002</c:v>
                </c:pt>
                <c:pt idx="156">
                  <c:v>15.853332937000001</c:v>
                </c:pt>
                <c:pt idx="157">
                  <c:v>11.319999717</c:v>
                </c:pt>
                <c:pt idx="158">
                  <c:v>6.4933331710000006</c:v>
                </c:pt>
                <c:pt idx="159">
                  <c:v>1.2266666359999998</c:v>
                </c:pt>
                <c:pt idx="160">
                  <c:v>-4.3999998900000001</c:v>
                </c:pt>
                <c:pt idx="161">
                  <c:v>-10.199999745</c:v>
                </c:pt>
                <c:pt idx="162">
                  <c:v>-16.013332933000001</c:v>
                </c:pt>
                <c:pt idx="163">
                  <c:v>-19.586666177000001</c:v>
                </c:pt>
                <c:pt idx="164">
                  <c:v>-11.546666377999999</c:v>
                </c:pt>
                <c:pt idx="165">
                  <c:v>3.1599999209999998</c:v>
                </c:pt>
                <c:pt idx="166">
                  <c:v>13.613332992999998</c:v>
                </c:pt>
                <c:pt idx="167">
                  <c:v>20.453332822</c:v>
                </c:pt>
                <c:pt idx="168">
                  <c:v>25.146666037999999</c:v>
                </c:pt>
                <c:pt idx="169">
                  <c:v>28.599999284999999</c:v>
                </c:pt>
                <c:pt idx="170">
                  <c:v>31.319999216999999</c:v>
                </c:pt>
                <c:pt idx="171">
                  <c:v>33.599999160000003</c:v>
                </c:pt>
                <c:pt idx="172">
                  <c:v>35.559999110999996</c:v>
                </c:pt>
                <c:pt idx="173">
                  <c:v>37.319999066999998</c:v>
                </c:pt>
                <c:pt idx="174">
                  <c:v>38.906665694000004</c:v>
                </c:pt>
                <c:pt idx="175">
                  <c:v>39.773332339</c:v>
                </c:pt>
                <c:pt idx="176">
                  <c:v>36.226665761</c:v>
                </c:pt>
                <c:pt idx="177">
                  <c:v>30.106665914000001</c:v>
                </c:pt>
                <c:pt idx="178">
                  <c:v>24.813332712999998</c:v>
                </c:pt>
                <c:pt idx="179">
                  <c:v>20.053332832000002</c:v>
                </c:pt>
                <c:pt idx="180">
                  <c:v>15.519999612000001</c:v>
                </c:pt>
                <c:pt idx="181">
                  <c:v>10.919999727</c:v>
                </c:pt>
                <c:pt idx="182">
                  <c:v>5.9866665169999997</c:v>
                </c:pt>
                <c:pt idx="183">
                  <c:v>0.63999998400000002</c:v>
                </c:pt>
                <c:pt idx="184">
                  <c:v>-5.026666541</c:v>
                </c:pt>
                <c:pt idx="185">
                  <c:v>-10.853333062000001</c:v>
                </c:pt>
                <c:pt idx="186">
                  <c:v>-16.626666251</c:v>
                </c:pt>
                <c:pt idx="187">
                  <c:v>-19.266666184999998</c:v>
                </c:pt>
                <c:pt idx="188">
                  <c:v>-10.359999741000001</c:v>
                </c:pt>
                <c:pt idx="189">
                  <c:v>3.799999905</c:v>
                </c:pt>
                <c:pt idx="190">
                  <c:v>14.079999647999999</c:v>
                </c:pt>
                <c:pt idx="191">
                  <c:v>20.866666145</c:v>
                </c:pt>
                <c:pt idx="192">
                  <c:v>25.559999360999999</c:v>
                </c:pt>
                <c:pt idx="193">
                  <c:v>29.026665940999997</c:v>
                </c:pt>
                <c:pt idx="194">
                  <c:v>31.759999206</c:v>
                </c:pt>
                <c:pt idx="195">
                  <c:v>34.039999149000003</c:v>
                </c:pt>
                <c:pt idx="196">
                  <c:v>36.039999098999999</c:v>
                </c:pt>
                <c:pt idx="197">
                  <c:v>37.799999055000001</c:v>
                </c:pt>
                <c:pt idx="198">
                  <c:v>39.413332348000004</c:v>
                </c:pt>
                <c:pt idx="199">
                  <c:v>40.439998989000003</c:v>
                </c:pt>
                <c:pt idx="200">
                  <c:v>37.666665725000001</c:v>
                </c:pt>
                <c:pt idx="201">
                  <c:v>31.639999209000003</c:v>
                </c:pt>
                <c:pt idx="202">
                  <c:v>26.186666012</c:v>
                </c:pt>
                <c:pt idx="203">
                  <c:v>21.319999467000002</c:v>
                </c:pt>
                <c:pt idx="204">
                  <c:v>16.759999580999999</c:v>
                </c:pt>
                <c:pt idx="205">
                  <c:v>12.199999695000001</c:v>
                </c:pt>
                <c:pt idx="206">
                  <c:v>7.3466664829999999</c:v>
                </c:pt>
                <c:pt idx="207">
                  <c:v>2.0666666149999999</c:v>
                </c:pt>
                <c:pt idx="208">
                  <c:v>-3.5466665780000004</c:v>
                </c:pt>
                <c:pt idx="209">
                  <c:v>-9.3333331000000008</c:v>
                </c:pt>
                <c:pt idx="210">
                  <c:v>-15.133332955</c:v>
                </c:pt>
                <c:pt idx="211">
                  <c:v>-18.906666194000003</c:v>
                </c:pt>
                <c:pt idx="212">
                  <c:v>-11.786666372000001</c:v>
                </c:pt>
                <c:pt idx="213">
                  <c:v>2.9066665940000003</c:v>
                </c:pt>
                <c:pt idx="214">
                  <c:v>13.773332989</c:v>
                </c:pt>
                <c:pt idx="215">
                  <c:v>20.853332812000001</c:v>
                </c:pt>
                <c:pt idx="216">
                  <c:v>25.679999358</c:v>
                </c:pt>
                <c:pt idx="217">
                  <c:v>29.199999269999999</c:v>
                </c:pt>
                <c:pt idx="218">
                  <c:v>31.986665866999999</c:v>
                </c:pt>
                <c:pt idx="219">
                  <c:v>34.279999143000005</c:v>
                </c:pt>
                <c:pt idx="220">
                  <c:v>36.266665760000002</c:v>
                </c:pt>
                <c:pt idx="221">
                  <c:v>38.039999049000002</c:v>
                </c:pt>
                <c:pt idx="222">
                  <c:v>39.666665674999997</c:v>
                </c:pt>
                <c:pt idx="223">
                  <c:v>40.733332314999998</c:v>
                </c:pt>
                <c:pt idx="224">
                  <c:v>37.626665725999999</c:v>
                </c:pt>
                <c:pt idx="225">
                  <c:v>31.439999214</c:v>
                </c:pt>
                <c:pt idx="226">
                  <c:v>26.013332682999998</c:v>
                </c:pt>
                <c:pt idx="227">
                  <c:v>21.159999470999999</c:v>
                </c:pt>
                <c:pt idx="228">
                  <c:v>16.573332918999998</c:v>
                </c:pt>
                <c:pt idx="229">
                  <c:v>11.959999701000001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01-4730-A1CC-BBD9E4F94C4A}"/>
            </c:ext>
          </c:extLst>
        </c:ser>
        <c:ser>
          <c:idx val="3"/>
          <c:order val="3"/>
          <c:tx>
            <c:v>8V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pump!$AU$4:$AU$246</c:f>
              <c:numCache>
                <c:formatCode>General</c:formatCode>
                <c:ptCount val="243"/>
                <c:pt idx="0">
                  <c:v>14.479999963799999</c:v>
                </c:pt>
                <c:pt idx="1">
                  <c:v>19.973333283400002</c:v>
                </c:pt>
                <c:pt idx="2">
                  <c:v>24.346666605799999</c:v>
                </c:pt>
                <c:pt idx="3">
                  <c:v>28.1066665964</c:v>
                </c:pt>
                <c:pt idx="4">
                  <c:v>31.5066665879</c:v>
                </c:pt>
                <c:pt idx="5">
                  <c:v>34.666666579999998</c:v>
                </c:pt>
                <c:pt idx="6">
                  <c:v>37.626666572600001</c:v>
                </c:pt>
                <c:pt idx="7">
                  <c:v>40.413333232300005</c:v>
                </c:pt>
                <c:pt idx="8">
                  <c:v>43.039999892400004</c:v>
                </c:pt>
                <c:pt idx="9">
                  <c:v>43.693333224099995</c:v>
                </c:pt>
                <c:pt idx="10">
                  <c:v>38.026666571599996</c:v>
                </c:pt>
                <c:pt idx="11">
                  <c:v>31.066666589</c:v>
                </c:pt>
                <c:pt idx="12">
                  <c:v>25.3199999367</c:v>
                </c:pt>
                <c:pt idx="13">
                  <c:v>20.253333282700002</c:v>
                </c:pt>
                <c:pt idx="14">
                  <c:v>15.626666627600001</c:v>
                </c:pt>
                <c:pt idx="15">
                  <c:v>11.2666666385</c:v>
                </c:pt>
                <c:pt idx="16">
                  <c:v>7.0399999823999995</c:v>
                </c:pt>
                <c:pt idx="17">
                  <c:v>2.8266666595999999</c:v>
                </c:pt>
                <c:pt idx="18">
                  <c:v>-1.4399999964000001</c:v>
                </c:pt>
                <c:pt idx="19">
                  <c:v>-5.8399999853999995</c:v>
                </c:pt>
                <c:pt idx="20">
                  <c:v>-10.3333333075</c:v>
                </c:pt>
                <c:pt idx="21">
                  <c:v>-11.199999972000001</c:v>
                </c:pt>
                <c:pt idx="22">
                  <c:v>-2.7333333264999999</c:v>
                </c:pt>
                <c:pt idx="23">
                  <c:v>8.4399999788999995</c:v>
                </c:pt>
                <c:pt idx="24">
                  <c:v>16.133333293</c:v>
                </c:pt>
                <c:pt idx="25">
                  <c:v>21.519999946200002</c:v>
                </c:pt>
                <c:pt idx="26">
                  <c:v>25.826666602099998</c:v>
                </c:pt>
                <c:pt idx="27">
                  <c:v>29.573333259400002</c:v>
                </c:pt>
                <c:pt idx="28">
                  <c:v>32.959999917600001</c:v>
                </c:pt>
                <c:pt idx="29">
                  <c:v>36.106666576400002</c:v>
                </c:pt>
                <c:pt idx="30">
                  <c:v>39.066666568999999</c:v>
                </c:pt>
                <c:pt idx="31">
                  <c:v>41.879999895300003</c:v>
                </c:pt>
                <c:pt idx="32">
                  <c:v>44.519999888699999</c:v>
                </c:pt>
                <c:pt idx="33">
                  <c:v>45.453333219699999</c:v>
                </c:pt>
                <c:pt idx="34">
                  <c:v>40.306666565900002</c:v>
                </c:pt>
                <c:pt idx="35">
                  <c:v>33.2266665836</c:v>
                </c:pt>
                <c:pt idx="36">
                  <c:v>27.293333265099999</c:v>
                </c:pt>
                <c:pt idx="37">
                  <c:v>22.093333278099998</c:v>
                </c:pt>
                <c:pt idx="38">
                  <c:v>17.346666623299999</c:v>
                </c:pt>
                <c:pt idx="39">
                  <c:v>12.919999967700001</c:v>
                </c:pt>
                <c:pt idx="40">
                  <c:v>8.6666666449999994</c:v>
                </c:pt>
                <c:pt idx="41">
                  <c:v>4.4266666556000001</c:v>
                </c:pt>
                <c:pt idx="42">
                  <c:v>0.1599999996</c:v>
                </c:pt>
                <c:pt idx="43">
                  <c:v>-4.2133333228000005</c:v>
                </c:pt>
                <c:pt idx="44">
                  <c:v>-8.6933333116</c:v>
                </c:pt>
                <c:pt idx="45">
                  <c:v>-10.6933333066</c:v>
                </c:pt>
                <c:pt idx="46">
                  <c:v>-4.0666666564999998</c:v>
                </c:pt>
                <c:pt idx="47">
                  <c:v>7.4266666481000003</c:v>
                </c:pt>
                <c:pt idx="48">
                  <c:v>15.6933332941</c:v>
                </c:pt>
                <c:pt idx="49">
                  <c:v>21.373333279900002</c:v>
                </c:pt>
                <c:pt idx="50">
                  <c:v>25.839999935400002</c:v>
                </c:pt>
                <c:pt idx="51">
                  <c:v>29.693333259099997</c:v>
                </c:pt>
                <c:pt idx="52">
                  <c:v>33.173333250399999</c:v>
                </c:pt>
                <c:pt idx="53">
                  <c:v>36.386666575699998</c:v>
                </c:pt>
                <c:pt idx="54">
                  <c:v>39.386666568199999</c:v>
                </c:pt>
                <c:pt idx="55">
                  <c:v>42.2133332278</c:v>
                </c:pt>
                <c:pt idx="56">
                  <c:v>44.2266665561</c:v>
                </c:pt>
                <c:pt idx="57">
                  <c:v>40.853333231199997</c:v>
                </c:pt>
                <c:pt idx="58">
                  <c:v>33.5199999162</c:v>
                </c:pt>
                <c:pt idx="59">
                  <c:v>27.373333264900001</c:v>
                </c:pt>
                <c:pt idx="60">
                  <c:v>22.066666611500001</c:v>
                </c:pt>
                <c:pt idx="61">
                  <c:v>17.2399999569</c:v>
                </c:pt>
                <c:pt idx="62">
                  <c:v>12.759999968100001</c:v>
                </c:pt>
                <c:pt idx="63">
                  <c:v>8.4133333123000007</c:v>
                </c:pt>
                <c:pt idx="64">
                  <c:v>4.1066666563999998</c:v>
                </c:pt>
                <c:pt idx="65">
                  <c:v>-0.2399999994</c:v>
                </c:pt>
                <c:pt idx="66">
                  <c:v>-4.6799999883000005</c:v>
                </c:pt>
                <c:pt idx="67">
                  <c:v>-9.3733333098999996</c:v>
                </c:pt>
                <c:pt idx="68">
                  <c:v>-12.666666635</c:v>
                </c:pt>
                <c:pt idx="69">
                  <c:v>-5.9599999851000005</c:v>
                </c:pt>
                <c:pt idx="70">
                  <c:v>6.7733333163999996</c:v>
                </c:pt>
                <c:pt idx="71">
                  <c:v>15.493333294599999</c:v>
                </c:pt>
                <c:pt idx="72">
                  <c:v>21.399999946499999</c:v>
                </c:pt>
                <c:pt idx="73">
                  <c:v>25.999999934999998</c:v>
                </c:pt>
                <c:pt idx="74">
                  <c:v>29.933333258499999</c:v>
                </c:pt>
                <c:pt idx="75">
                  <c:v>33.479999916299995</c:v>
                </c:pt>
                <c:pt idx="76">
                  <c:v>36.746666574800003</c:v>
                </c:pt>
                <c:pt idx="77">
                  <c:v>39.786666567199994</c:v>
                </c:pt>
                <c:pt idx="78">
                  <c:v>42.6799998933</c:v>
                </c:pt>
                <c:pt idx="79">
                  <c:v>45.439999886400003</c:v>
                </c:pt>
                <c:pt idx="80">
                  <c:v>47.159999882099996</c:v>
                </c:pt>
                <c:pt idx="81">
                  <c:v>42.933333226000002</c:v>
                </c:pt>
                <c:pt idx="82">
                  <c:v>35.506666577899999</c:v>
                </c:pt>
                <c:pt idx="83">
                  <c:v>29.33333326</c:v>
                </c:pt>
                <c:pt idx="84">
                  <c:v>23.959999940099998</c:v>
                </c:pt>
                <c:pt idx="85">
                  <c:v>19.0799999523</c:v>
                </c:pt>
                <c:pt idx="86">
                  <c:v>14.559999963600001</c:v>
                </c:pt>
                <c:pt idx="87">
                  <c:v>10.2266666411</c:v>
                </c:pt>
                <c:pt idx="88">
                  <c:v>5.9333333184999999</c:v>
                </c:pt>
                <c:pt idx="89">
                  <c:v>1.6266666625999999</c:v>
                </c:pt>
                <c:pt idx="90">
                  <c:v>-2.7599999930999997</c:v>
                </c:pt>
                <c:pt idx="91">
                  <c:v>-7.333333315</c:v>
                </c:pt>
                <c:pt idx="92">
                  <c:v>-9.8799999752999987</c:v>
                </c:pt>
                <c:pt idx="93">
                  <c:v>-3.6266666576</c:v>
                </c:pt>
                <c:pt idx="94">
                  <c:v>7.8666666469999997</c:v>
                </c:pt>
                <c:pt idx="95">
                  <c:v>16.479999958800001</c:v>
                </c:pt>
                <c:pt idx="96">
                  <c:v>22.306666610900002</c:v>
                </c:pt>
                <c:pt idx="97">
                  <c:v>26.8399999329</c:v>
                </c:pt>
                <c:pt idx="98">
                  <c:v>30.7466665898</c:v>
                </c:pt>
                <c:pt idx="99">
                  <c:v>34.253333247699999</c:v>
                </c:pt>
                <c:pt idx="100">
                  <c:v>37.493333239599998</c:v>
                </c:pt>
                <c:pt idx="101">
                  <c:v>40.519999898699993</c:v>
                </c:pt>
                <c:pt idx="102">
                  <c:v>43.386666558199998</c:v>
                </c:pt>
                <c:pt idx="103">
                  <c:v>45.7999998855</c:v>
                </c:pt>
                <c:pt idx="104">
                  <c:v>43.893333223599996</c:v>
                </c:pt>
                <c:pt idx="105">
                  <c:v>36.613333241799999</c:v>
                </c:pt>
                <c:pt idx="106">
                  <c:v>30.079999924799999</c:v>
                </c:pt>
                <c:pt idx="107">
                  <c:v>24.5466666053</c:v>
                </c:pt>
                <c:pt idx="108">
                  <c:v>19.5599999511</c:v>
                </c:pt>
                <c:pt idx="109">
                  <c:v>14.9599999626</c:v>
                </c:pt>
                <c:pt idx="110">
                  <c:v>10.5466666403</c:v>
                </c:pt>
                <c:pt idx="111">
                  <c:v>6.2133333178000001</c:v>
                </c:pt>
                <c:pt idx="112">
                  <c:v>1.8533333287</c:v>
                </c:pt>
                <c:pt idx="113">
                  <c:v>-2.5866666601999997</c:v>
                </c:pt>
                <c:pt idx="114">
                  <c:v>-7.2266666486000002</c:v>
                </c:pt>
                <c:pt idx="115">
                  <c:v>-11.4799999713</c:v>
                </c:pt>
                <c:pt idx="116">
                  <c:v>-7.9333333134999995</c:v>
                </c:pt>
                <c:pt idx="117">
                  <c:v>4.5333333219999998</c:v>
                </c:pt>
                <c:pt idx="118">
                  <c:v>14.4266666306</c:v>
                </c:pt>
                <c:pt idx="119">
                  <c:v>20.906666614400002</c:v>
                </c:pt>
                <c:pt idx="120">
                  <c:v>25.746666602299999</c:v>
                </c:pt>
                <c:pt idx="121">
                  <c:v>29.8133332588</c:v>
                </c:pt>
                <c:pt idx="122">
                  <c:v>33.426666583100001</c:v>
                </c:pt>
                <c:pt idx="123">
                  <c:v>36.759999908099999</c:v>
                </c:pt>
                <c:pt idx="124">
                  <c:v>39.853333233699999</c:v>
                </c:pt>
                <c:pt idx="125">
                  <c:v>42.773333226399998</c:v>
                </c:pt>
                <c:pt idx="126">
                  <c:v>45.533333219500001</c:v>
                </c:pt>
                <c:pt idx="127">
                  <c:v>47.866666547000001</c:v>
                </c:pt>
                <c:pt idx="128">
                  <c:v>45.519999886199997</c:v>
                </c:pt>
                <c:pt idx="129">
                  <c:v>37.933333238499998</c:v>
                </c:pt>
                <c:pt idx="130">
                  <c:v>31.359999921599996</c:v>
                </c:pt>
                <c:pt idx="131">
                  <c:v>25.7733332689</c:v>
                </c:pt>
                <c:pt idx="132">
                  <c:v>20.746666614799999</c:v>
                </c:pt>
                <c:pt idx="133">
                  <c:v>16.106666626399999</c:v>
                </c:pt>
                <c:pt idx="134">
                  <c:v>11.693333304099999</c:v>
                </c:pt>
                <c:pt idx="135">
                  <c:v>7.3599999816000006</c:v>
                </c:pt>
                <c:pt idx="136">
                  <c:v>3.0133333258000001</c:v>
                </c:pt>
                <c:pt idx="137">
                  <c:v>-1.3999999965000001</c:v>
                </c:pt>
                <c:pt idx="138">
                  <c:v>-5.9866666516999993</c:v>
                </c:pt>
                <c:pt idx="139">
                  <c:v>-9.7466666422999992</c:v>
                </c:pt>
                <c:pt idx="140">
                  <c:v>-5.9866666516999993</c:v>
                </c:pt>
                <c:pt idx="141">
                  <c:v>5.4399999863999993</c:v>
                </c:pt>
                <c:pt idx="142">
                  <c:v>15.213333295299998</c:v>
                </c:pt>
                <c:pt idx="144">
                  <c:v>21.653333279200002</c:v>
                </c:pt>
                <c:pt idx="145">
                  <c:v>26.506666600400003</c:v>
                </c:pt>
                <c:pt idx="146">
                  <c:v>30.5866665902</c:v>
                </c:pt>
                <c:pt idx="147">
                  <c:v>34.226666581099998</c:v>
                </c:pt>
                <c:pt idx="148">
                  <c:v>37.586666572699997</c:v>
                </c:pt>
                <c:pt idx="149">
                  <c:v>40.706666564900004</c:v>
                </c:pt>
                <c:pt idx="150">
                  <c:v>43.6399998909</c:v>
                </c:pt>
                <c:pt idx="151">
                  <c:v>46.346666550800002</c:v>
                </c:pt>
                <c:pt idx="152">
                  <c:v>46.199999884500002</c:v>
                </c:pt>
                <c:pt idx="153">
                  <c:v>39.546666567800003</c:v>
                </c:pt>
                <c:pt idx="154">
                  <c:v>32.519999918700002</c:v>
                </c:pt>
                <c:pt idx="155">
                  <c:v>26.733333266500001</c:v>
                </c:pt>
                <c:pt idx="156">
                  <c:v>21.5866666127</c:v>
                </c:pt>
                <c:pt idx="157">
                  <c:v>16.826666624600001</c:v>
                </c:pt>
                <c:pt idx="158">
                  <c:v>12.346666635799998</c:v>
                </c:pt>
                <c:pt idx="159">
                  <c:v>7.9599999801000001</c:v>
                </c:pt>
                <c:pt idx="160">
                  <c:v>3.5599999910999998</c:v>
                </c:pt>
                <c:pt idx="161">
                  <c:v>-0.87999999779999993</c:v>
                </c:pt>
                <c:pt idx="162">
                  <c:v>-5.4799999863000002</c:v>
                </c:pt>
                <c:pt idx="163">
                  <c:v>-10.1599999746</c:v>
                </c:pt>
                <c:pt idx="164">
                  <c:v>-9.6133333092999997</c:v>
                </c:pt>
                <c:pt idx="165">
                  <c:v>1.8933333285999998</c:v>
                </c:pt>
                <c:pt idx="166">
                  <c:v>13.066666634000001</c:v>
                </c:pt>
                <c:pt idx="167">
                  <c:v>20.253333282700002</c:v>
                </c:pt>
                <c:pt idx="168">
                  <c:v>25.4799999363</c:v>
                </c:pt>
                <c:pt idx="169">
                  <c:v>29.733333258999998</c:v>
                </c:pt>
                <c:pt idx="170">
                  <c:v>33.479999916299995</c:v>
                </c:pt>
                <c:pt idx="171">
                  <c:v>36.893333241099995</c:v>
                </c:pt>
                <c:pt idx="172">
                  <c:v>40.066666566499997</c:v>
                </c:pt>
                <c:pt idx="173">
                  <c:v>43.053333225699994</c:v>
                </c:pt>
                <c:pt idx="174">
                  <c:v>45.879999885300002</c:v>
                </c:pt>
                <c:pt idx="175">
                  <c:v>48.479999878800001</c:v>
                </c:pt>
                <c:pt idx="176">
                  <c:v>47.906666546899999</c:v>
                </c:pt>
                <c:pt idx="177">
                  <c:v>40.853333231199997</c:v>
                </c:pt>
                <c:pt idx="178">
                  <c:v>33.799999915500003</c:v>
                </c:pt>
                <c:pt idx="179">
                  <c:v>27.9466665968</c:v>
                </c:pt>
                <c:pt idx="180">
                  <c:v>22.746666609799998</c:v>
                </c:pt>
                <c:pt idx="181">
                  <c:v>17.946666621799999</c:v>
                </c:pt>
                <c:pt idx="182">
                  <c:v>13.4399999664</c:v>
                </c:pt>
                <c:pt idx="183">
                  <c:v>9.0533333107000011</c:v>
                </c:pt>
                <c:pt idx="184">
                  <c:v>4.6666666550000002</c:v>
                </c:pt>
                <c:pt idx="185">
                  <c:v>0.2399999994</c:v>
                </c:pt>
                <c:pt idx="186">
                  <c:v>-4.3066666559</c:v>
                </c:pt>
                <c:pt idx="187">
                  <c:v>-8.6933333116</c:v>
                </c:pt>
                <c:pt idx="188">
                  <c:v>-7.1999999819999996</c:v>
                </c:pt>
                <c:pt idx="189">
                  <c:v>3.7066666574</c:v>
                </c:pt>
                <c:pt idx="190">
                  <c:v>14.2933332976</c:v>
                </c:pt>
                <c:pt idx="191">
                  <c:v>21.239999946900003</c:v>
                </c:pt>
                <c:pt idx="192">
                  <c:v>26.319999934200002</c:v>
                </c:pt>
                <c:pt idx="193">
                  <c:v>30.519999923700002</c:v>
                </c:pt>
                <c:pt idx="194">
                  <c:v>34.239999914400002</c:v>
                </c:pt>
                <c:pt idx="195">
                  <c:v>37.626666572600001</c:v>
                </c:pt>
                <c:pt idx="196">
                  <c:v>40.786666564699999</c:v>
                </c:pt>
                <c:pt idx="197">
                  <c:v>43.773333223900003</c:v>
                </c:pt>
                <c:pt idx="198">
                  <c:v>46.599999883499997</c:v>
                </c:pt>
                <c:pt idx="199">
                  <c:v>49.239999876900001</c:v>
                </c:pt>
                <c:pt idx="200">
                  <c:v>48.986666544199998</c:v>
                </c:pt>
                <c:pt idx="201">
                  <c:v>42.413333227300001</c:v>
                </c:pt>
                <c:pt idx="202">
                  <c:v>35.293333245100001</c:v>
                </c:pt>
                <c:pt idx="203">
                  <c:v>29.306666593400003</c:v>
                </c:pt>
                <c:pt idx="204">
                  <c:v>23.999999939999999</c:v>
                </c:pt>
                <c:pt idx="205">
                  <c:v>19.146666618799998</c:v>
                </c:pt>
                <c:pt idx="206">
                  <c:v>14.5733332969</c:v>
                </c:pt>
                <c:pt idx="207">
                  <c:v>10.1599999746</c:v>
                </c:pt>
                <c:pt idx="208">
                  <c:v>5.7599999856000004</c:v>
                </c:pt>
                <c:pt idx="209">
                  <c:v>1.3466666633</c:v>
                </c:pt>
                <c:pt idx="210">
                  <c:v>-3.1466666588000001</c:v>
                </c:pt>
                <c:pt idx="211">
                  <c:v>-7.5466666478000004</c:v>
                </c:pt>
                <c:pt idx="212">
                  <c:v>-7.5466666478000004</c:v>
                </c:pt>
                <c:pt idx="213">
                  <c:v>1.4533333297</c:v>
                </c:pt>
                <c:pt idx="214">
                  <c:v>12.7199999682</c:v>
                </c:pt>
                <c:pt idx="215">
                  <c:v>20.293333282599999</c:v>
                </c:pt>
                <c:pt idx="216">
                  <c:v>25.706666602400002</c:v>
                </c:pt>
                <c:pt idx="217">
                  <c:v>30.1066665914</c:v>
                </c:pt>
                <c:pt idx="218">
                  <c:v>33.959999915099999</c:v>
                </c:pt>
                <c:pt idx="219">
                  <c:v>37.466666572999998</c:v>
                </c:pt>
                <c:pt idx="220">
                  <c:v>40.719999898199994</c:v>
                </c:pt>
                <c:pt idx="221">
                  <c:v>43.773333223900003</c:v>
                </c:pt>
                <c:pt idx="222">
                  <c:v>46.666666550000002</c:v>
                </c:pt>
                <c:pt idx="223">
                  <c:v>49.373333209900004</c:v>
                </c:pt>
                <c:pt idx="224">
                  <c:v>49.426666543099998</c:v>
                </c:pt>
                <c:pt idx="225">
                  <c:v>42.639999893400002</c:v>
                </c:pt>
                <c:pt idx="226">
                  <c:v>35.319999911699995</c:v>
                </c:pt>
                <c:pt idx="227">
                  <c:v>29.33333326</c:v>
                </c:pt>
                <c:pt idx="228">
                  <c:v>24.013333273299999</c:v>
                </c:pt>
                <c:pt idx="229">
                  <c:v>19.146666618799998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01-4730-A1CC-BBD9E4F94C4A}"/>
            </c:ext>
          </c:extLst>
        </c:ser>
        <c:ser>
          <c:idx val="5"/>
          <c:order val="5"/>
          <c:tx>
            <c:v>12V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pump!$AM$4:$AM$246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</c:numCache>
            </c:numRef>
          </c:xVal>
          <c:yVal>
            <c:numRef>
              <c:f>pump!$AY$4:$AY$246</c:f>
              <c:numCache>
                <c:formatCode>General</c:formatCode>
                <c:ptCount val="243"/>
                <c:pt idx="0">
                  <c:v>0.119999997</c:v>
                </c:pt>
                <c:pt idx="1">
                  <c:v>6.253333177</c:v>
                </c:pt>
                <c:pt idx="2">
                  <c:v>37.639999059000004</c:v>
                </c:pt>
                <c:pt idx="3">
                  <c:v>83.933331234999997</c:v>
                </c:pt>
                <c:pt idx="4">
                  <c:v>114.26666381</c:v>
                </c:pt>
                <c:pt idx="5">
                  <c:v>128.253330127</c:v>
                </c:pt>
                <c:pt idx="6">
                  <c:v>136.42666325600001</c:v>
                </c:pt>
                <c:pt idx="7">
                  <c:v>143.319996417</c:v>
                </c:pt>
                <c:pt idx="8">
                  <c:v>149.786662922</c:v>
                </c:pt>
                <c:pt idx="9">
                  <c:v>156.06666276499999</c:v>
                </c:pt>
                <c:pt idx="10">
                  <c:v>160.73332931499999</c:v>
                </c:pt>
                <c:pt idx="11">
                  <c:v>155.93332943499999</c:v>
                </c:pt>
                <c:pt idx="12">
                  <c:v>145.26666303499999</c:v>
                </c:pt>
                <c:pt idx="13">
                  <c:v>136.63999658399999</c:v>
                </c:pt>
                <c:pt idx="14">
                  <c:v>129.55999676100001</c:v>
                </c:pt>
                <c:pt idx="15">
                  <c:v>123.386663582</c:v>
                </c:pt>
                <c:pt idx="16">
                  <c:v>117.79999705500001</c:v>
                </c:pt>
                <c:pt idx="17">
                  <c:v>112.653330517</c:v>
                </c:pt>
                <c:pt idx="18">
                  <c:v>107.77333063899999</c:v>
                </c:pt>
                <c:pt idx="19">
                  <c:v>103.01333075800001</c:v>
                </c:pt>
                <c:pt idx="20">
                  <c:v>98.333330875000001</c:v>
                </c:pt>
                <c:pt idx="21">
                  <c:v>93.679997658000005</c:v>
                </c:pt>
                <c:pt idx="22">
                  <c:v>91.426664381000009</c:v>
                </c:pt>
                <c:pt idx="23">
                  <c:v>97.239997568999996</c:v>
                </c:pt>
                <c:pt idx="24">
                  <c:v>110.47999723800001</c:v>
                </c:pt>
                <c:pt idx="25">
                  <c:v>123.50666357899999</c:v>
                </c:pt>
                <c:pt idx="26">
                  <c:v>133.87999665300001</c:v>
                </c:pt>
                <c:pt idx="27">
                  <c:v>142.19999644500001</c:v>
                </c:pt>
                <c:pt idx="28">
                  <c:v>149.55999626100001</c:v>
                </c:pt>
                <c:pt idx="29">
                  <c:v>156.45332942200002</c:v>
                </c:pt>
                <c:pt idx="30">
                  <c:v>163.07999592299998</c:v>
                </c:pt>
                <c:pt idx="31">
                  <c:v>169.41332909799999</c:v>
                </c:pt>
                <c:pt idx="32">
                  <c:v>175.37332894899998</c:v>
                </c:pt>
                <c:pt idx="33">
                  <c:v>180.853328812</c:v>
                </c:pt>
                <c:pt idx="34">
                  <c:v>184.47999538799999</c:v>
                </c:pt>
                <c:pt idx="35">
                  <c:v>178.59999553500001</c:v>
                </c:pt>
                <c:pt idx="36">
                  <c:v>165.93332918499999</c:v>
                </c:pt>
                <c:pt idx="37">
                  <c:v>155.29332945100001</c:v>
                </c:pt>
                <c:pt idx="38">
                  <c:v>146.47999633799998</c:v>
                </c:pt>
                <c:pt idx="39">
                  <c:v>138.97332985899999</c:v>
                </c:pt>
                <c:pt idx="40">
                  <c:v>132.46666335500001</c:v>
                </c:pt>
                <c:pt idx="41">
                  <c:v>126.679996833</c:v>
                </c:pt>
                <c:pt idx="42">
                  <c:v>121.41333029800001</c:v>
                </c:pt>
                <c:pt idx="43">
                  <c:v>116.50666375399999</c:v>
                </c:pt>
                <c:pt idx="44">
                  <c:v>111.85333053699999</c:v>
                </c:pt>
                <c:pt idx="45">
                  <c:v>107.46666398000001</c:v>
                </c:pt>
                <c:pt idx="46">
                  <c:v>105.10666403899999</c:v>
                </c:pt>
                <c:pt idx="47">
                  <c:v>108.82666394600001</c:v>
                </c:pt>
                <c:pt idx="48">
                  <c:v>118.17333037899999</c:v>
                </c:pt>
                <c:pt idx="49">
                  <c:v>128.58666345200001</c:v>
                </c:pt>
                <c:pt idx="50">
                  <c:v>138.17332987899999</c:v>
                </c:pt>
                <c:pt idx="51">
                  <c:v>146.58666300200002</c:v>
                </c:pt>
                <c:pt idx="52">
                  <c:v>154.066662815</c:v>
                </c:pt>
                <c:pt idx="53">
                  <c:v>161.079995973</c:v>
                </c:pt>
                <c:pt idx="54">
                  <c:v>167.78666247200002</c:v>
                </c:pt>
                <c:pt idx="55">
                  <c:v>174.09332898100001</c:v>
                </c:pt>
                <c:pt idx="56">
                  <c:v>179.94666216799999</c:v>
                </c:pt>
                <c:pt idx="57">
                  <c:v>184.466662055</c:v>
                </c:pt>
                <c:pt idx="58">
                  <c:v>180.70666214899998</c:v>
                </c:pt>
                <c:pt idx="59">
                  <c:v>168.26666245999999</c:v>
                </c:pt>
                <c:pt idx="60">
                  <c:v>157.17332940399999</c:v>
                </c:pt>
                <c:pt idx="61">
                  <c:v>148.079996298</c:v>
                </c:pt>
                <c:pt idx="62">
                  <c:v>140.319996492</c:v>
                </c:pt>
                <c:pt idx="63">
                  <c:v>133.586663327</c:v>
                </c:pt>
                <c:pt idx="64">
                  <c:v>127.639996809</c:v>
                </c:pt>
                <c:pt idx="65">
                  <c:v>122.26666360999999</c:v>
                </c:pt>
                <c:pt idx="66">
                  <c:v>117.306663734</c:v>
                </c:pt>
                <c:pt idx="67">
                  <c:v>112.59999718500001</c:v>
                </c:pt>
                <c:pt idx="68">
                  <c:v>108.07999729800001</c:v>
                </c:pt>
                <c:pt idx="69">
                  <c:v>105.119997372</c:v>
                </c:pt>
                <c:pt idx="70">
                  <c:v>108.62666395100001</c:v>
                </c:pt>
                <c:pt idx="71">
                  <c:v>117.90666371899999</c:v>
                </c:pt>
                <c:pt idx="72">
                  <c:v>128.18666346199998</c:v>
                </c:pt>
                <c:pt idx="73">
                  <c:v>137.759996556</c:v>
                </c:pt>
                <c:pt idx="74">
                  <c:v>146.14666301299999</c:v>
                </c:pt>
                <c:pt idx="75">
                  <c:v>153.626662826</c:v>
                </c:pt>
                <c:pt idx="76">
                  <c:v>160.639995984</c:v>
                </c:pt>
                <c:pt idx="77">
                  <c:v>167.30666248399999</c:v>
                </c:pt>
                <c:pt idx="78">
                  <c:v>173.57332899400001</c:v>
                </c:pt>
                <c:pt idx="79">
                  <c:v>179.41332884799999</c:v>
                </c:pt>
                <c:pt idx="80">
                  <c:v>184.733328715</c:v>
                </c:pt>
                <c:pt idx="81">
                  <c:v>188.83999527899999</c:v>
                </c:pt>
                <c:pt idx="82">
                  <c:v>186.093328681</c:v>
                </c:pt>
                <c:pt idx="83">
                  <c:v>173.893328986</c:v>
                </c:pt>
                <c:pt idx="84">
                  <c:v>162.02666261600001</c:v>
                </c:pt>
                <c:pt idx="85">
                  <c:v>152.33332952500001</c:v>
                </c:pt>
                <c:pt idx="86">
                  <c:v>144.13332973000001</c:v>
                </c:pt>
                <c:pt idx="87">
                  <c:v>137.01332990799997</c:v>
                </c:pt>
                <c:pt idx="88">
                  <c:v>130.719996732</c:v>
                </c:pt>
                <c:pt idx="89">
                  <c:v>125.106663539</c:v>
                </c:pt>
                <c:pt idx="90">
                  <c:v>119.973330334</c:v>
                </c:pt>
                <c:pt idx="91">
                  <c:v>115.13333045500001</c:v>
                </c:pt>
                <c:pt idx="92">
                  <c:v>110.559997236</c:v>
                </c:pt>
                <c:pt idx="93">
                  <c:v>106.813330663</c:v>
                </c:pt>
                <c:pt idx="94">
                  <c:v>108.466663955</c:v>
                </c:pt>
                <c:pt idx="95">
                  <c:v>117.506663729</c:v>
                </c:pt>
                <c:pt idx="96">
                  <c:v>127.746663473</c:v>
                </c:pt>
                <c:pt idx="97">
                  <c:v>137.3333299</c:v>
                </c:pt>
                <c:pt idx="98">
                  <c:v>145.77332968900001</c:v>
                </c:pt>
                <c:pt idx="99">
                  <c:v>153.26666283500001</c:v>
                </c:pt>
                <c:pt idx="100">
                  <c:v>160.279995993</c:v>
                </c:pt>
                <c:pt idx="101">
                  <c:v>166.87999582799998</c:v>
                </c:pt>
                <c:pt idx="102">
                  <c:v>173.093329006</c:v>
                </c:pt>
                <c:pt idx="103">
                  <c:v>178.93332885999999</c:v>
                </c:pt>
                <c:pt idx="104">
                  <c:v>184.13332872999999</c:v>
                </c:pt>
                <c:pt idx="105">
                  <c:v>183.83999540400001</c:v>
                </c:pt>
                <c:pt idx="106">
                  <c:v>172.75999568099999</c:v>
                </c:pt>
                <c:pt idx="107">
                  <c:v>160.853329312</c:v>
                </c:pt>
                <c:pt idx="108">
                  <c:v>151.159996221</c:v>
                </c:pt>
                <c:pt idx="109">
                  <c:v>142.98666309200001</c:v>
                </c:pt>
                <c:pt idx="110">
                  <c:v>135.89332993600001</c:v>
                </c:pt>
                <c:pt idx="111">
                  <c:v>129.613330093</c:v>
                </c:pt>
                <c:pt idx="112">
                  <c:v>123.98666356699999</c:v>
                </c:pt>
                <c:pt idx="113">
                  <c:v>118.83999702899999</c:v>
                </c:pt>
                <c:pt idx="114">
                  <c:v>113.99999715</c:v>
                </c:pt>
                <c:pt idx="115">
                  <c:v>109.35999726600001</c:v>
                </c:pt>
                <c:pt idx="116">
                  <c:v>105.43999736399999</c:v>
                </c:pt>
                <c:pt idx="117">
                  <c:v>105.87999735300001</c:v>
                </c:pt>
                <c:pt idx="118">
                  <c:v>112.786663847</c:v>
                </c:pt>
                <c:pt idx="119">
                  <c:v>122.893330261</c:v>
                </c:pt>
                <c:pt idx="120">
                  <c:v>132.73333001500001</c:v>
                </c:pt>
                <c:pt idx="121">
                  <c:v>141.57332979399999</c:v>
                </c:pt>
                <c:pt idx="122">
                  <c:v>149.27999626799999</c:v>
                </c:pt>
                <c:pt idx="123">
                  <c:v>156.34666275799998</c:v>
                </c:pt>
                <c:pt idx="124">
                  <c:v>163.06666258999999</c:v>
                </c:pt>
                <c:pt idx="125">
                  <c:v>169.41332909799999</c:v>
                </c:pt>
                <c:pt idx="126">
                  <c:v>175.42666228100001</c:v>
                </c:pt>
                <c:pt idx="127">
                  <c:v>181.06666214000001</c:v>
                </c:pt>
                <c:pt idx="128">
                  <c:v>183.47999541299998</c:v>
                </c:pt>
                <c:pt idx="129">
                  <c:v>175.06666229000001</c:v>
                </c:pt>
                <c:pt idx="130">
                  <c:v>162.653329267</c:v>
                </c:pt>
                <c:pt idx="131">
                  <c:v>152.50666285399998</c:v>
                </c:pt>
                <c:pt idx="132">
                  <c:v>144.05332973200001</c:v>
                </c:pt>
                <c:pt idx="133">
                  <c:v>136.759996581</c:v>
                </c:pt>
                <c:pt idx="134">
                  <c:v>130.30666340899998</c:v>
                </c:pt>
                <c:pt idx="135">
                  <c:v>124.53333022</c:v>
                </c:pt>
                <c:pt idx="136">
                  <c:v>119.279997018</c:v>
                </c:pt>
                <c:pt idx="137">
                  <c:v>114.35999714100001</c:v>
                </c:pt>
                <c:pt idx="138">
                  <c:v>109.66666392499999</c:v>
                </c:pt>
                <c:pt idx="139">
                  <c:v>105.146664038</c:v>
                </c:pt>
                <c:pt idx="140">
                  <c:v>100.693330816</c:v>
                </c:pt>
                <c:pt idx="141">
                  <c:v>96.22666426100001</c:v>
                </c:pt>
                <c:pt idx="142">
                  <c:v>91.773331038999999</c:v>
                </c:pt>
                <c:pt idx="144">
                  <c:v>87.079997822999999</c:v>
                </c:pt>
                <c:pt idx="145">
                  <c:v>81.906664618999997</c:v>
                </c:pt>
                <c:pt idx="146">
                  <c:v>76.119998096999993</c:v>
                </c:pt>
                <c:pt idx="147">
                  <c:v>69.773331588999994</c:v>
                </c:pt>
                <c:pt idx="148">
                  <c:v>63.146665088000006</c:v>
                </c:pt>
                <c:pt idx="149">
                  <c:v>56.533331920000002</c:v>
                </c:pt>
                <c:pt idx="150">
                  <c:v>50.199998745000002</c:v>
                </c:pt>
                <c:pt idx="151">
                  <c:v>44.293332225999997</c:v>
                </c:pt>
                <c:pt idx="152">
                  <c:v>38.919999026999996</c:v>
                </c:pt>
                <c:pt idx="153">
                  <c:v>34.079999147999999</c:v>
                </c:pt>
                <c:pt idx="154">
                  <c:v>29.73333259</c:v>
                </c:pt>
                <c:pt idx="155">
                  <c:v>25.879999352999999</c:v>
                </c:pt>
                <c:pt idx="156">
                  <c:v>22.519999436999999</c:v>
                </c:pt>
                <c:pt idx="157">
                  <c:v>19.586666177000001</c:v>
                </c:pt>
                <c:pt idx="158">
                  <c:v>16.999999575</c:v>
                </c:pt>
                <c:pt idx="159">
                  <c:v>14.733332965000001</c:v>
                </c:pt>
                <c:pt idx="160">
                  <c:v>12.746666348</c:v>
                </c:pt>
                <c:pt idx="161">
                  <c:v>10.999999725</c:v>
                </c:pt>
                <c:pt idx="162">
                  <c:v>9.4533330970000016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01-4730-A1CC-BBD9E4F94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81104"/>
        <c:axId val="54538146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10V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pump!$AM$4:$AM$246</c15:sqref>
                        </c15:formulaRef>
                      </c:ext>
                    </c:extLst>
                    <c:numCache>
                      <c:formatCode>General</c:formatCode>
                      <c:ptCount val="24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4">
                        <c:v>143</c:v>
                      </c:pt>
                      <c:pt idx="145">
                        <c:v>144</c:v>
                      </c:pt>
                      <c:pt idx="146">
                        <c:v>145</c:v>
                      </c:pt>
                      <c:pt idx="147">
                        <c:v>146</c:v>
                      </c:pt>
                      <c:pt idx="148">
                        <c:v>147</c:v>
                      </c:pt>
                      <c:pt idx="149">
                        <c:v>148</c:v>
                      </c:pt>
                      <c:pt idx="150">
                        <c:v>149</c:v>
                      </c:pt>
                      <c:pt idx="151">
                        <c:v>150</c:v>
                      </c:pt>
                      <c:pt idx="152">
                        <c:v>151</c:v>
                      </c:pt>
                      <c:pt idx="153">
                        <c:v>152</c:v>
                      </c:pt>
                      <c:pt idx="154">
                        <c:v>153</c:v>
                      </c:pt>
                      <c:pt idx="155">
                        <c:v>154</c:v>
                      </c:pt>
                      <c:pt idx="156">
                        <c:v>155</c:v>
                      </c:pt>
                      <c:pt idx="157">
                        <c:v>156</c:v>
                      </c:pt>
                      <c:pt idx="158">
                        <c:v>157</c:v>
                      </c:pt>
                      <c:pt idx="159">
                        <c:v>158</c:v>
                      </c:pt>
                      <c:pt idx="160">
                        <c:v>159</c:v>
                      </c:pt>
                      <c:pt idx="161">
                        <c:v>160</c:v>
                      </c:pt>
                      <c:pt idx="162">
                        <c:v>161</c:v>
                      </c:pt>
                      <c:pt idx="163">
                        <c:v>162</c:v>
                      </c:pt>
                      <c:pt idx="164">
                        <c:v>163</c:v>
                      </c:pt>
                      <c:pt idx="165">
                        <c:v>164</c:v>
                      </c:pt>
                      <c:pt idx="166">
                        <c:v>165</c:v>
                      </c:pt>
                      <c:pt idx="167">
                        <c:v>166</c:v>
                      </c:pt>
                      <c:pt idx="168">
                        <c:v>167</c:v>
                      </c:pt>
                      <c:pt idx="169">
                        <c:v>168</c:v>
                      </c:pt>
                      <c:pt idx="170">
                        <c:v>169</c:v>
                      </c:pt>
                      <c:pt idx="171">
                        <c:v>170</c:v>
                      </c:pt>
                      <c:pt idx="172">
                        <c:v>171</c:v>
                      </c:pt>
                      <c:pt idx="173">
                        <c:v>172</c:v>
                      </c:pt>
                      <c:pt idx="174">
                        <c:v>173</c:v>
                      </c:pt>
                      <c:pt idx="175">
                        <c:v>174</c:v>
                      </c:pt>
                      <c:pt idx="176">
                        <c:v>175</c:v>
                      </c:pt>
                      <c:pt idx="177">
                        <c:v>176</c:v>
                      </c:pt>
                      <c:pt idx="178">
                        <c:v>177</c:v>
                      </c:pt>
                      <c:pt idx="179">
                        <c:v>178</c:v>
                      </c:pt>
                      <c:pt idx="180">
                        <c:v>179</c:v>
                      </c:pt>
                      <c:pt idx="181">
                        <c:v>180</c:v>
                      </c:pt>
                      <c:pt idx="182">
                        <c:v>181</c:v>
                      </c:pt>
                      <c:pt idx="183">
                        <c:v>182</c:v>
                      </c:pt>
                      <c:pt idx="184">
                        <c:v>183</c:v>
                      </c:pt>
                      <c:pt idx="185">
                        <c:v>184</c:v>
                      </c:pt>
                      <c:pt idx="186">
                        <c:v>185</c:v>
                      </c:pt>
                      <c:pt idx="187">
                        <c:v>186</c:v>
                      </c:pt>
                      <c:pt idx="188">
                        <c:v>187</c:v>
                      </c:pt>
                      <c:pt idx="189">
                        <c:v>188</c:v>
                      </c:pt>
                      <c:pt idx="190">
                        <c:v>189</c:v>
                      </c:pt>
                      <c:pt idx="191">
                        <c:v>190</c:v>
                      </c:pt>
                      <c:pt idx="192">
                        <c:v>191</c:v>
                      </c:pt>
                      <c:pt idx="193">
                        <c:v>192</c:v>
                      </c:pt>
                      <c:pt idx="194">
                        <c:v>193</c:v>
                      </c:pt>
                      <c:pt idx="195">
                        <c:v>194</c:v>
                      </c:pt>
                      <c:pt idx="196">
                        <c:v>195</c:v>
                      </c:pt>
                      <c:pt idx="197">
                        <c:v>196</c:v>
                      </c:pt>
                      <c:pt idx="198">
                        <c:v>197</c:v>
                      </c:pt>
                      <c:pt idx="199">
                        <c:v>198</c:v>
                      </c:pt>
                      <c:pt idx="200">
                        <c:v>199</c:v>
                      </c:pt>
                      <c:pt idx="201">
                        <c:v>200</c:v>
                      </c:pt>
                      <c:pt idx="202">
                        <c:v>201</c:v>
                      </c:pt>
                      <c:pt idx="203">
                        <c:v>202</c:v>
                      </c:pt>
                      <c:pt idx="204">
                        <c:v>203</c:v>
                      </c:pt>
                      <c:pt idx="205">
                        <c:v>204</c:v>
                      </c:pt>
                      <c:pt idx="206">
                        <c:v>205</c:v>
                      </c:pt>
                      <c:pt idx="207">
                        <c:v>206</c:v>
                      </c:pt>
                      <c:pt idx="208">
                        <c:v>207</c:v>
                      </c:pt>
                      <c:pt idx="209">
                        <c:v>208</c:v>
                      </c:pt>
                      <c:pt idx="210">
                        <c:v>209</c:v>
                      </c:pt>
                      <c:pt idx="211">
                        <c:v>210</c:v>
                      </c:pt>
                      <c:pt idx="212">
                        <c:v>211</c:v>
                      </c:pt>
                      <c:pt idx="213">
                        <c:v>212</c:v>
                      </c:pt>
                      <c:pt idx="214">
                        <c:v>213</c:v>
                      </c:pt>
                      <c:pt idx="215">
                        <c:v>214</c:v>
                      </c:pt>
                      <c:pt idx="216">
                        <c:v>215</c:v>
                      </c:pt>
                      <c:pt idx="217">
                        <c:v>216</c:v>
                      </c:pt>
                      <c:pt idx="218">
                        <c:v>217</c:v>
                      </c:pt>
                      <c:pt idx="219">
                        <c:v>218</c:v>
                      </c:pt>
                      <c:pt idx="220">
                        <c:v>219</c:v>
                      </c:pt>
                      <c:pt idx="221">
                        <c:v>220</c:v>
                      </c:pt>
                      <c:pt idx="222">
                        <c:v>221</c:v>
                      </c:pt>
                      <c:pt idx="223">
                        <c:v>222</c:v>
                      </c:pt>
                      <c:pt idx="224">
                        <c:v>223</c:v>
                      </c:pt>
                      <c:pt idx="225">
                        <c:v>224</c:v>
                      </c:pt>
                      <c:pt idx="226">
                        <c:v>225</c:v>
                      </c:pt>
                      <c:pt idx="227">
                        <c:v>226</c:v>
                      </c:pt>
                      <c:pt idx="228">
                        <c:v>227</c:v>
                      </c:pt>
                      <c:pt idx="229">
                        <c:v>228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pump!$AW$4:$AW$246</c15:sqref>
                        </c15:formulaRef>
                      </c:ext>
                    </c:extLst>
                    <c:numCache>
                      <c:formatCode>General</c:formatCode>
                      <c:ptCount val="243"/>
                      <c:pt idx="0">
                        <c:v>0.18666661999999998</c:v>
                      </c:pt>
                      <c:pt idx="1">
                        <c:v>19.639995089999999</c:v>
                      </c:pt>
                      <c:pt idx="2">
                        <c:v>77.679980579999992</c:v>
                      </c:pt>
                      <c:pt idx="3">
                        <c:v>81.933312849999993</c:v>
                      </c:pt>
                      <c:pt idx="4">
                        <c:v>47.079988229999998</c:v>
                      </c:pt>
                      <c:pt idx="5">
                        <c:v>53.613319929999996</c:v>
                      </c:pt>
                      <c:pt idx="6">
                        <c:v>85.186645369999994</c:v>
                      </c:pt>
                      <c:pt idx="7">
                        <c:v>98.919975269999995</c:v>
                      </c:pt>
                      <c:pt idx="8">
                        <c:v>102.83997428999999</c:v>
                      </c:pt>
                      <c:pt idx="9">
                        <c:v>112.99997174999999</c:v>
                      </c:pt>
                      <c:pt idx="10">
                        <c:v>123.62663576</c:v>
                      </c:pt>
                      <c:pt idx="11">
                        <c:v>131.63996708999997</c:v>
                      </c:pt>
                      <c:pt idx="12">
                        <c:v>138.22663211</c:v>
                      </c:pt>
                      <c:pt idx="13">
                        <c:v>144.15996396</c:v>
                      </c:pt>
                      <c:pt idx="14">
                        <c:v>149.65329592000001</c:v>
                      </c:pt>
                      <c:pt idx="15">
                        <c:v>154.81329462999997</c:v>
                      </c:pt>
                      <c:pt idx="16">
                        <c:v>159.73329339999998</c:v>
                      </c:pt>
                      <c:pt idx="17">
                        <c:v>164.39995889999997</c:v>
                      </c:pt>
                      <c:pt idx="18">
                        <c:v>168.82662446000001</c:v>
                      </c:pt>
                      <c:pt idx="19">
                        <c:v>172.43995688999999</c:v>
                      </c:pt>
                      <c:pt idx="20">
                        <c:v>169.33329099999997</c:v>
                      </c:pt>
                      <c:pt idx="21">
                        <c:v>158.78662696999999</c:v>
                      </c:pt>
                      <c:pt idx="22">
                        <c:v>149.23996268999997</c:v>
                      </c:pt>
                      <c:pt idx="23">
                        <c:v>141.33329799999998</c:v>
                      </c:pt>
                      <c:pt idx="24">
                        <c:v>134.53329969999999</c:v>
                      </c:pt>
                      <c:pt idx="25">
                        <c:v>128.50663453999999</c:v>
                      </c:pt>
                      <c:pt idx="26">
                        <c:v>123.07996922999999</c:v>
                      </c:pt>
                      <c:pt idx="27">
                        <c:v>118.03997048999999</c:v>
                      </c:pt>
                      <c:pt idx="28">
                        <c:v>113.27997167999999</c:v>
                      </c:pt>
                      <c:pt idx="29">
                        <c:v>105.75997355999999</c:v>
                      </c:pt>
                      <c:pt idx="30">
                        <c:v>59.986651669999993</c:v>
                      </c:pt>
                      <c:pt idx="31">
                        <c:v>6.6533316699999991</c:v>
                      </c:pt>
                      <c:pt idx="32">
                        <c:v>2.6666659999999998E-2</c:v>
                      </c:pt>
                      <c:pt idx="33">
                        <c:v>0.31999991999999994</c:v>
                      </c:pt>
                      <c:pt idx="34">
                        <c:v>15.466662799999998</c:v>
                      </c:pt>
                      <c:pt idx="35">
                        <c:v>73.826648210000002</c:v>
                      </c:pt>
                      <c:pt idx="36">
                        <c:v>130.77330063999997</c:v>
                      </c:pt>
                      <c:pt idx="37">
                        <c:v>140.67996482999999</c:v>
                      </c:pt>
                      <c:pt idx="38">
                        <c:v>90.946643929999993</c:v>
                      </c:pt>
                      <c:pt idx="39">
                        <c:v>31.266658849999999</c:v>
                      </c:pt>
                      <c:pt idx="40">
                        <c:v>45.999988499999994</c:v>
                      </c:pt>
                      <c:pt idx="41">
                        <c:v>29.666659249999999</c:v>
                      </c:pt>
                      <c:pt idx="42">
                        <c:v>2.6799993299999998</c:v>
                      </c:pt>
                      <c:pt idx="43">
                        <c:v>3.9999989999999992E-2</c:v>
                      </c:pt>
                      <c:pt idx="44">
                        <c:v>0.19999994999999998</c:v>
                      </c:pt>
                      <c:pt idx="45">
                        <c:v>0.18666661999999998</c:v>
                      </c:pt>
                      <c:pt idx="46">
                        <c:v>0.15999995999999997</c:v>
                      </c:pt>
                      <c:pt idx="47">
                        <c:v>0.89333310999999993</c:v>
                      </c:pt>
                      <c:pt idx="48">
                        <c:v>19.026661909999998</c:v>
                      </c:pt>
                      <c:pt idx="49">
                        <c:v>52.319986919999991</c:v>
                      </c:pt>
                      <c:pt idx="50">
                        <c:v>55.186652869999989</c:v>
                      </c:pt>
                      <c:pt idx="51">
                        <c:v>81.759979560000005</c:v>
                      </c:pt>
                      <c:pt idx="52">
                        <c:v>105.69330690999999</c:v>
                      </c:pt>
                      <c:pt idx="53">
                        <c:v>103.30664083999999</c:v>
                      </c:pt>
                      <c:pt idx="54">
                        <c:v>99.399975149999989</c:v>
                      </c:pt>
                      <c:pt idx="55">
                        <c:v>101.50664128999999</c:v>
                      </c:pt>
                      <c:pt idx="56">
                        <c:v>111.42663881</c:v>
                      </c:pt>
                      <c:pt idx="57">
                        <c:v>110.85330561999999</c:v>
                      </c:pt>
                      <c:pt idx="58">
                        <c:v>47.199988199999993</c:v>
                      </c:pt>
                      <c:pt idx="59">
                        <c:v>2.5466660299999999</c:v>
                      </c:pt>
                      <c:pt idx="60">
                        <c:v>6.6666649999999994E-2</c:v>
                      </c:pt>
                      <c:pt idx="61">
                        <c:v>6.6666649999999994E-2</c:v>
                      </c:pt>
                      <c:pt idx="62">
                        <c:v>0.61333317999999992</c:v>
                      </c:pt>
                      <c:pt idx="63">
                        <c:v>34.546658030000003</c:v>
                      </c:pt>
                      <c:pt idx="64">
                        <c:v>132.35996691</c:v>
                      </c:pt>
                      <c:pt idx="65">
                        <c:v>166.38662507000001</c:v>
                      </c:pt>
                      <c:pt idx="66">
                        <c:v>170.66662399999998</c:v>
                      </c:pt>
                      <c:pt idx="67">
                        <c:v>170.07995747999996</c:v>
                      </c:pt>
                      <c:pt idx="68">
                        <c:v>160.49329320999999</c:v>
                      </c:pt>
                      <c:pt idx="69">
                        <c:v>150.42662905999998</c:v>
                      </c:pt>
                      <c:pt idx="70">
                        <c:v>142.18663111999999</c:v>
                      </c:pt>
                      <c:pt idx="71">
                        <c:v>135.17329953999999</c:v>
                      </c:pt>
                      <c:pt idx="72">
                        <c:v>128.99996775</c:v>
                      </c:pt>
                      <c:pt idx="73">
                        <c:v>123.45330246999998</c:v>
                      </c:pt>
                      <c:pt idx="74">
                        <c:v>118.34663707999999</c:v>
                      </c:pt>
                      <c:pt idx="75">
                        <c:v>113.54663828</c:v>
                      </c:pt>
                      <c:pt idx="76">
                        <c:v>108.94663942999999</c:v>
                      </c:pt>
                      <c:pt idx="77">
                        <c:v>104.43997388999999</c:v>
                      </c:pt>
                      <c:pt idx="78">
                        <c:v>100.41330823</c:v>
                      </c:pt>
                      <c:pt idx="79">
                        <c:v>101.18664136999999</c:v>
                      </c:pt>
                      <c:pt idx="80">
                        <c:v>109.63997258999999</c:v>
                      </c:pt>
                      <c:pt idx="81">
                        <c:v>120.70663648999998</c:v>
                      </c:pt>
                      <c:pt idx="82">
                        <c:v>129.29330100999999</c:v>
                      </c:pt>
                      <c:pt idx="83">
                        <c:v>136.09329930999999</c:v>
                      </c:pt>
                      <c:pt idx="84">
                        <c:v>142.10663113999999</c:v>
                      </c:pt>
                      <c:pt idx="85">
                        <c:v>147.63996308999998</c:v>
                      </c:pt>
                      <c:pt idx="86">
                        <c:v>152.82662845999999</c:v>
                      </c:pt>
                      <c:pt idx="87">
                        <c:v>157.30662733999998</c:v>
                      </c:pt>
                      <c:pt idx="88">
                        <c:v>129.91996751999997</c:v>
                      </c:pt>
                      <c:pt idx="89">
                        <c:v>38.853323619999991</c:v>
                      </c:pt>
                      <c:pt idx="90">
                        <c:v>64.186650619999995</c:v>
                      </c:pt>
                      <c:pt idx="91">
                        <c:v>145.98663017000001</c:v>
                      </c:pt>
                      <c:pt idx="92">
                        <c:v>149.89329585999999</c:v>
                      </c:pt>
                      <c:pt idx="93">
                        <c:v>141.55996460999998</c:v>
                      </c:pt>
                      <c:pt idx="94">
                        <c:v>134.50663303999997</c:v>
                      </c:pt>
                      <c:pt idx="95">
                        <c:v>128.31996791999998</c:v>
                      </c:pt>
                      <c:pt idx="96">
                        <c:v>122.75996930999999</c:v>
                      </c:pt>
                      <c:pt idx="97">
                        <c:v>117.62663726</c:v>
                      </c:pt>
                      <c:pt idx="98">
                        <c:v>112.79997179999999</c:v>
                      </c:pt>
                      <c:pt idx="99">
                        <c:v>108.17330628999999</c:v>
                      </c:pt>
                      <c:pt idx="100">
                        <c:v>103.5999741</c:v>
                      </c:pt>
                      <c:pt idx="101">
                        <c:v>99.213308529999992</c:v>
                      </c:pt>
                      <c:pt idx="102">
                        <c:v>97.986642169999982</c:v>
                      </c:pt>
                      <c:pt idx="103">
                        <c:v>104.07997397999999</c:v>
                      </c:pt>
                      <c:pt idx="104">
                        <c:v>115.69330441</c:v>
                      </c:pt>
                      <c:pt idx="105">
                        <c:v>125.57330193999998</c:v>
                      </c:pt>
                      <c:pt idx="106">
                        <c:v>132.95996675999999</c:v>
                      </c:pt>
                      <c:pt idx="107">
                        <c:v>139.21329852999997</c:v>
                      </c:pt>
                      <c:pt idx="108">
                        <c:v>144.87996377999997</c:v>
                      </c:pt>
                      <c:pt idx="109">
                        <c:v>150.23996243999997</c:v>
                      </c:pt>
                      <c:pt idx="110">
                        <c:v>155.30662783999998</c:v>
                      </c:pt>
                      <c:pt idx="111">
                        <c:v>160.10662663999997</c:v>
                      </c:pt>
                      <c:pt idx="112">
                        <c:v>164.63995883999999</c:v>
                      </c:pt>
                      <c:pt idx="113">
                        <c:v>167.51995811999998</c:v>
                      </c:pt>
                      <c:pt idx="114">
                        <c:v>161.93329284999999</c:v>
                      </c:pt>
                      <c:pt idx="115">
                        <c:v>151.34662882999999</c:v>
                      </c:pt>
                      <c:pt idx="116">
                        <c:v>142.63996433999998</c:v>
                      </c:pt>
                      <c:pt idx="117">
                        <c:v>135.35996616</c:v>
                      </c:pt>
                      <c:pt idx="118">
                        <c:v>129.01330107999999</c:v>
                      </c:pt>
                      <c:pt idx="119">
                        <c:v>123.34663583</c:v>
                      </c:pt>
                      <c:pt idx="120">
                        <c:v>118.11997046999998</c:v>
                      </c:pt>
                      <c:pt idx="121">
                        <c:v>113.21330502999999</c:v>
                      </c:pt>
                      <c:pt idx="122">
                        <c:v>108.54663952999999</c:v>
                      </c:pt>
                      <c:pt idx="123">
                        <c:v>103.95997401</c:v>
                      </c:pt>
                      <c:pt idx="124">
                        <c:v>99.386641819999994</c:v>
                      </c:pt>
                      <c:pt idx="125">
                        <c:v>97.079975730000001</c:v>
                      </c:pt>
                      <c:pt idx="126">
                        <c:v>104.05330731999999</c:v>
                      </c:pt>
                      <c:pt idx="127">
                        <c:v>112.74663847999999</c:v>
                      </c:pt>
                      <c:pt idx="128">
                        <c:v>69.693315909999995</c:v>
                      </c:pt>
                      <c:pt idx="129">
                        <c:v>8.0133313299999998</c:v>
                      </c:pt>
                      <c:pt idx="130">
                        <c:v>0.98666641999999993</c:v>
                      </c:pt>
                      <c:pt idx="131">
                        <c:v>37.813323879999999</c:v>
                      </c:pt>
                      <c:pt idx="132">
                        <c:v>112.50663853999998</c:v>
                      </c:pt>
                      <c:pt idx="133">
                        <c:v>146.15996346</c:v>
                      </c:pt>
                      <c:pt idx="134">
                        <c:v>159.63996008999999</c:v>
                      </c:pt>
                      <c:pt idx="135">
                        <c:v>162.21329277999996</c:v>
                      </c:pt>
                      <c:pt idx="136">
                        <c:v>155.27996117999999</c:v>
                      </c:pt>
                      <c:pt idx="137">
                        <c:v>145.13329704999998</c:v>
                      </c:pt>
                      <c:pt idx="138">
                        <c:v>137.15996570999999</c:v>
                      </c:pt>
                      <c:pt idx="139">
                        <c:v>130.42663406</c:v>
                      </c:pt>
                      <c:pt idx="140">
                        <c:v>113.87997152999999</c:v>
                      </c:pt>
                      <c:pt idx="141">
                        <c:v>44.973322089999996</c:v>
                      </c:pt>
                      <c:pt idx="142">
                        <c:v>2.4399993899999997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5201-4730-A1CC-BBD9E4F94C4A}"/>
                  </c:ext>
                </c:extLst>
              </c15:ser>
            </c15:filteredScatterSeries>
          </c:ext>
        </c:extLst>
      </c:scatterChart>
      <c:valAx>
        <c:axId val="54538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Counter (9600 baud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81464"/>
        <c:crosses val="autoZero"/>
        <c:crossBetween val="midCat"/>
      </c:valAx>
      <c:valAx>
        <c:axId val="54538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8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Right-side of actuator with varying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pump!$BN$4:$BN$246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pump!$BP$4:$BP$246</c:f>
              <c:numCache>
                <c:formatCode>General</c:formatCode>
                <c:ptCount val="243"/>
                <c:pt idx="0">
                  <c:v>0.51999998699999994</c:v>
                </c:pt>
                <c:pt idx="1">
                  <c:v>11.586666377</c:v>
                </c:pt>
                <c:pt idx="2">
                  <c:v>31.106665889000002</c:v>
                </c:pt>
                <c:pt idx="3">
                  <c:v>34.879999128000001</c:v>
                </c:pt>
                <c:pt idx="4">
                  <c:v>36.466665755000001</c:v>
                </c:pt>
                <c:pt idx="5">
                  <c:v>37.506665728999998</c:v>
                </c:pt>
                <c:pt idx="6">
                  <c:v>37.186665736999998</c:v>
                </c:pt>
                <c:pt idx="7">
                  <c:v>35.866665769999997</c:v>
                </c:pt>
                <c:pt idx="8">
                  <c:v>32.253332526999998</c:v>
                </c:pt>
                <c:pt idx="9">
                  <c:v>28.719999282</c:v>
                </c:pt>
                <c:pt idx="10">
                  <c:v>25.466666029999999</c:v>
                </c:pt>
                <c:pt idx="11">
                  <c:v>22.466666105000002</c:v>
                </c:pt>
                <c:pt idx="12">
                  <c:v>19.733332839999999</c:v>
                </c:pt>
                <c:pt idx="13">
                  <c:v>17.239999569000002</c:v>
                </c:pt>
                <c:pt idx="14">
                  <c:v>14.93333296</c:v>
                </c:pt>
                <c:pt idx="15">
                  <c:v>12.799999679999999</c:v>
                </c:pt>
                <c:pt idx="16">
                  <c:v>10.853333062000001</c:v>
                </c:pt>
                <c:pt idx="17">
                  <c:v>9.1733331039999992</c:v>
                </c:pt>
                <c:pt idx="18">
                  <c:v>9.5066664289999991</c:v>
                </c:pt>
                <c:pt idx="19">
                  <c:v>12.066666365</c:v>
                </c:pt>
                <c:pt idx="20">
                  <c:v>17.506666229</c:v>
                </c:pt>
                <c:pt idx="21">
                  <c:v>21.346666132999999</c:v>
                </c:pt>
                <c:pt idx="22">
                  <c:v>25.679999358</c:v>
                </c:pt>
                <c:pt idx="23">
                  <c:v>27.826665970999997</c:v>
                </c:pt>
                <c:pt idx="24">
                  <c:v>31.106665889000002</c:v>
                </c:pt>
                <c:pt idx="25">
                  <c:v>32.159999196000001</c:v>
                </c:pt>
                <c:pt idx="26">
                  <c:v>34.759999131000001</c:v>
                </c:pt>
                <c:pt idx="27">
                  <c:v>35.026665790999999</c:v>
                </c:pt>
                <c:pt idx="28">
                  <c:v>37.186665736999998</c:v>
                </c:pt>
                <c:pt idx="29">
                  <c:v>36.346665758</c:v>
                </c:pt>
                <c:pt idx="30">
                  <c:v>33.733332490000002</c:v>
                </c:pt>
                <c:pt idx="31">
                  <c:v>30.279999242999999</c:v>
                </c:pt>
                <c:pt idx="32">
                  <c:v>26.826665995999999</c:v>
                </c:pt>
                <c:pt idx="33">
                  <c:v>23.653332742</c:v>
                </c:pt>
                <c:pt idx="34">
                  <c:v>20.746666147999999</c:v>
                </c:pt>
                <c:pt idx="35">
                  <c:v>18.093332880999998</c:v>
                </c:pt>
                <c:pt idx="36">
                  <c:v>15.679999607999999</c:v>
                </c:pt>
                <c:pt idx="37">
                  <c:v>13.466666330000001</c:v>
                </c:pt>
                <c:pt idx="38">
                  <c:v>11.439999713999999</c:v>
                </c:pt>
                <c:pt idx="39">
                  <c:v>9.5999997599999993</c:v>
                </c:pt>
                <c:pt idx="40">
                  <c:v>7.9599998010000004</c:v>
                </c:pt>
                <c:pt idx="41">
                  <c:v>8.4799997880000006</c:v>
                </c:pt>
                <c:pt idx="42">
                  <c:v>12.839999679</c:v>
                </c:pt>
                <c:pt idx="43">
                  <c:v>17.586666227000002</c:v>
                </c:pt>
                <c:pt idx="44">
                  <c:v>22.053332782000002</c:v>
                </c:pt>
                <c:pt idx="45">
                  <c:v>25.99999935</c:v>
                </c:pt>
                <c:pt idx="46">
                  <c:v>28.559999286</c:v>
                </c:pt>
                <c:pt idx="47">
                  <c:v>31.666665875</c:v>
                </c:pt>
                <c:pt idx="48">
                  <c:v>32.999999174999999</c:v>
                </c:pt>
                <c:pt idx="49">
                  <c:v>35.46666578</c:v>
                </c:pt>
                <c:pt idx="50">
                  <c:v>36.053332431999998</c:v>
                </c:pt>
                <c:pt idx="51">
                  <c:v>38.013332383000005</c:v>
                </c:pt>
                <c:pt idx="52">
                  <c:v>37.879999053000006</c:v>
                </c:pt>
                <c:pt idx="53">
                  <c:v>36.439999089000004</c:v>
                </c:pt>
                <c:pt idx="54">
                  <c:v>33.279999167999996</c:v>
                </c:pt>
                <c:pt idx="55">
                  <c:v>29.586665927000002</c:v>
                </c:pt>
                <c:pt idx="56">
                  <c:v>26.186666012</c:v>
                </c:pt>
                <c:pt idx="57">
                  <c:v>23.066666089999998</c:v>
                </c:pt>
                <c:pt idx="58">
                  <c:v>20.199999495</c:v>
                </c:pt>
                <c:pt idx="59">
                  <c:v>17.599999560000001</c:v>
                </c:pt>
                <c:pt idx="60">
                  <c:v>15.213332953</c:v>
                </c:pt>
                <c:pt idx="61">
                  <c:v>13.053333007000001</c:v>
                </c:pt>
                <c:pt idx="62">
                  <c:v>11.06666639</c:v>
                </c:pt>
                <c:pt idx="63">
                  <c:v>9.2533331020000009</c:v>
                </c:pt>
                <c:pt idx="64">
                  <c:v>8.5066664539999994</c:v>
                </c:pt>
                <c:pt idx="65">
                  <c:v>10.466666405</c:v>
                </c:pt>
                <c:pt idx="66">
                  <c:v>14.613332968</c:v>
                </c:pt>
                <c:pt idx="67">
                  <c:v>19.479999512999999</c:v>
                </c:pt>
                <c:pt idx="68">
                  <c:v>23.413332747999998</c:v>
                </c:pt>
                <c:pt idx="69">
                  <c:v>26.293332675999999</c:v>
                </c:pt>
                <c:pt idx="70">
                  <c:v>29.279999268000001</c:v>
                </c:pt>
                <c:pt idx="71">
                  <c:v>30.919999227000002</c:v>
                </c:pt>
                <c:pt idx="72">
                  <c:v>33.146665837999997</c:v>
                </c:pt>
                <c:pt idx="73">
                  <c:v>34.186665811999994</c:v>
                </c:pt>
                <c:pt idx="74">
                  <c:v>35.653332442</c:v>
                </c:pt>
                <c:pt idx="75">
                  <c:v>36.413332423</c:v>
                </c:pt>
                <c:pt idx="76">
                  <c:v>34.306665809000002</c:v>
                </c:pt>
                <c:pt idx="77">
                  <c:v>31.266665884999998</c:v>
                </c:pt>
                <c:pt idx="78">
                  <c:v>27.746665972999999</c:v>
                </c:pt>
                <c:pt idx="79">
                  <c:v>24.479999388</c:v>
                </c:pt>
                <c:pt idx="80">
                  <c:v>21.479999462999999</c:v>
                </c:pt>
                <c:pt idx="81">
                  <c:v>18.746666198</c:v>
                </c:pt>
                <c:pt idx="82">
                  <c:v>16.266666260000001</c:v>
                </c:pt>
                <c:pt idx="83">
                  <c:v>13.999999649999999</c:v>
                </c:pt>
                <c:pt idx="84">
                  <c:v>11.933333035</c:v>
                </c:pt>
                <c:pt idx="85">
                  <c:v>10.039999749</c:v>
                </c:pt>
                <c:pt idx="86">
                  <c:v>8.3199997919999991</c:v>
                </c:pt>
                <c:pt idx="87">
                  <c:v>7.3999998150000001</c:v>
                </c:pt>
                <c:pt idx="88">
                  <c:v>10.653333067</c:v>
                </c:pt>
                <c:pt idx="89">
                  <c:v>14.653332967000001</c:v>
                </c:pt>
                <c:pt idx="90">
                  <c:v>19.773332839000002</c:v>
                </c:pt>
                <c:pt idx="91">
                  <c:v>22.906666094000002</c:v>
                </c:pt>
                <c:pt idx="92">
                  <c:v>26.693332666</c:v>
                </c:pt>
                <c:pt idx="93">
                  <c:v>28.559999286</c:v>
                </c:pt>
                <c:pt idx="94">
                  <c:v>31.346665883</c:v>
                </c:pt>
                <c:pt idx="95">
                  <c:v>32.306665858999999</c:v>
                </c:pt>
                <c:pt idx="96">
                  <c:v>34.586665801999999</c:v>
                </c:pt>
                <c:pt idx="97">
                  <c:v>34.813332463000002</c:v>
                </c:pt>
                <c:pt idx="98">
                  <c:v>36.799999079999999</c:v>
                </c:pt>
                <c:pt idx="99">
                  <c:v>34.933332460000003</c:v>
                </c:pt>
                <c:pt idx="100">
                  <c:v>31.159999221</c:v>
                </c:pt>
                <c:pt idx="101">
                  <c:v>27.626665975999998</c:v>
                </c:pt>
                <c:pt idx="102">
                  <c:v>24.373332724000001</c:v>
                </c:pt>
                <c:pt idx="103">
                  <c:v>21.386666132000002</c:v>
                </c:pt>
                <c:pt idx="104">
                  <c:v>18.666666200000002</c:v>
                </c:pt>
                <c:pt idx="105">
                  <c:v>16.186666261999999</c:v>
                </c:pt>
                <c:pt idx="106">
                  <c:v>13.919999652000001</c:v>
                </c:pt>
                <c:pt idx="107">
                  <c:v>11.866666370000001</c:v>
                </c:pt>
                <c:pt idx="108">
                  <c:v>9.9866664170000004</c:v>
                </c:pt>
                <c:pt idx="109">
                  <c:v>8.279999793</c:v>
                </c:pt>
                <c:pt idx="110">
                  <c:v>6.9999998249999997</c:v>
                </c:pt>
                <c:pt idx="111">
                  <c:v>9.8266664210000005</c:v>
                </c:pt>
                <c:pt idx="112">
                  <c:v>14.79999963</c:v>
                </c:pt>
                <c:pt idx="113">
                  <c:v>19.399999515000001</c:v>
                </c:pt>
                <c:pt idx="114">
                  <c:v>22.719999432000002</c:v>
                </c:pt>
                <c:pt idx="115">
                  <c:v>26.319999341999999</c:v>
                </c:pt>
                <c:pt idx="116">
                  <c:v>28.159999295999999</c:v>
                </c:pt>
                <c:pt idx="117">
                  <c:v>30.959999225999997</c:v>
                </c:pt>
                <c:pt idx="118">
                  <c:v>31.906665869000001</c:v>
                </c:pt>
                <c:pt idx="119">
                  <c:v>34.013332482999999</c:v>
                </c:pt>
                <c:pt idx="120">
                  <c:v>34.613332468000003</c:v>
                </c:pt>
                <c:pt idx="121">
                  <c:v>35.959999101000001</c:v>
                </c:pt>
                <c:pt idx="122">
                  <c:v>36.306665759000005</c:v>
                </c:pt>
                <c:pt idx="123">
                  <c:v>32.946665842999998</c:v>
                </c:pt>
                <c:pt idx="124">
                  <c:v>29.279999268000001</c:v>
                </c:pt>
                <c:pt idx="125">
                  <c:v>25.906666019000003</c:v>
                </c:pt>
                <c:pt idx="126">
                  <c:v>22.79999943</c:v>
                </c:pt>
                <c:pt idx="127">
                  <c:v>19.959999500999999</c:v>
                </c:pt>
                <c:pt idx="128">
                  <c:v>17.359999565999999</c:v>
                </c:pt>
                <c:pt idx="129">
                  <c:v>14.999999624999999</c:v>
                </c:pt>
                <c:pt idx="130">
                  <c:v>12.839999679</c:v>
                </c:pt>
                <c:pt idx="131">
                  <c:v>10.879999728</c:v>
                </c:pt>
                <c:pt idx="132">
                  <c:v>9.0933331060000011</c:v>
                </c:pt>
                <c:pt idx="133">
                  <c:v>7.4666664799999998</c:v>
                </c:pt>
                <c:pt idx="134">
                  <c:v>7.6399998089999999</c:v>
                </c:pt>
                <c:pt idx="135">
                  <c:v>13.173333004</c:v>
                </c:pt>
                <c:pt idx="136">
                  <c:v>17.346666233000001</c:v>
                </c:pt>
                <c:pt idx="137">
                  <c:v>21.919999451999999</c:v>
                </c:pt>
                <c:pt idx="138">
                  <c:v>24.506666054</c:v>
                </c:pt>
                <c:pt idx="139">
                  <c:v>27.799999305</c:v>
                </c:pt>
                <c:pt idx="140">
                  <c:v>29.293332600999999</c:v>
                </c:pt>
                <c:pt idx="141">
                  <c:v>31.826665870999999</c:v>
                </c:pt>
                <c:pt idx="142">
                  <c:v>32.439999188999998</c:v>
                </c:pt>
                <c:pt idx="143">
                  <c:v>34.626665801000001</c:v>
                </c:pt>
                <c:pt idx="144">
                  <c:v>34.586665801999999</c:v>
                </c:pt>
                <c:pt idx="145">
                  <c:v>36.479999088</c:v>
                </c:pt>
                <c:pt idx="146">
                  <c:v>35.079999123</c:v>
                </c:pt>
                <c:pt idx="147">
                  <c:v>31.359999215999999</c:v>
                </c:pt>
                <c:pt idx="148">
                  <c:v>27.813332637999999</c:v>
                </c:pt>
                <c:pt idx="149">
                  <c:v>24.533332720000001</c:v>
                </c:pt>
                <c:pt idx="150">
                  <c:v>21.533332795</c:v>
                </c:pt>
                <c:pt idx="151">
                  <c:v>18.786666197000002</c:v>
                </c:pt>
                <c:pt idx="152">
                  <c:v>16.293332926000001</c:v>
                </c:pt>
                <c:pt idx="153">
                  <c:v>14.013332983</c:v>
                </c:pt>
                <c:pt idx="154">
                  <c:v>11.933333035</c:v>
                </c:pt>
                <c:pt idx="155">
                  <c:v>10.053333082</c:v>
                </c:pt>
                <c:pt idx="156">
                  <c:v>8.3333331249999993</c:v>
                </c:pt>
                <c:pt idx="157">
                  <c:v>6.8266664960000005</c:v>
                </c:pt>
                <c:pt idx="158">
                  <c:v>8.2533331269999994</c:v>
                </c:pt>
                <c:pt idx="159">
                  <c:v>14.066666315000001</c:v>
                </c:pt>
                <c:pt idx="160">
                  <c:v>18.133332880000001</c:v>
                </c:pt>
                <c:pt idx="161">
                  <c:v>22.199999445</c:v>
                </c:pt>
                <c:pt idx="162">
                  <c:v>24.999999375000002</c:v>
                </c:pt>
                <c:pt idx="163">
                  <c:v>27.666665975000001</c:v>
                </c:pt>
                <c:pt idx="164">
                  <c:v>29.506665929</c:v>
                </c:pt>
                <c:pt idx="165">
                  <c:v>31.479999212999999</c:v>
                </c:pt>
                <c:pt idx="166">
                  <c:v>32.413332523000001</c:v>
                </c:pt>
                <c:pt idx="167">
                  <c:v>34.226665810999997</c:v>
                </c:pt>
                <c:pt idx="168">
                  <c:v>34.066665815</c:v>
                </c:pt>
                <c:pt idx="169">
                  <c:v>34.319999142</c:v>
                </c:pt>
                <c:pt idx="170">
                  <c:v>31.293332550999999</c:v>
                </c:pt>
                <c:pt idx="171">
                  <c:v>27.719999307000002</c:v>
                </c:pt>
                <c:pt idx="172">
                  <c:v>24.439999389</c:v>
                </c:pt>
                <c:pt idx="173">
                  <c:v>21.426666130999998</c:v>
                </c:pt>
                <c:pt idx="174">
                  <c:v>18.679999533</c:v>
                </c:pt>
                <c:pt idx="175">
                  <c:v>16.186666261999999</c:v>
                </c:pt>
                <c:pt idx="176">
                  <c:v>13.906666318999999</c:v>
                </c:pt>
                <c:pt idx="177">
                  <c:v>11.826666371</c:v>
                </c:pt>
                <c:pt idx="178">
                  <c:v>9.9333330849999992</c:v>
                </c:pt>
                <c:pt idx="179">
                  <c:v>8.2266664610000007</c:v>
                </c:pt>
                <c:pt idx="180">
                  <c:v>7.2399998189999994</c:v>
                </c:pt>
                <c:pt idx="181">
                  <c:v>7.9733331339999998</c:v>
                </c:pt>
                <c:pt idx="182">
                  <c:v>12.026666366000001</c:v>
                </c:pt>
                <c:pt idx="183">
                  <c:v>16.759999580999999</c:v>
                </c:pt>
                <c:pt idx="184">
                  <c:v>20.879999477999998</c:v>
                </c:pt>
                <c:pt idx="185">
                  <c:v>23.626666075999999</c:v>
                </c:pt>
                <c:pt idx="186">
                  <c:v>26.773332664000002</c:v>
                </c:pt>
                <c:pt idx="187">
                  <c:v>28.293332625999998</c:v>
                </c:pt>
                <c:pt idx="188">
                  <c:v>30.573332569000002</c:v>
                </c:pt>
                <c:pt idx="189">
                  <c:v>31.59999921</c:v>
                </c:pt>
                <c:pt idx="190">
                  <c:v>32.999999174999999</c:v>
                </c:pt>
                <c:pt idx="191">
                  <c:v>34.119999147000001</c:v>
                </c:pt>
                <c:pt idx="192">
                  <c:v>34.466665804999998</c:v>
                </c:pt>
                <c:pt idx="193">
                  <c:v>35.226665785999998</c:v>
                </c:pt>
                <c:pt idx="194">
                  <c:v>32.146665863000003</c:v>
                </c:pt>
                <c:pt idx="195">
                  <c:v>28.519999287000001</c:v>
                </c:pt>
                <c:pt idx="196">
                  <c:v>25.173332704</c:v>
                </c:pt>
                <c:pt idx="197">
                  <c:v>22.106666114000003</c:v>
                </c:pt>
                <c:pt idx="198">
                  <c:v>19.293332850999999</c:v>
                </c:pt>
                <c:pt idx="199">
                  <c:v>16.733332914999998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9B-470F-BA40-1CE1E9A38F75}"/>
            </c:ext>
          </c:extLst>
        </c:ser>
        <c:ser>
          <c:idx val="1"/>
          <c:order val="1"/>
          <c:tx>
            <c:v>4V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pump!$BN$4:$BN$246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pump!$BR$4:$BR$246</c:f>
              <c:numCache>
                <c:formatCode>General</c:formatCode>
                <c:ptCount val="243"/>
                <c:pt idx="0">
                  <c:v>-25.039999374000001</c:v>
                </c:pt>
                <c:pt idx="1">
                  <c:v>-25.253332702000002</c:v>
                </c:pt>
                <c:pt idx="2">
                  <c:v>-16.813332913</c:v>
                </c:pt>
                <c:pt idx="3">
                  <c:v>-7.6799998079999998</c:v>
                </c:pt>
                <c:pt idx="4">
                  <c:v>-0.62666665100000007</c:v>
                </c:pt>
                <c:pt idx="5">
                  <c:v>4.9066665439999992</c:v>
                </c:pt>
                <c:pt idx="6">
                  <c:v>9.3066664340000003</c:v>
                </c:pt>
                <c:pt idx="7">
                  <c:v>12.839999679</c:v>
                </c:pt>
                <c:pt idx="8">
                  <c:v>15.746666272999999</c:v>
                </c:pt>
                <c:pt idx="9">
                  <c:v>18.146666213</c:v>
                </c:pt>
                <c:pt idx="10">
                  <c:v>20.173332829000003</c:v>
                </c:pt>
                <c:pt idx="11">
                  <c:v>21.866666120000001</c:v>
                </c:pt>
                <c:pt idx="12">
                  <c:v>23.293332750999998</c:v>
                </c:pt>
                <c:pt idx="13">
                  <c:v>23.813332738</c:v>
                </c:pt>
                <c:pt idx="14">
                  <c:v>21.199999470000002</c:v>
                </c:pt>
                <c:pt idx="15">
                  <c:v>16.533332919999999</c:v>
                </c:pt>
                <c:pt idx="16">
                  <c:v>11.893333036</c:v>
                </c:pt>
                <c:pt idx="17">
                  <c:v>7.3199998170000002</c:v>
                </c:pt>
                <c:pt idx="18">
                  <c:v>2.6933332659999998</c:v>
                </c:pt>
                <c:pt idx="19">
                  <c:v>-1.986666617</c:v>
                </c:pt>
                <c:pt idx="20">
                  <c:v>-6.7199998320000001</c:v>
                </c:pt>
                <c:pt idx="21">
                  <c:v>-11.466666379999999</c:v>
                </c:pt>
                <c:pt idx="22">
                  <c:v>-16.186666261999999</c:v>
                </c:pt>
                <c:pt idx="23">
                  <c:v>-20.839999479000003</c:v>
                </c:pt>
                <c:pt idx="24">
                  <c:v>-25.279999367999999</c:v>
                </c:pt>
                <c:pt idx="25">
                  <c:v>-26.999999325000001</c:v>
                </c:pt>
                <c:pt idx="26">
                  <c:v>-20.439999489000002</c:v>
                </c:pt>
                <c:pt idx="27">
                  <c:v>-10.453333072000001</c:v>
                </c:pt>
                <c:pt idx="28">
                  <c:v>-2.5066666040000003</c:v>
                </c:pt>
                <c:pt idx="29">
                  <c:v>3.6399999090000001</c:v>
                </c:pt>
                <c:pt idx="30">
                  <c:v>8.4666664550000004</c:v>
                </c:pt>
                <c:pt idx="31">
                  <c:v>12.359999691000001</c:v>
                </c:pt>
                <c:pt idx="32">
                  <c:v>15.506666278999999</c:v>
                </c:pt>
                <c:pt idx="33">
                  <c:v>18.106666214000001</c:v>
                </c:pt>
                <c:pt idx="34">
                  <c:v>20.279999492999998</c:v>
                </c:pt>
                <c:pt idx="35">
                  <c:v>22.119999447000001</c:v>
                </c:pt>
                <c:pt idx="36">
                  <c:v>23.306666084</c:v>
                </c:pt>
                <c:pt idx="37">
                  <c:v>21.066666139999999</c:v>
                </c:pt>
                <c:pt idx="38">
                  <c:v>16.226666261000002</c:v>
                </c:pt>
                <c:pt idx="39">
                  <c:v>11.479999713</c:v>
                </c:pt>
                <c:pt idx="40">
                  <c:v>6.79999983</c:v>
                </c:pt>
                <c:pt idx="41">
                  <c:v>2.0799999479999998</c:v>
                </c:pt>
                <c:pt idx="42">
                  <c:v>-2.6799999330000004</c:v>
                </c:pt>
                <c:pt idx="43">
                  <c:v>-7.4933331460000003</c:v>
                </c:pt>
                <c:pt idx="44">
                  <c:v>-12.279999692999999</c:v>
                </c:pt>
                <c:pt idx="45">
                  <c:v>-17.039999573999999</c:v>
                </c:pt>
                <c:pt idx="46">
                  <c:v>-21.719999457</c:v>
                </c:pt>
                <c:pt idx="47">
                  <c:v>-26.226666010999999</c:v>
                </c:pt>
                <c:pt idx="48">
                  <c:v>-28.226665960999998</c:v>
                </c:pt>
                <c:pt idx="49">
                  <c:v>-21.106666139000001</c:v>
                </c:pt>
                <c:pt idx="50">
                  <c:v>-11.039999723999999</c:v>
                </c:pt>
                <c:pt idx="51">
                  <c:v>-3.146666588</c:v>
                </c:pt>
                <c:pt idx="52">
                  <c:v>2.9599999260000001</c:v>
                </c:pt>
                <c:pt idx="53">
                  <c:v>7.7999998049999997</c:v>
                </c:pt>
                <c:pt idx="54">
                  <c:v>11.666666375</c:v>
                </c:pt>
                <c:pt idx="55">
                  <c:v>14.79999963</c:v>
                </c:pt>
                <c:pt idx="56">
                  <c:v>17.373332899000001</c:v>
                </c:pt>
                <c:pt idx="57">
                  <c:v>19.506666179</c:v>
                </c:pt>
                <c:pt idx="58">
                  <c:v>21.306666134</c:v>
                </c:pt>
                <c:pt idx="59">
                  <c:v>22.839999429000002</c:v>
                </c:pt>
                <c:pt idx="60">
                  <c:v>23.666666074999998</c:v>
                </c:pt>
                <c:pt idx="61">
                  <c:v>21.586666127000001</c:v>
                </c:pt>
                <c:pt idx="62">
                  <c:v>17.026666241000001</c:v>
                </c:pt>
                <c:pt idx="63">
                  <c:v>12.26666636</c:v>
                </c:pt>
                <c:pt idx="64">
                  <c:v>7.5733331439999994</c:v>
                </c:pt>
                <c:pt idx="65">
                  <c:v>2.8533332619999996</c:v>
                </c:pt>
                <c:pt idx="66">
                  <c:v>-1.919999952</c:v>
                </c:pt>
                <c:pt idx="67">
                  <c:v>-6.7466664980000006</c:v>
                </c:pt>
                <c:pt idx="68">
                  <c:v>-11.559999711</c:v>
                </c:pt>
                <c:pt idx="69">
                  <c:v>-16.359999591000001</c:v>
                </c:pt>
                <c:pt idx="70">
                  <c:v>-21.079999473000001</c:v>
                </c:pt>
                <c:pt idx="71">
                  <c:v>-25.626666025999999</c:v>
                </c:pt>
                <c:pt idx="72">
                  <c:v>-28.119999297</c:v>
                </c:pt>
                <c:pt idx="73">
                  <c:v>-22.706666099000003</c:v>
                </c:pt>
                <c:pt idx="74">
                  <c:v>-12.613333017999999</c:v>
                </c:pt>
                <c:pt idx="75">
                  <c:v>-4.26666656</c:v>
                </c:pt>
                <c:pt idx="76">
                  <c:v>2.1599999460000001</c:v>
                </c:pt>
                <c:pt idx="77">
                  <c:v>7.2133331529999998</c:v>
                </c:pt>
                <c:pt idx="78">
                  <c:v>11.226666386</c:v>
                </c:pt>
                <c:pt idx="79">
                  <c:v>14.493332971000001</c:v>
                </c:pt>
                <c:pt idx="80">
                  <c:v>17.173332904000002</c:v>
                </c:pt>
                <c:pt idx="81">
                  <c:v>19.399999515000001</c:v>
                </c:pt>
                <c:pt idx="82">
                  <c:v>21.279999468</c:v>
                </c:pt>
                <c:pt idx="83">
                  <c:v>22.879999427999998</c:v>
                </c:pt>
                <c:pt idx="84">
                  <c:v>24.079999397999998</c:v>
                </c:pt>
                <c:pt idx="85">
                  <c:v>22.426666105999999</c:v>
                </c:pt>
                <c:pt idx="86">
                  <c:v>17.666666225</c:v>
                </c:pt>
                <c:pt idx="87">
                  <c:v>12.879999677999999</c:v>
                </c:pt>
                <c:pt idx="88">
                  <c:v>8.1733331289999995</c:v>
                </c:pt>
                <c:pt idx="89">
                  <c:v>3.4399999139999999</c:v>
                </c:pt>
                <c:pt idx="90">
                  <c:v>-1.3466666329999999</c:v>
                </c:pt>
                <c:pt idx="91">
                  <c:v>-6.1866665119999995</c:v>
                </c:pt>
                <c:pt idx="92">
                  <c:v>-11.026666391000001</c:v>
                </c:pt>
                <c:pt idx="93">
                  <c:v>-15.839999603999999</c:v>
                </c:pt>
                <c:pt idx="94">
                  <c:v>-20.559999485999999</c:v>
                </c:pt>
                <c:pt idx="95">
                  <c:v>-25.159999370999998</c:v>
                </c:pt>
                <c:pt idx="96">
                  <c:v>-28.319999292000002</c:v>
                </c:pt>
                <c:pt idx="97">
                  <c:v>-23.079999423</c:v>
                </c:pt>
                <c:pt idx="98">
                  <c:v>-12.799999679999999</c:v>
                </c:pt>
                <c:pt idx="99">
                  <c:v>-4.5066665539999997</c:v>
                </c:pt>
                <c:pt idx="100">
                  <c:v>1.9066666190000001</c:v>
                </c:pt>
                <c:pt idx="101">
                  <c:v>6.9733331590000001</c:v>
                </c:pt>
                <c:pt idx="102">
                  <c:v>11.026666391000001</c:v>
                </c:pt>
                <c:pt idx="103">
                  <c:v>14.319999642000001</c:v>
                </c:pt>
                <c:pt idx="104">
                  <c:v>16.999999575</c:v>
                </c:pt>
                <c:pt idx="105">
                  <c:v>19.239999519000001</c:v>
                </c:pt>
                <c:pt idx="106">
                  <c:v>21.119999472</c:v>
                </c:pt>
                <c:pt idx="107">
                  <c:v>22.493332770999999</c:v>
                </c:pt>
                <c:pt idx="108">
                  <c:v>21.373332799</c:v>
                </c:pt>
                <c:pt idx="109">
                  <c:v>17.106666239000003</c:v>
                </c:pt>
                <c:pt idx="110">
                  <c:v>12.213333027999999</c:v>
                </c:pt>
                <c:pt idx="111">
                  <c:v>7.4133331480000004</c:v>
                </c:pt>
                <c:pt idx="112">
                  <c:v>2.599999935</c:v>
                </c:pt>
                <c:pt idx="113">
                  <c:v>-2.2533332769999999</c:v>
                </c:pt>
                <c:pt idx="114">
                  <c:v>-7.1199998219999996</c:v>
                </c:pt>
                <c:pt idx="115">
                  <c:v>-11.973333033999999</c:v>
                </c:pt>
                <c:pt idx="116">
                  <c:v>-16.773332914000001</c:v>
                </c:pt>
                <c:pt idx="117">
                  <c:v>-21.493332795999997</c:v>
                </c:pt>
                <c:pt idx="118">
                  <c:v>-26.053332682000001</c:v>
                </c:pt>
                <c:pt idx="119">
                  <c:v>-29.559999260999998</c:v>
                </c:pt>
                <c:pt idx="120">
                  <c:v>-26.119999347</c:v>
                </c:pt>
                <c:pt idx="121">
                  <c:v>-16.146666263</c:v>
                </c:pt>
                <c:pt idx="122">
                  <c:v>-7.0933331560000008</c:v>
                </c:pt>
                <c:pt idx="123">
                  <c:v>-0.146666663</c:v>
                </c:pt>
                <c:pt idx="124">
                  <c:v>5.2933332010000003</c:v>
                </c:pt>
                <c:pt idx="125">
                  <c:v>9.6533330920000004</c:v>
                </c:pt>
                <c:pt idx="126">
                  <c:v>13.173333004</c:v>
                </c:pt>
                <c:pt idx="127">
                  <c:v>16.039999598999998</c:v>
                </c:pt>
                <c:pt idx="128">
                  <c:v>18.439999539000002</c:v>
                </c:pt>
                <c:pt idx="129">
                  <c:v>20.453332822</c:v>
                </c:pt>
                <c:pt idx="130">
                  <c:v>22.119999447000001</c:v>
                </c:pt>
                <c:pt idx="131">
                  <c:v>22.573332769</c:v>
                </c:pt>
                <c:pt idx="132">
                  <c:v>19.159999521</c:v>
                </c:pt>
                <c:pt idx="133">
                  <c:v>14.159999646000001</c:v>
                </c:pt>
                <c:pt idx="134">
                  <c:v>9.3066664340000003</c:v>
                </c:pt>
                <c:pt idx="135">
                  <c:v>4.4933332210000003</c:v>
                </c:pt>
                <c:pt idx="136">
                  <c:v>-0.35999999100000002</c:v>
                </c:pt>
                <c:pt idx="137">
                  <c:v>-5.239999869</c:v>
                </c:pt>
                <c:pt idx="138">
                  <c:v>-10.119999747000001</c:v>
                </c:pt>
                <c:pt idx="139">
                  <c:v>-14.973332959</c:v>
                </c:pt>
                <c:pt idx="140">
                  <c:v>-19.746666172999998</c:v>
                </c:pt>
                <c:pt idx="141">
                  <c:v>-24.386666056999999</c:v>
                </c:pt>
                <c:pt idx="142">
                  <c:v>-28.639999284000002</c:v>
                </c:pt>
                <c:pt idx="143">
                  <c:v>-28.986665942000002</c:v>
                </c:pt>
                <c:pt idx="144">
                  <c:v>-20.253332827000001</c:v>
                </c:pt>
                <c:pt idx="145">
                  <c:v>-9.9199997520000007</c:v>
                </c:pt>
                <c:pt idx="146">
                  <c:v>-2.0666666149999999</c:v>
                </c:pt>
                <c:pt idx="147">
                  <c:v>3.973333234</c:v>
                </c:pt>
                <c:pt idx="148">
                  <c:v>8.786666447</c:v>
                </c:pt>
                <c:pt idx="149">
                  <c:v>12.639999683999999</c:v>
                </c:pt>
                <c:pt idx="150">
                  <c:v>15.773332938999999</c:v>
                </c:pt>
                <c:pt idx="151">
                  <c:v>18.333332875</c:v>
                </c:pt>
                <c:pt idx="152">
                  <c:v>20.466666154999999</c:v>
                </c:pt>
                <c:pt idx="153">
                  <c:v>22.279999442999998</c:v>
                </c:pt>
                <c:pt idx="154">
                  <c:v>23.773332739000001</c:v>
                </c:pt>
                <c:pt idx="155">
                  <c:v>23.239999419</c:v>
                </c:pt>
                <c:pt idx="156">
                  <c:v>19.079999522999998</c:v>
                </c:pt>
                <c:pt idx="157">
                  <c:v>14.253332977000001</c:v>
                </c:pt>
                <c:pt idx="158">
                  <c:v>9.5066664289999991</c:v>
                </c:pt>
                <c:pt idx="159">
                  <c:v>4.7599998810000006</c:v>
                </c:pt>
                <c:pt idx="160">
                  <c:v>-2.6666666000000002E-2</c:v>
                </c:pt>
                <c:pt idx="161">
                  <c:v>-4.8666665450000002</c:v>
                </c:pt>
                <c:pt idx="162">
                  <c:v>-9.7333330900000004</c:v>
                </c:pt>
                <c:pt idx="163">
                  <c:v>-14.573332968999999</c:v>
                </c:pt>
                <c:pt idx="164">
                  <c:v>-19.346666183</c:v>
                </c:pt>
                <c:pt idx="165">
                  <c:v>-23.986666067000002</c:v>
                </c:pt>
                <c:pt idx="166">
                  <c:v>-28.079999298000001</c:v>
                </c:pt>
                <c:pt idx="167">
                  <c:v>-26.199999344999998</c:v>
                </c:pt>
                <c:pt idx="168">
                  <c:v>-16.199999595000001</c:v>
                </c:pt>
                <c:pt idx="169">
                  <c:v>-6.7866664969999997</c:v>
                </c:pt>
                <c:pt idx="170">
                  <c:v>0.43999998899999998</c:v>
                </c:pt>
                <c:pt idx="171">
                  <c:v>6.0666665149999996</c:v>
                </c:pt>
                <c:pt idx="172">
                  <c:v>10.519999737000001</c:v>
                </c:pt>
                <c:pt idx="173">
                  <c:v>14.119999647</c:v>
                </c:pt>
                <c:pt idx="174">
                  <c:v>17.06666624</c:v>
                </c:pt>
                <c:pt idx="175">
                  <c:v>19.519999512000002</c:v>
                </c:pt>
                <c:pt idx="176">
                  <c:v>21.559999460999997</c:v>
                </c:pt>
                <c:pt idx="177">
                  <c:v>23.306666084</c:v>
                </c:pt>
                <c:pt idx="178">
                  <c:v>24.813332712999998</c:v>
                </c:pt>
                <c:pt idx="179">
                  <c:v>25.079999373</c:v>
                </c:pt>
                <c:pt idx="180">
                  <c:v>21.439999464000003</c:v>
                </c:pt>
                <c:pt idx="181">
                  <c:v>16.586666252000001</c:v>
                </c:pt>
                <c:pt idx="182">
                  <c:v>11.946666367999999</c:v>
                </c:pt>
                <c:pt idx="183">
                  <c:v>7.306666484</c:v>
                </c:pt>
                <c:pt idx="184">
                  <c:v>2.599999935</c:v>
                </c:pt>
                <c:pt idx="185">
                  <c:v>-2.1866666119999998</c:v>
                </c:pt>
                <c:pt idx="186">
                  <c:v>-7.013333158</c:v>
                </c:pt>
                <c:pt idx="187">
                  <c:v>-11.853333037000001</c:v>
                </c:pt>
                <c:pt idx="188">
                  <c:v>-16.666666249999999</c:v>
                </c:pt>
                <c:pt idx="189">
                  <c:v>-21.386666132000002</c:v>
                </c:pt>
                <c:pt idx="190">
                  <c:v>-25.799999355000001</c:v>
                </c:pt>
                <c:pt idx="191">
                  <c:v>-25.533332694999999</c:v>
                </c:pt>
                <c:pt idx="192">
                  <c:v>-16.279999592999999</c:v>
                </c:pt>
                <c:pt idx="193">
                  <c:v>-6.8133331630000002</c:v>
                </c:pt>
                <c:pt idx="194">
                  <c:v>0.41333332300000003</c:v>
                </c:pt>
                <c:pt idx="195">
                  <c:v>6.0666665149999996</c:v>
                </c:pt>
                <c:pt idx="196">
                  <c:v>10.519999737000001</c:v>
                </c:pt>
                <c:pt idx="197">
                  <c:v>14.093332981</c:v>
                </c:pt>
                <c:pt idx="198">
                  <c:v>17.039999573999999</c:v>
                </c:pt>
                <c:pt idx="199">
                  <c:v>19.466666180000001</c:v>
                </c:pt>
                <c:pt idx="200">
                  <c:v>21.519999462000001</c:v>
                </c:pt>
                <c:pt idx="201">
                  <c:v>23.266666085000001</c:v>
                </c:pt>
                <c:pt idx="202">
                  <c:v>24.773332714000002</c:v>
                </c:pt>
                <c:pt idx="203">
                  <c:v>25.426666031</c:v>
                </c:pt>
                <c:pt idx="204">
                  <c:v>22.373332774000001</c:v>
                </c:pt>
                <c:pt idx="205">
                  <c:v>17.439999564000001</c:v>
                </c:pt>
                <c:pt idx="206">
                  <c:v>12.746666348</c:v>
                </c:pt>
                <c:pt idx="207">
                  <c:v>8.0666664650000008</c:v>
                </c:pt>
                <c:pt idx="208">
                  <c:v>3.3466665830000002</c:v>
                </c:pt>
                <c:pt idx="209">
                  <c:v>-1.4399999640000001</c:v>
                </c:pt>
                <c:pt idx="210">
                  <c:v>-6.293333176</c:v>
                </c:pt>
                <c:pt idx="211">
                  <c:v>-11.146666388</c:v>
                </c:pt>
                <c:pt idx="212">
                  <c:v>-15.973332934</c:v>
                </c:pt>
                <c:pt idx="213">
                  <c:v>-20.719999482000002</c:v>
                </c:pt>
                <c:pt idx="214">
                  <c:v>-25.226666035999997</c:v>
                </c:pt>
                <c:pt idx="215">
                  <c:v>-26.746665998000001</c:v>
                </c:pt>
                <c:pt idx="216">
                  <c:v>-19.426666180999998</c:v>
                </c:pt>
                <c:pt idx="217">
                  <c:v>-9.3466664329999993</c:v>
                </c:pt>
                <c:pt idx="218">
                  <c:v>-1.4933332959999999</c:v>
                </c:pt>
                <c:pt idx="219">
                  <c:v>4.5466665530000006</c:v>
                </c:pt>
                <c:pt idx="220">
                  <c:v>9.3199997670000005</c:v>
                </c:pt>
                <c:pt idx="221">
                  <c:v>13.146666337999999</c:v>
                </c:pt>
                <c:pt idx="222">
                  <c:v>16.253332927000002</c:v>
                </c:pt>
                <c:pt idx="223">
                  <c:v>18.826666195999998</c:v>
                </c:pt>
                <c:pt idx="224">
                  <c:v>20.986666142000001</c:v>
                </c:pt>
                <c:pt idx="225">
                  <c:v>22.826666095999997</c:v>
                </c:pt>
                <c:pt idx="226">
                  <c:v>24.359999390999999</c:v>
                </c:pt>
                <c:pt idx="227">
                  <c:v>24.359999390999999</c:v>
                </c:pt>
                <c:pt idx="228">
                  <c:v>20.733332815000001</c:v>
                </c:pt>
                <c:pt idx="229">
                  <c:v>15.946666268</c:v>
                </c:pt>
                <c:pt idx="230">
                  <c:v>11.226666386</c:v>
                </c:pt>
                <c:pt idx="231">
                  <c:v>6.506666504</c:v>
                </c:pt>
                <c:pt idx="232">
                  <c:v>1.7466666229999999</c:v>
                </c:pt>
                <c:pt idx="233">
                  <c:v>-3.0933332559999998</c:v>
                </c:pt>
                <c:pt idx="234">
                  <c:v>-7.9599998010000004</c:v>
                </c:pt>
                <c:pt idx="235">
                  <c:v>-12.813333012999999</c:v>
                </c:pt>
                <c:pt idx="236">
                  <c:v>-17.626666225999998</c:v>
                </c:pt>
                <c:pt idx="237">
                  <c:v>-22.346666108000001</c:v>
                </c:pt>
                <c:pt idx="238">
                  <c:v>-26.693332666</c:v>
                </c:pt>
                <c:pt idx="239">
                  <c:v>-26.293332675999999</c:v>
                </c:pt>
                <c:pt idx="240">
                  <c:v>-17.293332900999999</c:v>
                </c:pt>
                <c:pt idx="241">
                  <c:v>-7.7999998049999997</c:v>
                </c:pt>
                <c:pt idx="242">
                  <c:v>-0.47999998799999999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9B-470F-BA40-1CE1E9A38F75}"/>
            </c:ext>
          </c:extLst>
        </c:ser>
        <c:ser>
          <c:idx val="2"/>
          <c:order val="2"/>
          <c:tx>
            <c:v>6V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pump!$BN$4:$BN$246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pump!$BT$4:$BT$246</c:f>
              <c:numCache>
                <c:formatCode>General</c:formatCode>
                <c:ptCount val="243"/>
                <c:pt idx="0">
                  <c:v>10.653333067</c:v>
                </c:pt>
                <c:pt idx="1">
                  <c:v>13.19999967</c:v>
                </c:pt>
                <c:pt idx="2">
                  <c:v>15.573332943999999</c:v>
                </c:pt>
                <c:pt idx="3">
                  <c:v>15.853332937000001</c:v>
                </c:pt>
                <c:pt idx="4">
                  <c:v>11.786666372000001</c:v>
                </c:pt>
                <c:pt idx="5">
                  <c:v>7.5466664780000006</c:v>
                </c:pt>
                <c:pt idx="6">
                  <c:v>3.906666569</c:v>
                </c:pt>
                <c:pt idx="7">
                  <c:v>0.57333331899999995</c:v>
                </c:pt>
                <c:pt idx="8">
                  <c:v>-2.5199999369999997</c:v>
                </c:pt>
                <c:pt idx="9">
                  <c:v>-5.4533331970000001</c:v>
                </c:pt>
                <c:pt idx="10">
                  <c:v>-8.279999793</c:v>
                </c:pt>
                <c:pt idx="11">
                  <c:v>-11.06666639</c:v>
                </c:pt>
                <c:pt idx="12">
                  <c:v>-13.839999654</c:v>
                </c:pt>
                <c:pt idx="13">
                  <c:v>-16.679999583000001</c:v>
                </c:pt>
                <c:pt idx="14">
                  <c:v>-19.413332848</c:v>
                </c:pt>
                <c:pt idx="15">
                  <c:v>-19.199999519999999</c:v>
                </c:pt>
                <c:pt idx="16">
                  <c:v>-13.786666322</c:v>
                </c:pt>
                <c:pt idx="17">
                  <c:v>-7.2133331529999998</c:v>
                </c:pt>
                <c:pt idx="18">
                  <c:v>-2.1599999460000001</c:v>
                </c:pt>
                <c:pt idx="19">
                  <c:v>1.933333285</c:v>
                </c:pt>
                <c:pt idx="20">
                  <c:v>5.4666665300000004</c:v>
                </c:pt>
                <c:pt idx="21">
                  <c:v>8.6266664510000002</c:v>
                </c:pt>
                <c:pt idx="22">
                  <c:v>11.533333044999999</c:v>
                </c:pt>
                <c:pt idx="23">
                  <c:v>14.253332977000001</c:v>
                </c:pt>
                <c:pt idx="24">
                  <c:v>16.813332913</c:v>
                </c:pt>
                <c:pt idx="25">
                  <c:v>19.239999519000001</c:v>
                </c:pt>
                <c:pt idx="26">
                  <c:v>20.626666150999998</c:v>
                </c:pt>
                <c:pt idx="27">
                  <c:v>17.666666225</c:v>
                </c:pt>
                <c:pt idx="28">
                  <c:v>12.946666342999999</c:v>
                </c:pt>
                <c:pt idx="29">
                  <c:v>9.0133331079999994</c:v>
                </c:pt>
                <c:pt idx="30">
                  <c:v>5.4799998629999997</c:v>
                </c:pt>
                <c:pt idx="31">
                  <c:v>2.2266666109999997</c:v>
                </c:pt>
                <c:pt idx="32">
                  <c:v>-0.813333313</c:v>
                </c:pt>
                <c:pt idx="33">
                  <c:v>-3.6799999080000001</c:v>
                </c:pt>
                <c:pt idx="34">
                  <c:v>-6.4666665050000001</c:v>
                </c:pt>
                <c:pt idx="35">
                  <c:v>-9.2266664360000004</c:v>
                </c:pt>
                <c:pt idx="36">
                  <c:v>-11.973333033999999</c:v>
                </c:pt>
                <c:pt idx="37">
                  <c:v>-14.719999632</c:v>
                </c:pt>
                <c:pt idx="38">
                  <c:v>-16.079999598000001</c:v>
                </c:pt>
                <c:pt idx="39">
                  <c:v>-11.746666373</c:v>
                </c:pt>
                <c:pt idx="40">
                  <c:v>-5.1733332039999995</c:v>
                </c:pt>
                <c:pt idx="41">
                  <c:v>-0.23999999399999999</c:v>
                </c:pt>
                <c:pt idx="42">
                  <c:v>3.799999905</c:v>
                </c:pt>
                <c:pt idx="43">
                  <c:v>7.3199998170000002</c:v>
                </c:pt>
                <c:pt idx="44">
                  <c:v>10.493333071</c:v>
                </c:pt>
                <c:pt idx="45">
                  <c:v>13.426666331</c:v>
                </c:pt>
                <c:pt idx="46">
                  <c:v>16.173332929000001</c:v>
                </c:pt>
                <c:pt idx="47">
                  <c:v>18.786666197000002</c:v>
                </c:pt>
                <c:pt idx="48">
                  <c:v>21.239999469000001</c:v>
                </c:pt>
                <c:pt idx="49">
                  <c:v>22.826666095999997</c:v>
                </c:pt>
                <c:pt idx="50">
                  <c:v>19.999999500000001</c:v>
                </c:pt>
                <c:pt idx="51">
                  <c:v>15.213332953</c:v>
                </c:pt>
                <c:pt idx="52">
                  <c:v>11.199999719999999</c:v>
                </c:pt>
                <c:pt idx="53">
                  <c:v>7.5733331439999994</c:v>
                </c:pt>
                <c:pt idx="54">
                  <c:v>4.26666656</c:v>
                </c:pt>
                <c:pt idx="55">
                  <c:v>1.173333304</c:v>
                </c:pt>
                <c:pt idx="56">
                  <c:v>-1.7733332890000002</c:v>
                </c:pt>
                <c:pt idx="57">
                  <c:v>-4.5999998849999999</c:v>
                </c:pt>
                <c:pt idx="58">
                  <c:v>-7.3866664819999999</c:v>
                </c:pt>
                <c:pt idx="59">
                  <c:v>-10.146666412999998</c:v>
                </c:pt>
                <c:pt idx="60">
                  <c:v>-12.879999677999999</c:v>
                </c:pt>
                <c:pt idx="61">
                  <c:v>-14.293332976</c:v>
                </c:pt>
                <c:pt idx="62">
                  <c:v>-10.853333062000001</c:v>
                </c:pt>
                <c:pt idx="63">
                  <c:v>-4.8266665460000002</c:v>
                </c:pt>
                <c:pt idx="64">
                  <c:v>0.146666663</c:v>
                </c:pt>
                <c:pt idx="65">
                  <c:v>4.1599998959999995</c:v>
                </c:pt>
                <c:pt idx="66">
                  <c:v>7.6533331420000001</c:v>
                </c:pt>
                <c:pt idx="67">
                  <c:v>10.826666396</c:v>
                </c:pt>
                <c:pt idx="68">
                  <c:v>13.746666322999999</c:v>
                </c:pt>
                <c:pt idx="69">
                  <c:v>16.466666255</c:v>
                </c:pt>
                <c:pt idx="70">
                  <c:v>19.026666190999997</c:v>
                </c:pt>
                <c:pt idx="71">
                  <c:v>21.453332797000002</c:v>
                </c:pt>
                <c:pt idx="72">
                  <c:v>23.426666080999997</c:v>
                </c:pt>
                <c:pt idx="73">
                  <c:v>21.999999450000001</c:v>
                </c:pt>
                <c:pt idx="74">
                  <c:v>17.319999567</c:v>
                </c:pt>
                <c:pt idx="75">
                  <c:v>13.026666341</c:v>
                </c:pt>
                <c:pt idx="76">
                  <c:v>9.2399997689999989</c:v>
                </c:pt>
                <c:pt idx="77">
                  <c:v>5.786666522</c:v>
                </c:pt>
                <c:pt idx="78">
                  <c:v>2.5866666019999998</c:v>
                </c:pt>
                <c:pt idx="79">
                  <c:v>-0.45333332199999998</c:v>
                </c:pt>
                <c:pt idx="80">
                  <c:v>-3.359999916</c:v>
                </c:pt>
                <c:pt idx="81">
                  <c:v>-6.1999998449999998</c:v>
                </c:pt>
                <c:pt idx="82">
                  <c:v>-9.0133331079999994</c:v>
                </c:pt>
                <c:pt idx="83">
                  <c:v>-11.826666371</c:v>
                </c:pt>
                <c:pt idx="84">
                  <c:v>-14.213332977999999</c:v>
                </c:pt>
                <c:pt idx="85">
                  <c:v>-15.746666272999999</c:v>
                </c:pt>
                <c:pt idx="86">
                  <c:v>-18.519999537</c:v>
                </c:pt>
                <c:pt idx="87">
                  <c:v>-21.679999457999998</c:v>
                </c:pt>
                <c:pt idx="88">
                  <c:v>-24.906666044000001</c:v>
                </c:pt>
                <c:pt idx="89">
                  <c:v>-28.319999292000002</c:v>
                </c:pt>
                <c:pt idx="90">
                  <c:v>-31.146665887999998</c:v>
                </c:pt>
                <c:pt idx="91">
                  <c:v>-27.519999311999999</c:v>
                </c:pt>
                <c:pt idx="92">
                  <c:v>-17.413332898</c:v>
                </c:pt>
                <c:pt idx="93">
                  <c:v>-9.4399997639999995</c:v>
                </c:pt>
                <c:pt idx="94">
                  <c:v>-3.6799999080000001</c:v>
                </c:pt>
                <c:pt idx="95">
                  <c:v>0.65333331700000008</c:v>
                </c:pt>
                <c:pt idx="96">
                  <c:v>1.5466666279999999</c:v>
                </c:pt>
                <c:pt idx="97">
                  <c:v>-2.5599999360000001</c:v>
                </c:pt>
                <c:pt idx="98">
                  <c:v>-6.9466664930000004</c:v>
                </c:pt>
                <c:pt idx="99">
                  <c:v>-10.813333063</c:v>
                </c:pt>
                <c:pt idx="100">
                  <c:v>-14.506666303999999</c:v>
                </c:pt>
                <c:pt idx="101">
                  <c:v>-18.159999545999998</c:v>
                </c:pt>
                <c:pt idx="102">
                  <c:v>-21.866666120000001</c:v>
                </c:pt>
                <c:pt idx="103">
                  <c:v>-25.706666024</c:v>
                </c:pt>
                <c:pt idx="104">
                  <c:v>-29.706665924000003</c:v>
                </c:pt>
                <c:pt idx="105">
                  <c:v>-33.906665819000004</c:v>
                </c:pt>
                <c:pt idx="106">
                  <c:v>-38.239999044000001</c:v>
                </c:pt>
                <c:pt idx="107">
                  <c:v>-42.226665611000001</c:v>
                </c:pt>
                <c:pt idx="108">
                  <c:v>-40.466665655</c:v>
                </c:pt>
                <c:pt idx="109">
                  <c:v>-28.786665946999999</c:v>
                </c:pt>
                <c:pt idx="110">
                  <c:v>-17.453332896999999</c:v>
                </c:pt>
                <c:pt idx="111">
                  <c:v>-9.6133330929999996</c:v>
                </c:pt>
                <c:pt idx="112">
                  <c:v>-3.8933332359999997</c:v>
                </c:pt>
                <c:pt idx="113">
                  <c:v>0.54666665299999995</c:v>
                </c:pt>
                <c:pt idx="114">
                  <c:v>4.1999998950000004</c:v>
                </c:pt>
                <c:pt idx="115">
                  <c:v>7.3466664829999999</c:v>
                </c:pt>
                <c:pt idx="116">
                  <c:v>10.159999746</c:v>
                </c:pt>
                <c:pt idx="117">
                  <c:v>12.759999681</c:v>
                </c:pt>
                <c:pt idx="118">
                  <c:v>15.133332955</c:v>
                </c:pt>
                <c:pt idx="119">
                  <c:v>15.719999607</c:v>
                </c:pt>
                <c:pt idx="120">
                  <c:v>11.866666370000001</c:v>
                </c:pt>
                <c:pt idx="121">
                  <c:v>7.3199998170000002</c:v>
                </c:pt>
                <c:pt idx="122">
                  <c:v>3.506666579</c:v>
                </c:pt>
                <c:pt idx="123">
                  <c:v>1.3333333000000001E-2</c:v>
                </c:pt>
                <c:pt idx="124">
                  <c:v>-3.293333251</c:v>
                </c:pt>
                <c:pt idx="125">
                  <c:v>-6.4799998380000003</c:v>
                </c:pt>
                <c:pt idx="126">
                  <c:v>-9.5866664270000008</c:v>
                </c:pt>
                <c:pt idx="127">
                  <c:v>-12.66666635</c:v>
                </c:pt>
                <c:pt idx="128">
                  <c:v>-15.813332937999999</c:v>
                </c:pt>
                <c:pt idx="129">
                  <c:v>-19.079999522999998</c:v>
                </c:pt>
                <c:pt idx="130">
                  <c:v>-22.359999440999999</c:v>
                </c:pt>
                <c:pt idx="131">
                  <c:v>-22.959999426</c:v>
                </c:pt>
                <c:pt idx="132">
                  <c:v>-16.346666257999999</c:v>
                </c:pt>
                <c:pt idx="133">
                  <c:v>-8.4666664550000004</c:v>
                </c:pt>
                <c:pt idx="134">
                  <c:v>-2.786666597</c:v>
                </c:pt>
                <c:pt idx="135">
                  <c:v>1.6399999590000001</c:v>
                </c:pt>
                <c:pt idx="136">
                  <c:v>5.3466665330000005</c:v>
                </c:pt>
                <c:pt idx="137">
                  <c:v>8.5999997849999996</c:v>
                </c:pt>
                <c:pt idx="138">
                  <c:v>11.519999712000001</c:v>
                </c:pt>
                <c:pt idx="139">
                  <c:v>14.226666311000001</c:v>
                </c:pt>
                <c:pt idx="140">
                  <c:v>16.759999580999999</c:v>
                </c:pt>
                <c:pt idx="141">
                  <c:v>19.133332854999999</c:v>
                </c:pt>
                <c:pt idx="142">
                  <c:v>19.973332834000001</c:v>
                </c:pt>
                <c:pt idx="143">
                  <c:v>16.053332932</c:v>
                </c:pt>
                <c:pt idx="144">
                  <c:v>11.319999717</c:v>
                </c:pt>
                <c:pt idx="145">
                  <c:v>7.3599998160000002</c:v>
                </c:pt>
                <c:pt idx="146">
                  <c:v>3.759999906</c:v>
                </c:pt>
                <c:pt idx="147">
                  <c:v>0.41333332300000003</c:v>
                </c:pt>
                <c:pt idx="148">
                  <c:v>-2.7733332640000001</c:v>
                </c:pt>
                <c:pt idx="149">
                  <c:v>-5.8533331869999996</c:v>
                </c:pt>
                <c:pt idx="150">
                  <c:v>-8.8666664449999999</c:v>
                </c:pt>
                <c:pt idx="151">
                  <c:v>-11.879999702999999</c:v>
                </c:pt>
                <c:pt idx="152">
                  <c:v>-14.946666293</c:v>
                </c:pt>
                <c:pt idx="153">
                  <c:v>-18.053332881999999</c:v>
                </c:pt>
                <c:pt idx="154">
                  <c:v>-18.719999531999999</c:v>
                </c:pt>
                <c:pt idx="155">
                  <c:v>-13.253333002000002</c:v>
                </c:pt>
                <c:pt idx="156">
                  <c:v>-6.1599998460000007</c:v>
                </c:pt>
                <c:pt idx="157">
                  <c:v>-0.786666647</c:v>
                </c:pt>
                <c:pt idx="158">
                  <c:v>3.4399999139999999</c:v>
                </c:pt>
                <c:pt idx="159">
                  <c:v>7.053333157</c:v>
                </c:pt>
                <c:pt idx="160">
                  <c:v>10.239999744</c:v>
                </c:pt>
                <c:pt idx="161">
                  <c:v>13.106666339</c:v>
                </c:pt>
                <c:pt idx="162">
                  <c:v>15.773332938999999</c:v>
                </c:pt>
                <c:pt idx="163">
                  <c:v>18.306666209000003</c:v>
                </c:pt>
                <c:pt idx="164">
                  <c:v>20.693332815999998</c:v>
                </c:pt>
                <c:pt idx="165">
                  <c:v>22.959999426</c:v>
                </c:pt>
                <c:pt idx="166">
                  <c:v>24.186666062</c:v>
                </c:pt>
                <c:pt idx="167">
                  <c:v>21.133332804999998</c:v>
                </c:pt>
                <c:pt idx="168">
                  <c:v>16.146666263</c:v>
                </c:pt>
                <c:pt idx="169">
                  <c:v>11.879999702999999</c:v>
                </c:pt>
                <c:pt idx="170">
                  <c:v>8.0799997979999993</c:v>
                </c:pt>
                <c:pt idx="171">
                  <c:v>4.5866665519999996</c:v>
                </c:pt>
                <c:pt idx="172">
                  <c:v>1.3066666340000002</c:v>
                </c:pt>
                <c:pt idx="173">
                  <c:v>-1.826666621</c:v>
                </c:pt>
                <c:pt idx="174">
                  <c:v>-4.8399998789999996</c:v>
                </c:pt>
                <c:pt idx="175">
                  <c:v>-7.7866664719999994</c:v>
                </c:pt>
                <c:pt idx="176">
                  <c:v>-10.759999731000001</c:v>
                </c:pt>
                <c:pt idx="177">
                  <c:v>-13.746666322999999</c:v>
                </c:pt>
                <c:pt idx="178">
                  <c:v>-15.519999612000001</c:v>
                </c:pt>
                <c:pt idx="179">
                  <c:v>-11.626666376000001</c:v>
                </c:pt>
                <c:pt idx="180">
                  <c:v>-4.6666665500000004</c:v>
                </c:pt>
                <c:pt idx="181">
                  <c:v>0.54666665299999995</c:v>
                </c:pt>
                <c:pt idx="182">
                  <c:v>4.6933332160000001</c:v>
                </c:pt>
                <c:pt idx="183">
                  <c:v>8.2666664599999997</c:v>
                </c:pt>
                <c:pt idx="184">
                  <c:v>11.426666381</c:v>
                </c:pt>
                <c:pt idx="185">
                  <c:v>14.293332976</c:v>
                </c:pt>
                <c:pt idx="186">
                  <c:v>16.946666242999999</c:v>
                </c:pt>
                <c:pt idx="187">
                  <c:v>19.439999514</c:v>
                </c:pt>
                <c:pt idx="188">
                  <c:v>21.786666122</c:v>
                </c:pt>
                <c:pt idx="189">
                  <c:v>23.533332744999999</c:v>
                </c:pt>
                <c:pt idx="190">
                  <c:v>21.146666138000001</c:v>
                </c:pt>
                <c:pt idx="191">
                  <c:v>15.906666269</c:v>
                </c:pt>
                <c:pt idx="192">
                  <c:v>11.519999712000001</c:v>
                </c:pt>
                <c:pt idx="193">
                  <c:v>7.6266664760000005</c:v>
                </c:pt>
                <c:pt idx="194">
                  <c:v>4.053333232</c:v>
                </c:pt>
                <c:pt idx="195">
                  <c:v>0.73333331499999999</c:v>
                </c:pt>
                <c:pt idx="196">
                  <c:v>-2.4266666059999999</c:v>
                </c:pt>
                <c:pt idx="197">
                  <c:v>-5.493333196</c:v>
                </c:pt>
                <c:pt idx="198">
                  <c:v>-8.5199997869999997</c:v>
                </c:pt>
                <c:pt idx="199">
                  <c:v>-11.573333044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9B-470F-BA40-1CE1E9A38F75}"/>
            </c:ext>
          </c:extLst>
        </c:ser>
        <c:ser>
          <c:idx val="3"/>
          <c:order val="3"/>
          <c:tx>
            <c:v>8V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pump!$BN$4:$BN$246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pump!$BV$4:$BV$246</c:f>
              <c:numCache>
                <c:formatCode>General</c:formatCode>
                <c:ptCount val="243"/>
                <c:pt idx="0">
                  <c:v>0.13333333</c:v>
                </c:pt>
                <c:pt idx="1">
                  <c:v>7.3866664819999999</c:v>
                </c:pt>
                <c:pt idx="2">
                  <c:v>38.479999038000003</c:v>
                </c:pt>
                <c:pt idx="3">
                  <c:v>77.053331407000002</c:v>
                </c:pt>
                <c:pt idx="4">
                  <c:v>102.546664103</c:v>
                </c:pt>
                <c:pt idx="5">
                  <c:v>117.186663737</c:v>
                </c:pt>
                <c:pt idx="6">
                  <c:v>125.77333018899999</c:v>
                </c:pt>
                <c:pt idx="7">
                  <c:v>131.57333004399999</c:v>
                </c:pt>
                <c:pt idx="8">
                  <c:v>136.26666326</c:v>
                </c:pt>
                <c:pt idx="9">
                  <c:v>140.53332982000001</c:v>
                </c:pt>
                <c:pt idx="10">
                  <c:v>144.61332971799999</c:v>
                </c:pt>
                <c:pt idx="11">
                  <c:v>148.61332961799999</c:v>
                </c:pt>
                <c:pt idx="12">
                  <c:v>152.50666285399998</c:v>
                </c:pt>
                <c:pt idx="13">
                  <c:v>156.26666276</c:v>
                </c:pt>
                <c:pt idx="14">
                  <c:v>160.07999599799999</c:v>
                </c:pt>
                <c:pt idx="15">
                  <c:v>163.81332923799999</c:v>
                </c:pt>
                <c:pt idx="16">
                  <c:v>167.51999581200002</c:v>
                </c:pt>
                <c:pt idx="17">
                  <c:v>171.17332905399999</c:v>
                </c:pt>
                <c:pt idx="18">
                  <c:v>174.81332896299998</c:v>
                </c:pt>
                <c:pt idx="19">
                  <c:v>178.386662207</c:v>
                </c:pt>
                <c:pt idx="20">
                  <c:v>181.78666212200002</c:v>
                </c:pt>
                <c:pt idx="21">
                  <c:v>184.94666204299998</c:v>
                </c:pt>
                <c:pt idx="22">
                  <c:v>187.74666197299999</c:v>
                </c:pt>
                <c:pt idx="23">
                  <c:v>190.38666190700002</c:v>
                </c:pt>
                <c:pt idx="24">
                  <c:v>192.79999518</c:v>
                </c:pt>
                <c:pt idx="25">
                  <c:v>191.93332853499999</c:v>
                </c:pt>
                <c:pt idx="26">
                  <c:v>183.77332873899999</c:v>
                </c:pt>
                <c:pt idx="27">
                  <c:v>175.306662284</c:v>
                </c:pt>
                <c:pt idx="28">
                  <c:v>168.26666245999999</c:v>
                </c:pt>
                <c:pt idx="29">
                  <c:v>162.11999594700001</c:v>
                </c:pt>
                <c:pt idx="30">
                  <c:v>156.66666275</c:v>
                </c:pt>
                <c:pt idx="31">
                  <c:v>151.78666287200002</c:v>
                </c:pt>
                <c:pt idx="32">
                  <c:v>147.35999631600001</c:v>
                </c:pt>
                <c:pt idx="33">
                  <c:v>143.319996417</c:v>
                </c:pt>
                <c:pt idx="34">
                  <c:v>139.58666317700002</c:v>
                </c:pt>
                <c:pt idx="35">
                  <c:v>136.11999659700001</c:v>
                </c:pt>
                <c:pt idx="36">
                  <c:v>132.98666334199999</c:v>
                </c:pt>
                <c:pt idx="37">
                  <c:v>130.546663403</c:v>
                </c:pt>
                <c:pt idx="38">
                  <c:v>127.759996806</c:v>
                </c:pt>
                <c:pt idx="39">
                  <c:v>124.89333021100001</c:v>
                </c:pt>
                <c:pt idx="40">
                  <c:v>122.186663612</c:v>
                </c:pt>
                <c:pt idx="41">
                  <c:v>119.58666367699999</c:v>
                </c:pt>
                <c:pt idx="42">
                  <c:v>117.079997073</c:v>
                </c:pt>
                <c:pt idx="43">
                  <c:v>114.639997134</c:v>
                </c:pt>
                <c:pt idx="44">
                  <c:v>112.26666385999999</c:v>
                </c:pt>
                <c:pt idx="45">
                  <c:v>110.039997249</c:v>
                </c:pt>
                <c:pt idx="46">
                  <c:v>107.813330638</c:v>
                </c:pt>
                <c:pt idx="47">
                  <c:v>105.586664027</c:v>
                </c:pt>
                <c:pt idx="48">
                  <c:v>103.27999741800001</c:v>
                </c:pt>
                <c:pt idx="49">
                  <c:v>100.853330812</c:v>
                </c:pt>
                <c:pt idx="50">
                  <c:v>98.319997541999996</c:v>
                </c:pt>
                <c:pt idx="51">
                  <c:v>95.693330940999999</c:v>
                </c:pt>
                <c:pt idx="52">
                  <c:v>92.866664345000004</c:v>
                </c:pt>
                <c:pt idx="53">
                  <c:v>89.813331087999998</c:v>
                </c:pt>
                <c:pt idx="54">
                  <c:v>86.519997836999991</c:v>
                </c:pt>
                <c:pt idx="55">
                  <c:v>82.906664593999992</c:v>
                </c:pt>
                <c:pt idx="56">
                  <c:v>78.986664691999991</c:v>
                </c:pt>
                <c:pt idx="57">
                  <c:v>74.826664796000003</c:v>
                </c:pt>
                <c:pt idx="58">
                  <c:v>70.479998238000007</c:v>
                </c:pt>
                <c:pt idx="59">
                  <c:v>65.999998349999998</c:v>
                </c:pt>
                <c:pt idx="60">
                  <c:v>61.99999845</c:v>
                </c:pt>
                <c:pt idx="61">
                  <c:v>65.559998360999998</c:v>
                </c:pt>
                <c:pt idx="62">
                  <c:v>84.586664552000002</c:v>
                </c:pt>
                <c:pt idx="63">
                  <c:v>105.013330708</c:v>
                </c:pt>
                <c:pt idx="64">
                  <c:v>117.546663728</c:v>
                </c:pt>
                <c:pt idx="65">
                  <c:v>125.37333019899999</c:v>
                </c:pt>
                <c:pt idx="66">
                  <c:v>131.026663391</c:v>
                </c:pt>
                <c:pt idx="67">
                  <c:v>135.786663272</c:v>
                </c:pt>
                <c:pt idx="68">
                  <c:v>140.19999649499999</c:v>
                </c:pt>
                <c:pt idx="69">
                  <c:v>144.38666305700002</c:v>
                </c:pt>
                <c:pt idx="70">
                  <c:v>148.466662955</c:v>
                </c:pt>
                <c:pt idx="71">
                  <c:v>152.42666285600001</c:v>
                </c:pt>
                <c:pt idx="72">
                  <c:v>154.27999614299998</c:v>
                </c:pt>
                <c:pt idx="73">
                  <c:v>149.23999626899999</c:v>
                </c:pt>
                <c:pt idx="74">
                  <c:v>143.06666308999999</c:v>
                </c:pt>
                <c:pt idx="75">
                  <c:v>138.27999654299998</c:v>
                </c:pt>
                <c:pt idx="76">
                  <c:v>134.106663314</c:v>
                </c:pt>
                <c:pt idx="77">
                  <c:v>130.37333007399999</c:v>
                </c:pt>
                <c:pt idx="78">
                  <c:v>126.93333016</c:v>
                </c:pt>
                <c:pt idx="79">
                  <c:v>123.73333024</c:v>
                </c:pt>
                <c:pt idx="80">
                  <c:v>120.733330315</c:v>
                </c:pt>
                <c:pt idx="81">
                  <c:v>117.90666371899999</c:v>
                </c:pt>
                <c:pt idx="82">
                  <c:v>115.186663787</c:v>
                </c:pt>
                <c:pt idx="83">
                  <c:v>112.653330517</c:v>
                </c:pt>
                <c:pt idx="84">
                  <c:v>111.30666388399999</c:v>
                </c:pt>
                <c:pt idx="85">
                  <c:v>109.613330593</c:v>
                </c:pt>
                <c:pt idx="86">
                  <c:v>106.71999733199999</c:v>
                </c:pt>
                <c:pt idx="87">
                  <c:v>104.013330733</c:v>
                </c:pt>
                <c:pt idx="88">
                  <c:v>101.346664133</c:v>
                </c:pt>
                <c:pt idx="89">
                  <c:v>98.813330863000004</c:v>
                </c:pt>
                <c:pt idx="90">
                  <c:v>96.119997596999994</c:v>
                </c:pt>
                <c:pt idx="91">
                  <c:v>93.026664341</c:v>
                </c:pt>
                <c:pt idx="92">
                  <c:v>89.786664422000001</c:v>
                </c:pt>
                <c:pt idx="93">
                  <c:v>86.333331174999998</c:v>
                </c:pt>
                <c:pt idx="94">
                  <c:v>82.639997933999993</c:v>
                </c:pt>
                <c:pt idx="95">
                  <c:v>78.813331363000003</c:v>
                </c:pt>
                <c:pt idx="96">
                  <c:v>74.679998132999998</c:v>
                </c:pt>
                <c:pt idx="97">
                  <c:v>70.186664911999998</c:v>
                </c:pt>
                <c:pt idx="98">
                  <c:v>65.613331693000006</c:v>
                </c:pt>
                <c:pt idx="99">
                  <c:v>61.013331808000004</c:v>
                </c:pt>
                <c:pt idx="100">
                  <c:v>56.493331920999999</c:v>
                </c:pt>
                <c:pt idx="101">
                  <c:v>52.119998697</c:v>
                </c:pt>
                <c:pt idx="102">
                  <c:v>47.906665469000004</c:v>
                </c:pt>
                <c:pt idx="103">
                  <c:v>43.919998901999996</c:v>
                </c:pt>
                <c:pt idx="104">
                  <c:v>40.159998995999999</c:v>
                </c:pt>
                <c:pt idx="105">
                  <c:v>36.626665750999997</c:v>
                </c:pt>
                <c:pt idx="106">
                  <c:v>33.386665831999998</c:v>
                </c:pt>
                <c:pt idx="107">
                  <c:v>33.933332485000001</c:v>
                </c:pt>
                <c:pt idx="108">
                  <c:v>54.239998644000003</c:v>
                </c:pt>
                <c:pt idx="109">
                  <c:v>85.813331188000006</c:v>
                </c:pt>
                <c:pt idx="110">
                  <c:v>106.82666399600001</c:v>
                </c:pt>
                <c:pt idx="111">
                  <c:v>118.90666369399999</c:v>
                </c:pt>
                <c:pt idx="112">
                  <c:v>126.30666350899999</c:v>
                </c:pt>
                <c:pt idx="113">
                  <c:v>131.61333004299999</c:v>
                </c:pt>
                <c:pt idx="114">
                  <c:v>136.11999659700001</c:v>
                </c:pt>
                <c:pt idx="115">
                  <c:v>140.29332982600002</c:v>
                </c:pt>
                <c:pt idx="116">
                  <c:v>144.293329726</c:v>
                </c:pt>
                <c:pt idx="117">
                  <c:v>148.213329628</c:v>
                </c:pt>
                <c:pt idx="118">
                  <c:v>152.09332953099999</c:v>
                </c:pt>
                <c:pt idx="119">
                  <c:v>155.23999611899998</c:v>
                </c:pt>
                <c:pt idx="120">
                  <c:v>152.49332952099999</c:v>
                </c:pt>
                <c:pt idx="121">
                  <c:v>145.66666302499999</c:v>
                </c:pt>
                <c:pt idx="122">
                  <c:v>140.413329823</c:v>
                </c:pt>
                <c:pt idx="123">
                  <c:v>135.9999966</c:v>
                </c:pt>
                <c:pt idx="124">
                  <c:v>132.05333003199999</c:v>
                </c:pt>
                <c:pt idx="125">
                  <c:v>128.45333012199998</c:v>
                </c:pt>
                <c:pt idx="126">
                  <c:v>125.106663539</c:v>
                </c:pt>
                <c:pt idx="127">
                  <c:v>121.99999695</c:v>
                </c:pt>
                <c:pt idx="128">
                  <c:v>119.06666369</c:v>
                </c:pt>
                <c:pt idx="129">
                  <c:v>116.27999709300001</c:v>
                </c:pt>
                <c:pt idx="130">
                  <c:v>113.61333049300001</c:v>
                </c:pt>
                <c:pt idx="131">
                  <c:v>112.066663865</c:v>
                </c:pt>
                <c:pt idx="132">
                  <c:v>116.773330414</c:v>
                </c:pt>
                <c:pt idx="133">
                  <c:v>126.27999684300001</c:v>
                </c:pt>
                <c:pt idx="134">
                  <c:v>133.666663325</c:v>
                </c:pt>
                <c:pt idx="135">
                  <c:v>139.55999651100001</c:v>
                </c:pt>
                <c:pt idx="136">
                  <c:v>144.866663045</c:v>
                </c:pt>
                <c:pt idx="137">
                  <c:v>149.82666292100001</c:v>
                </c:pt>
                <c:pt idx="138">
                  <c:v>154.49332947100001</c:v>
                </c:pt>
                <c:pt idx="139">
                  <c:v>158.87999602799999</c:v>
                </c:pt>
                <c:pt idx="140">
                  <c:v>162.99999592500001</c:v>
                </c:pt>
                <c:pt idx="141">
                  <c:v>166.90666249399999</c:v>
                </c:pt>
                <c:pt idx="142">
                  <c:v>170.26666241000001</c:v>
                </c:pt>
                <c:pt idx="143">
                  <c:v>168.18666246200002</c:v>
                </c:pt>
                <c:pt idx="144">
                  <c:v>160.53332932000001</c:v>
                </c:pt>
                <c:pt idx="145">
                  <c:v>154.159996146</c:v>
                </c:pt>
                <c:pt idx="146">
                  <c:v>148.773329614</c:v>
                </c:pt>
                <c:pt idx="147">
                  <c:v>143.99999639999999</c:v>
                </c:pt>
                <c:pt idx="148">
                  <c:v>139.67999650799999</c:v>
                </c:pt>
                <c:pt idx="149">
                  <c:v>135.75999660600002</c:v>
                </c:pt>
                <c:pt idx="150">
                  <c:v>132.13333003</c:v>
                </c:pt>
                <c:pt idx="151">
                  <c:v>128.773330114</c:v>
                </c:pt>
                <c:pt idx="152">
                  <c:v>125.613330193</c:v>
                </c:pt>
                <c:pt idx="153">
                  <c:v>122.639996934</c:v>
                </c:pt>
                <c:pt idx="154">
                  <c:v>120.226663661</c:v>
                </c:pt>
                <c:pt idx="155">
                  <c:v>118.453330372</c:v>
                </c:pt>
                <c:pt idx="156">
                  <c:v>115.786663772</c:v>
                </c:pt>
                <c:pt idx="157">
                  <c:v>113.14666383800001</c:v>
                </c:pt>
                <c:pt idx="158">
                  <c:v>110.626663901</c:v>
                </c:pt>
                <c:pt idx="159">
                  <c:v>108.159997296</c:v>
                </c:pt>
                <c:pt idx="160">
                  <c:v>105.719997357</c:v>
                </c:pt>
                <c:pt idx="161">
                  <c:v>103.27999741800001</c:v>
                </c:pt>
                <c:pt idx="162">
                  <c:v>100.81333081300001</c:v>
                </c:pt>
                <c:pt idx="163">
                  <c:v>98.266664210000002</c:v>
                </c:pt>
                <c:pt idx="164">
                  <c:v>95.626664276</c:v>
                </c:pt>
                <c:pt idx="165">
                  <c:v>92.839997678999993</c:v>
                </c:pt>
                <c:pt idx="166">
                  <c:v>89.746664422999999</c:v>
                </c:pt>
                <c:pt idx="167">
                  <c:v>86.333331174999998</c:v>
                </c:pt>
                <c:pt idx="168">
                  <c:v>82.666664600000004</c:v>
                </c:pt>
                <c:pt idx="169">
                  <c:v>78.733331364999998</c:v>
                </c:pt>
                <c:pt idx="170">
                  <c:v>74.599998135000007</c:v>
                </c:pt>
                <c:pt idx="171">
                  <c:v>70.279998243000009</c:v>
                </c:pt>
                <c:pt idx="172">
                  <c:v>65.826665020999997</c:v>
                </c:pt>
                <c:pt idx="173">
                  <c:v>61.359998466</c:v>
                </c:pt>
                <c:pt idx="174">
                  <c:v>56.93333191</c:v>
                </c:pt>
                <c:pt idx="175">
                  <c:v>52.626665351</c:v>
                </c:pt>
                <c:pt idx="176">
                  <c:v>48.466665454999998</c:v>
                </c:pt>
                <c:pt idx="177">
                  <c:v>45.439998864000003</c:v>
                </c:pt>
                <c:pt idx="178">
                  <c:v>53.733331990000003</c:v>
                </c:pt>
                <c:pt idx="179">
                  <c:v>80.346664658000009</c:v>
                </c:pt>
                <c:pt idx="180">
                  <c:v>103.47999741300001</c:v>
                </c:pt>
                <c:pt idx="181">
                  <c:v>116.78666374699999</c:v>
                </c:pt>
                <c:pt idx="182">
                  <c:v>124.773330214</c:v>
                </c:pt>
                <c:pt idx="183">
                  <c:v>130.37333007399999</c:v>
                </c:pt>
                <c:pt idx="184">
                  <c:v>135.06666329000001</c:v>
                </c:pt>
                <c:pt idx="185">
                  <c:v>139.37332984899999</c:v>
                </c:pt>
                <c:pt idx="186">
                  <c:v>143.493329746</c:v>
                </c:pt>
                <c:pt idx="187">
                  <c:v>147.53332964500001</c:v>
                </c:pt>
                <c:pt idx="188">
                  <c:v>151.46666288</c:v>
                </c:pt>
                <c:pt idx="189">
                  <c:v>152.37332952399998</c:v>
                </c:pt>
                <c:pt idx="190">
                  <c:v>146.11999634700001</c:v>
                </c:pt>
                <c:pt idx="191">
                  <c:v>140.146663163</c:v>
                </c:pt>
                <c:pt idx="192">
                  <c:v>135.54666327800001</c:v>
                </c:pt>
                <c:pt idx="193">
                  <c:v>131.51999671199999</c:v>
                </c:pt>
                <c:pt idx="194">
                  <c:v>127.86666347000001</c:v>
                </c:pt>
                <c:pt idx="195">
                  <c:v>124.479996888</c:v>
                </c:pt>
                <c:pt idx="196">
                  <c:v>121.23999696899999</c:v>
                </c:pt>
                <c:pt idx="197">
                  <c:v>118.093330381</c:v>
                </c:pt>
                <c:pt idx="198">
                  <c:v>115.053330457</c:v>
                </c:pt>
                <c:pt idx="199">
                  <c:v>112.106663864</c:v>
                </c:pt>
                <c:pt idx="200">
                  <c:v>109.213330603</c:v>
                </c:pt>
                <c:pt idx="201">
                  <c:v>106.45333067199999</c:v>
                </c:pt>
                <c:pt idx="202">
                  <c:v>103.799997405</c:v>
                </c:pt>
                <c:pt idx="203">
                  <c:v>101.02666414100001</c:v>
                </c:pt>
                <c:pt idx="204">
                  <c:v>98.133330880000003</c:v>
                </c:pt>
                <c:pt idx="205">
                  <c:v>95.119997622</c:v>
                </c:pt>
                <c:pt idx="206">
                  <c:v>91.919997702000003</c:v>
                </c:pt>
                <c:pt idx="207">
                  <c:v>88.479997788000006</c:v>
                </c:pt>
                <c:pt idx="208">
                  <c:v>84.773331213999995</c:v>
                </c:pt>
                <c:pt idx="209">
                  <c:v>80.799997980000001</c:v>
                </c:pt>
                <c:pt idx="210">
                  <c:v>76.58666475199999</c:v>
                </c:pt>
                <c:pt idx="211">
                  <c:v>72.146664862999998</c:v>
                </c:pt>
                <c:pt idx="212">
                  <c:v>67.573331644000007</c:v>
                </c:pt>
                <c:pt idx="213">
                  <c:v>62.906665094000005</c:v>
                </c:pt>
                <c:pt idx="214">
                  <c:v>58.253331876999994</c:v>
                </c:pt>
                <c:pt idx="215">
                  <c:v>53.666665324999997</c:v>
                </c:pt>
                <c:pt idx="216">
                  <c:v>49.239998769000003</c:v>
                </c:pt>
                <c:pt idx="217">
                  <c:v>44.986665541999997</c:v>
                </c:pt>
                <c:pt idx="218">
                  <c:v>40.959998976000001</c:v>
                </c:pt>
                <c:pt idx="219">
                  <c:v>37.199999069999997</c:v>
                </c:pt>
                <c:pt idx="220">
                  <c:v>33.733332490000002</c:v>
                </c:pt>
                <c:pt idx="221">
                  <c:v>30.533332569999999</c:v>
                </c:pt>
                <c:pt idx="222">
                  <c:v>27.599999310000001</c:v>
                </c:pt>
                <c:pt idx="223">
                  <c:v>24.933332709999998</c:v>
                </c:pt>
                <c:pt idx="224">
                  <c:v>22.479999438</c:v>
                </c:pt>
                <c:pt idx="225">
                  <c:v>20.253332827000001</c:v>
                </c:pt>
                <c:pt idx="226">
                  <c:v>18.253332877000002</c:v>
                </c:pt>
                <c:pt idx="227">
                  <c:v>16.426666256000001</c:v>
                </c:pt>
                <c:pt idx="228">
                  <c:v>14.786666297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9B-470F-BA40-1CE1E9A38F75}"/>
            </c:ext>
          </c:extLst>
        </c:ser>
        <c:ser>
          <c:idx val="4"/>
          <c:order val="4"/>
          <c:tx>
            <c:v>10V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pump!$BN$4:$BN$246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pump!$BX$4:$BX$246</c:f>
              <c:numCache>
                <c:formatCode>General</c:formatCode>
                <c:ptCount val="243"/>
                <c:pt idx="0">
                  <c:v>5.8666665199999999</c:v>
                </c:pt>
                <c:pt idx="1">
                  <c:v>38.533332369999997</c:v>
                </c:pt>
                <c:pt idx="2">
                  <c:v>85.133331205000005</c:v>
                </c:pt>
                <c:pt idx="3">
                  <c:v>109.639997259</c:v>
                </c:pt>
                <c:pt idx="4">
                  <c:v>107.693330641</c:v>
                </c:pt>
                <c:pt idx="5">
                  <c:v>101.31999746699999</c:v>
                </c:pt>
                <c:pt idx="6">
                  <c:v>96.306664258999987</c:v>
                </c:pt>
                <c:pt idx="7">
                  <c:v>91.586664376999991</c:v>
                </c:pt>
                <c:pt idx="8">
                  <c:v>86.959997826000006</c:v>
                </c:pt>
                <c:pt idx="9">
                  <c:v>82.333331275000006</c:v>
                </c:pt>
                <c:pt idx="10">
                  <c:v>77.706664723999992</c:v>
                </c:pt>
                <c:pt idx="11">
                  <c:v>73.093331506000013</c:v>
                </c:pt>
                <c:pt idx="12">
                  <c:v>68.519998286999993</c:v>
                </c:pt>
                <c:pt idx="13">
                  <c:v>63.986665066999997</c:v>
                </c:pt>
                <c:pt idx="14">
                  <c:v>60.626665150999997</c:v>
                </c:pt>
                <c:pt idx="15">
                  <c:v>70.07999824800001</c:v>
                </c:pt>
                <c:pt idx="16">
                  <c:v>97.293330901000004</c:v>
                </c:pt>
                <c:pt idx="17">
                  <c:v>120.626663651</c:v>
                </c:pt>
                <c:pt idx="18">
                  <c:v>133.146663338</c:v>
                </c:pt>
                <c:pt idx="19">
                  <c:v>140.813329813</c:v>
                </c:pt>
                <c:pt idx="20">
                  <c:v>147.30666298399998</c:v>
                </c:pt>
                <c:pt idx="21">
                  <c:v>153.759996156</c:v>
                </c:pt>
                <c:pt idx="22">
                  <c:v>160.30666265899998</c:v>
                </c:pt>
                <c:pt idx="23">
                  <c:v>166.93332916</c:v>
                </c:pt>
                <c:pt idx="24">
                  <c:v>173.61332899299998</c:v>
                </c:pt>
                <c:pt idx="25">
                  <c:v>180.279995493</c:v>
                </c:pt>
                <c:pt idx="26">
                  <c:v>186.74666199799998</c:v>
                </c:pt>
                <c:pt idx="27">
                  <c:v>188.59999528500001</c:v>
                </c:pt>
                <c:pt idx="28">
                  <c:v>181.159995471</c:v>
                </c:pt>
                <c:pt idx="29">
                  <c:v>173.59999565999999</c:v>
                </c:pt>
                <c:pt idx="30">
                  <c:v>167.49332914600001</c:v>
                </c:pt>
                <c:pt idx="31">
                  <c:v>162.13332928</c:v>
                </c:pt>
                <c:pt idx="32">
                  <c:v>157.34666273299999</c:v>
                </c:pt>
                <c:pt idx="33">
                  <c:v>153.013329508</c:v>
                </c:pt>
                <c:pt idx="34">
                  <c:v>149.02666294100001</c:v>
                </c:pt>
                <c:pt idx="35">
                  <c:v>145.33332970000001</c:v>
                </c:pt>
                <c:pt idx="36">
                  <c:v>141.906663119</c:v>
                </c:pt>
                <c:pt idx="37">
                  <c:v>138.733329865</c:v>
                </c:pt>
                <c:pt idx="38">
                  <c:v>136.13332993</c:v>
                </c:pt>
                <c:pt idx="39">
                  <c:v>137.19999657</c:v>
                </c:pt>
                <c:pt idx="40">
                  <c:v>143.58666307700003</c:v>
                </c:pt>
                <c:pt idx="41">
                  <c:v>153.21332950299998</c:v>
                </c:pt>
                <c:pt idx="42">
                  <c:v>162.86666259500001</c:v>
                </c:pt>
                <c:pt idx="43">
                  <c:v>171.66666237499999</c:v>
                </c:pt>
                <c:pt idx="44">
                  <c:v>179.82666217100001</c:v>
                </c:pt>
                <c:pt idx="45">
                  <c:v>187.45332864700001</c:v>
                </c:pt>
                <c:pt idx="46">
                  <c:v>194.38666180700002</c:v>
                </c:pt>
                <c:pt idx="47">
                  <c:v>200.38666165700002</c:v>
                </c:pt>
                <c:pt idx="48">
                  <c:v>205.25332820200001</c:v>
                </c:pt>
                <c:pt idx="49">
                  <c:v>209.013328108</c:v>
                </c:pt>
                <c:pt idx="50">
                  <c:v>209.359994766</c:v>
                </c:pt>
                <c:pt idx="51">
                  <c:v>201.35999496600002</c:v>
                </c:pt>
                <c:pt idx="52">
                  <c:v>191.87999520299999</c:v>
                </c:pt>
                <c:pt idx="53">
                  <c:v>184.14666206299998</c:v>
                </c:pt>
                <c:pt idx="54">
                  <c:v>177.39999556500001</c:v>
                </c:pt>
                <c:pt idx="55">
                  <c:v>171.38666238200003</c:v>
                </c:pt>
                <c:pt idx="56">
                  <c:v>165.97332918399999</c:v>
                </c:pt>
                <c:pt idx="57">
                  <c:v>161.03999597399999</c:v>
                </c:pt>
                <c:pt idx="58">
                  <c:v>156.55999608600001</c:v>
                </c:pt>
                <c:pt idx="59">
                  <c:v>152.439996189</c:v>
                </c:pt>
                <c:pt idx="60">
                  <c:v>148.65332961700003</c:v>
                </c:pt>
                <c:pt idx="61">
                  <c:v>145.173329704</c:v>
                </c:pt>
                <c:pt idx="62">
                  <c:v>142.41332977299999</c:v>
                </c:pt>
                <c:pt idx="63">
                  <c:v>139.55999651100001</c:v>
                </c:pt>
                <c:pt idx="64">
                  <c:v>136.51999658700001</c:v>
                </c:pt>
                <c:pt idx="65">
                  <c:v>133.69332999100001</c:v>
                </c:pt>
                <c:pt idx="66">
                  <c:v>130.99999672499999</c:v>
                </c:pt>
                <c:pt idx="67">
                  <c:v>128.43999678899999</c:v>
                </c:pt>
                <c:pt idx="68">
                  <c:v>126.01333018300001</c:v>
                </c:pt>
                <c:pt idx="69">
                  <c:v>123.666663575</c:v>
                </c:pt>
                <c:pt idx="70">
                  <c:v>121.37333029899999</c:v>
                </c:pt>
                <c:pt idx="71">
                  <c:v>119.146663688</c:v>
                </c:pt>
                <c:pt idx="72">
                  <c:v>117.039997074</c:v>
                </c:pt>
                <c:pt idx="73">
                  <c:v>115.026663791</c:v>
                </c:pt>
                <c:pt idx="74">
                  <c:v>113.053330507</c:v>
                </c:pt>
                <c:pt idx="75">
                  <c:v>111.133330555</c:v>
                </c:pt>
                <c:pt idx="76">
                  <c:v>109.239997269</c:v>
                </c:pt>
                <c:pt idx="77">
                  <c:v>107.346663983</c:v>
                </c:pt>
                <c:pt idx="78">
                  <c:v>105.453330697</c:v>
                </c:pt>
                <c:pt idx="79">
                  <c:v>103.519997412</c:v>
                </c:pt>
                <c:pt idx="80">
                  <c:v>101.55999746100001</c:v>
                </c:pt>
                <c:pt idx="81">
                  <c:v>99.533330844999995</c:v>
                </c:pt>
                <c:pt idx="82">
                  <c:v>97.399997565000007</c:v>
                </c:pt>
                <c:pt idx="83">
                  <c:v>95.159997621000002</c:v>
                </c:pt>
                <c:pt idx="84">
                  <c:v>92.866664345000004</c:v>
                </c:pt>
                <c:pt idx="85">
                  <c:v>92.959997676</c:v>
                </c:pt>
                <c:pt idx="86">
                  <c:v>100.66666415</c:v>
                </c:pt>
                <c:pt idx="87">
                  <c:v>115.23999711899999</c:v>
                </c:pt>
                <c:pt idx="88">
                  <c:v>127.773330139</c:v>
                </c:pt>
                <c:pt idx="89">
                  <c:v>136.439996589</c:v>
                </c:pt>
                <c:pt idx="90">
                  <c:v>143.61332974299998</c:v>
                </c:pt>
                <c:pt idx="91">
                  <c:v>150.413329573</c:v>
                </c:pt>
                <c:pt idx="92">
                  <c:v>157.11999607200002</c:v>
                </c:pt>
                <c:pt idx="93">
                  <c:v>163.74666257299998</c:v>
                </c:pt>
                <c:pt idx="94">
                  <c:v>170.319995742</c:v>
                </c:pt>
                <c:pt idx="95">
                  <c:v>176.81332891299999</c:v>
                </c:pt>
                <c:pt idx="96">
                  <c:v>183.19999541999999</c:v>
                </c:pt>
                <c:pt idx="97">
                  <c:v>188.426661956</c:v>
                </c:pt>
                <c:pt idx="98">
                  <c:v>185.71999535700002</c:v>
                </c:pt>
                <c:pt idx="99">
                  <c:v>177.30666223399999</c:v>
                </c:pt>
                <c:pt idx="100">
                  <c:v>170.38666240700002</c:v>
                </c:pt>
                <c:pt idx="101">
                  <c:v>164.47999588799999</c:v>
                </c:pt>
                <c:pt idx="102">
                  <c:v>159.226662686</c:v>
                </c:pt>
                <c:pt idx="103">
                  <c:v>154.47999613799999</c:v>
                </c:pt>
                <c:pt idx="104">
                  <c:v>150.17332957899998</c:v>
                </c:pt>
                <c:pt idx="105">
                  <c:v>146.19999634499999</c:v>
                </c:pt>
                <c:pt idx="106">
                  <c:v>142.519996437</c:v>
                </c:pt>
                <c:pt idx="107">
                  <c:v>139.133329855</c:v>
                </c:pt>
                <c:pt idx="108">
                  <c:v>135.97332993399999</c:v>
                </c:pt>
                <c:pt idx="109">
                  <c:v>134.679996633</c:v>
                </c:pt>
                <c:pt idx="110">
                  <c:v>139.25332985200001</c:v>
                </c:pt>
                <c:pt idx="111">
                  <c:v>147.99999629999999</c:v>
                </c:pt>
                <c:pt idx="112">
                  <c:v>157.39999606500001</c:v>
                </c:pt>
                <c:pt idx="113">
                  <c:v>166.02666251600002</c:v>
                </c:pt>
                <c:pt idx="114">
                  <c:v>173.95999565100001</c:v>
                </c:pt>
                <c:pt idx="115">
                  <c:v>181.39999546499999</c:v>
                </c:pt>
                <c:pt idx="116">
                  <c:v>188.386661957</c:v>
                </c:pt>
                <c:pt idx="117">
                  <c:v>194.85332846200001</c:v>
                </c:pt>
                <c:pt idx="118">
                  <c:v>200.53332832000001</c:v>
                </c:pt>
                <c:pt idx="119">
                  <c:v>205.31999486700002</c:v>
                </c:pt>
                <c:pt idx="120">
                  <c:v>209.093328106</c:v>
                </c:pt>
                <c:pt idx="121">
                  <c:v>211.05332805700002</c:v>
                </c:pt>
                <c:pt idx="122">
                  <c:v>205.75999485600002</c:v>
                </c:pt>
                <c:pt idx="123">
                  <c:v>195.399995115</c:v>
                </c:pt>
                <c:pt idx="124">
                  <c:v>186.54666200299999</c:v>
                </c:pt>
                <c:pt idx="125">
                  <c:v>178.97332885899999</c:v>
                </c:pt>
                <c:pt idx="126">
                  <c:v>172.29332902600001</c:v>
                </c:pt>
                <c:pt idx="127">
                  <c:v>166.37332917399999</c:v>
                </c:pt>
                <c:pt idx="128">
                  <c:v>161.05332930700001</c:v>
                </c:pt>
                <c:pt idx="129">
                  <c:v>156.26666276</c:v>
                </c:pt>
                <c:pt idx="130">
                  <c:v>151.91999620200002</c:v>
                </c:pt>
                <c:pt idx="131">
                  <c:v>147.95999630100002</c:v>
                </c:pt>
                <c:pt idx="132">
                  <c:v>144.30666305899999</c:v>
                </c:pt>
                <c:pt idx="133">
                  <c:v>141.27999646799998</c:v>
                </c:pt>
                <c:pt idx="134">
                  <c:v>138.599996535</c:v>
                </c:pt>
                <c:pt idx="135">
                  <c:v>135.559996611</c:v>
                </c:pt>
                <c:pt idx="136">
                  <c:v>132.693330016</c:v>
                </c:pt>
                <c:pt idx="137">
                  <c:v>130.013330083</c:v>
                </c:pt>
                <c:pt idx="138">
                  <c:v>127.479996813</c:v>
                </c:pt>
                <c:pt idx="139">
                  <c:v>125.093330206</c:v>
                </c:pt>
                <c:pt idx="140">
                  <c:v>122.79999693000001</c:v>
                </c:pt>
                <c:pt idx="141">
                  <c:v>120.57333031899999</c:v>
                </c:pt>
                <c:pt idx="142">
                  <c:v>118.41333037300001</c:v>
                </c:pt>
                <c:pt idx="143">
                  <c:v>116.30666375899999</c:v>
                </c:pt>
                <c:pt idx="144">
                  <c:v>114.279997143</c:v>
                </c:pt>
                <c:pt idx="145">
                  <c:v>112.346663858</c:v>
                </c:pt>
                <c:pt idx="146">
                  <c:v>110.466663905</c:v>
                </c:pt>
                <c:pt idx="147">
                  <c:v>108.65333061699999</c:v>
                </c:pt>
                <c:pt idx="148">
                  <c:v>106.82666399600001</c:v>
                </c:pt>
                <c:pt idx="149">
                  <c:v>104.99999737500001</c:v>
                </c:pt>
                <c:pt idx="150">
                  <c:v>103.17333075399999</c:v>
                </c:pt>
                <c:pt idx="151">
                  <c:v>101.29333080100001</c:v>
                </c:pt>
                <c:pt idx="152">
                  <c:v>99.359997516000007</c:v>
                </c:pt>
                <c:pt idx="153">
                  <c:v>97.346664232999998</c:v>
                </c:pt>
                <c:pt idx="154">
                  <c:v>95.239997618999993</c:v>
                </c:pt>
                <c:pt idx="155">
                  <c:v>93.026664341</c:v>
                </c:pt>
                <c:pt idx="156">
                  <c:v>91.693331041000008</c:v>
                </c:pt>
                <c:pt idx="157">
                  <c:v>95.919997601999995</c:v>
                </c:pt>
                <c:pt idx="158">
                  <c:v>108.519997287</c:v>
                </c:pt>
                <c:pt idx="159">
                  <c:v>122.15999694600001</c:v>
                </c:pt>
                <c:pt idx="160">
                  <c:v>131.45333004700001</c:v>
                </c:pt>
                <c:pt idx="161">
                  <c:v>138.53332986999999</c:v>
                </c:pt>
                <c:pt idx="162">
                  <c:v>144.91999637700002</c:v>
                </c:pt>
                <c:pt idx="163">
                  <c:v>151.09332955600001</c:v>
                </c:pt>
                <c:pt idx="164">
                  <c:v>157.106662739</c:v>
                </c:pt>
                <c:pt idx="165">
                  <c:v>162.98666259200002</c:v>
                </c:pt>
                <c:pt idx="166">
                  <c:v>168.77332911400001</c:v>
                </c:pt>
                <c:pt idx="167">
                  <c:v>174.30666230899999</c:v>
                </c:pt>
                <c:pt idx="168">
                  <c:v>175.62666227600002</c:v>
                </c:pt>
                <c:pt idx="169">
                  <c:v>168.66666244999999</c:v>
                </c:pt>
                <c:pt idx="170">
                  <c:v>161.53332929499999</c:v>
                </c:pt>
                <c:pt idx="171">
                  <c:v>155.77332943899998</c:v>
                </c:pt>
                <c:pt idx="172">
                  <c:v>150.719996232</c:v>
                </c:pt>
                <c:pt idx="173">
                  <c:v>146.17332967900001</c:v>
                </c:pt>
                <c:pt idx="174">
                  <c:v>142.05332978200002</c:v>
                </c:pt>
                <c:pt idx="175">
                  <c:v>138.27999654299998</c:v>
                </c:pt>
                <c:pt idx="176">
                  <c:v>134.79999663000001</c:v>
                </c:pt>
                <c:pt idx="177">
                  <c:v>131.559996711</c:v>
                </c:pt>
                <c:pt idx="178">
                  <c:v>128.57333011899999</c:v>
                </c:pt>
                <c:pt idx="179">
                  <c:v>125.986663517</c:v>
                </c:pt>
                <c:pt idx="180">
                  <c:v>124.066663565</c:v>
                </c:pt>
                <c:pt idx="181">
                  <c:v>121.57333029399999</c:v>
                </c:pt>
                <c:pt idx="182">
                  <c:v>119.079997023</c:v>
                </c:pt>
                <c:pt idx="183">
                  <c:v>116.71999708199999</c:v>
                </c:pt>
                <c:pt idx="184">
                  <c:v>114.466663805</c:v>
                </c:pt>
                <c:pt idx="185">
                  <c:v>112.29333052600001</c:v>
                </c:pt>
                <c:pt idx="186">
                  <c:v>110.186663912</c:v>
                </c:pt>
                <c:pt idx="187">
                  <c:v>108.119997297</c:v>
                </c:pt>
                <c:pt idx="188">
                  <c:v>106.07999734800001</c:v>
                </c:pt>
                <c:pt idx="189">
                  <c:v>104.039997399</c:v>
                </c:pt>
                <c:pt idx="190">
                  <c:v>101.879997453</c:v>
                </c:pt>
                <c:pt idx="191">
                  <c:v>99.719997507000002</c:v>
                </c:pt>
                <c:pt idx="192">
                  <c:v>97.519997562</c:v>
                </c:pt>
                <c:pt idx="193">
                  <c:v>95.173330953999994</c:v>
                </c:pt>
                <c:pt idx="194">
                  <c:v>92.679997682999996</c:v>
                </c:pt>
                <c:pt idx="195">
                  <c:v>89.986664417</c:v>
                </c:pt>
                <c:pt idx="196">
                  <c:v>87.079997822999999</c:v>
                </c:pt>
                <c:pt idx="197">
                  <c:v>83.999997899999997</c:v>
                </c:pt>
                <c:pt idx="198">
                  <c:v>80.693331316000013</c:v>
                </c:pt>
                <c:pt idx="199">
                  <c:v>77.133331405000007</c:v>
                </c:pt>
                <c:pt idx="200">
                  <c:v>73.319998166999994</c:v>
                </c:pt>
                <c:pt idx="201">
                  <c:v>69.279998268</c:v>
                </c:pt>
                <c:pt idx="202">
                  <c:v>65.079998373000009</c:v>
                </c:pt>
                <c:pt idx="203">
                  <c:v>60.799998479999999</c:v>
                </c:pt>
                <c:pt idx="204">
                  <c:v>56.506665254000005</c:v>
                </c:pt>
                <c:pt idx="205">
                  <c:v>52.253332026999999</c:v>
                </c:pt>
                <c:pt idx="206">
                  <c:v>48.119998796999994</c:v>
                </c:pt>
                <c:pt idx="207">
                  <c:v>44.159998895999998</c:v>
                </c:pt>
                <c:pt idx="208">
                  <c:v>40.413332323000006</c:v>
                </c:pt>
                <c:pt idx="209">
                  <c:v>36.919999077</c:v>
                </c:pt>
                <c:pt idx="210">
                  <c:v>33.733332490000002</c:v>
                </c:pt>
                <c:pt idx="211">
                  <c:v>30.719999231999999</c:v>
                </c:pt>
                <c:pt idx="212">
                  <c:v>28.079999298000001</c:v>
                </c:pt>
                <c:pt idx="213">
                  <c:v>25.973332684000003</c:v>
                </c:pt>
                <c:pt idx="214">
                  <c:v>23.479999412999998</c:v>
                </c:pt>
                <c:pt idx="215">
                  <c:v>21.439999464000003</c:v>
                </c:pt>
                <c:pt idx="216">
                  <c:v>19.359999515999998</c:v>
                </c:pt>
                <c:pt idx="217">
                  <c:v>17.573332894</c:v>
                </c:pt>
                <c:pt idx="218">
                  <c:v>15.839999603999999</c:v>
                </c:pt>
                <c:pt idx="219">
                  <c:v>14.346666308</c:v>
                </c:pt>
                <c:pt idx="220">
                  <c:v>12.799999679999999</c:v>
                </c:pt>
                <c:pt idx="221">
                  <c:v>11.399999715</c:v>
                </c:pt>
                <c:pt idx="222">
                  <c:v>10.119999747000001</c:v>
                </c:pt>
                <c:pt idx="223">
                  <c:v>8.9466664429999998</c:v>
                </c:pt>
                <c:pt idx="224">
                  <c:v>7.8666664700000002</c:v>
                </c:pt>
                <c:pt idx="225">
                  <c:v>6.8666664949999996</c:v>
                </c:pt>
                <c:pt idx="226">
                  <c:v>5.9466665179999998</c:v>
                </c:pt>
                <c:pt idx="227">
                  <c:v>5.1066665389999999</c:v>
                </c:pt>
                <c:pt idx="228">
                  <c:v>4.3333332249999996</c:v>
                </c:pt>
                <c:pt idx="229">
                  <c:v>3.6266665759999999</c:v>
                </c:pt>
                <c:pt idx="230">
                  <c:v>2.9599999260000001</c:v>
                </c:pt>
                <c:pt idx="231">
                  <c:v>2.1066666139999999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9B-470F-BA40-1CE1E9A38F75}"/>
            </c:ext>
          </c:extLst>
        </c:ser>
        <c:ser>
          <c:idx val="5"/>
          <c:order val="5"/>
          <c:tx>
            <c:v>12V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pump!$BN$4:$BN$246</c:f>
              <c:numCache>
                <c:formatCode>General</c:formatCode>
                <c:ptCount val="2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</c:numCache>
            </c:numRef>
          </c:xVal>
          <c:yVal>
            <c:numRef>
              <c:f>pump!$BZ$4:$BZ$246</c:f>
              <c:numCache>
                <c:formatCode>General</c:formatCode>
                <c:ptCount val="243"/>
                <c:pt idx="0">
                  <c:v>0.61333331799999991</c:v>
                </c:pt>
                <c:pt idx="1">
                  <c:v>13.066666339999999</c:v>
                </c:pt>
                <c:pt idx="2">
                  <c:v>56.919998576999994</c:v>
                </c:pt>
                <c:pt idx="3">
                  <c:v>105.30666403399999</c:v>
                </c:pt>
                <c:pt idx="4">
                  <c:v>130.38666340699999</c:v>
                </c:pt>
                <c:pt idx="5">
                  <c:v>141.11999647200003</c:v>
                </c:pt>
                <c:pt idx="6">
                  <c:v>148.479996288</c:v>
                </c:pt>
                <c:pt idx="7">
                  <c:v>155.693329441</c:v>
                </c:pt>
                <c:pt idx="8">
                  <c:v>163.186662587</c:v>
                </c:pt>
                <c:pt idx="9">
                  <c:v>170.87999572799998</c:v>
                </c:pt>
                <c:pt idx="10">
                  <c:v>178.70666219899999</c:v>
                </c:pt>
                <c:pt idx="11">
                  <c:v>186.50666200399999</c:v>
                </c:pt>
                <c:pt idx="12">
                  <c:v>192.23999519399999</c:v>
                </c:pt>
                <c:pt idx="13">
                  <c:v>188.45332862200002</c:v>
                </c:pt>
                <c:pt idx="14">
                  <c:v>180.186662162</c:v>
                </c:pt>
                <c:pt idx="15">
                  <c:v>173.626662326</c:v>
                </c:pt>
                <c:pt idx="16">
                  <c:v>168.05332913200002</c:v>
                </c:pt>
                <c:pt idx="17">
                  <c:v>163.106662589</c:v>
                </c:pt>
                <c:pt idx="18">
                  <c:v>158.66666269999999</c:v>
                </c:pt>
                <c:pt idx="19">
                  <c:v>154.639996134</c:v>
                </c:pt>
                <c:pt idx="20">
                  <c:v>150.93332956</c:v>
                </c:pt>
                <c:pt idx="21">
                  <c:v>147.506662979</c:v>
                </c:pt>
                <c:pt idx="22">
                  <c:v>144.34666305799999</c:v>
                </c:pt>
                <c:pt idx="23">
                  <c:v>141.41332979799998</c:v>
                </c:pt>
                <c:pt idx="24">
                  <c:v>138.93332985999999</c:v>
                </c:pt>
                <c:pt idx="25">
                  <c:v>136.23999659399999</c:v>
                </c:pt>
                <c:pt idx="26">
                  <c:v>133.50666332899999</c:v>
                </c:pt>
                <c:pt idx="27">
                  <c:v>130.986663392</c:v>
                </c:pt>
                <c:pt idx="28">
                  <c:v>128.58666345200001</c:v>
                </c:pt>
                <c:pt idx="29">
                  <c:v>126.30666350899999</c:v>
                </c:pt>
                <c:pt idx="30">
                  <c:v>124.15999689600001</c:v>
                </c:pt>
                <c:pt idx="31">
                  <c:v>122.106663614</c:v>
                </c:pt>
                <c:pt idx="32">
                  <c:v>120.093330331</c:v>
                </c:pt>
                <c:pt idx="33">
                  <c:v>118.17333037899999</c:v>
                </c:pt>
                <c:pt idx="34">
                  <c:v>116.29333042600001</c:v>
                </c:pt>
                <c:pt idx="35">
                  <c:v>114.439997139</c:v>
                </c:pt>
                <c:pt idx="36">
                  <c:v>112.59999718500001</c:v>
                </c:pt>
                <c:pt idx="37">
                  <c:v>110.853330562</c:v>
                </c:pt>
                <c:pt idx="38">
                  <c:v>109.11999727199999</c:v>
                </c:pt>
                <c:pt idx="39">
                  <c:v>107.413330648</c:v>
                </c:pt>
                <c:pt idx="40">
                  <c:v>105.70666402399999</c:v>
                </c:pt>
                <c:pt idx="41">
                  <c:v>103.97333073399999</c:v>
                </c:pt>
                <c:pt idx="42">
                  <c:v>102.22666411100001</c:v>
                </c:pt>
                <c:pt idx="43">
                  <c:v>100.426664156</c:v>
                </c:pt>
                <c:pt idx="44">
                  <c:v>98.573330868999989</c:v>
                </c:pt>
                <c:pt idx="45">
                  <c:v>96.653330916999991</c:v>
                </c:pt>
                <c:pt idx="46">
                  <c:v>94.639997633999997</c:v>
                </c:pt>
                <c:pt idx="47">
                  <c:v>94.186664311999991</c:v>
                </c:pt>
                <c:pt idx="48">
                  <c:v>102.306664109</c:v>
                </c:pt>
                <c:pt idx="49">
                  <c:v>117.559997061</c:v>
                </c:pt>
                <c:pt idx="50">
                  <c:v>130.813330063</c:v>
                </c:pt>
                <c:pt idx="51">
                  <c:v>141.26666313499999</c:v>
                </c:pt>
                <c:pt idx="52">
                  <c:v>150.06666291499999</c:v>
                </c:pt>
                <c:pt idx="53">
                  <c:v>158.426662706</c:v>
                </c:pt>
                <c:pt idx="54">
                  <c:v>166.706662499</c:v>
                </c:pt>
                <c:pt idx="55">
                  <c:v>174.85332896200001</c:v>
                </c:pt>
                <c:pt idx="56">
                  <c:v>182.85332876200002</c:v>
                </c:pt>
                <c:pt idx="57">
                  <c:v>190.546661903</c:v>
                </c:pt>
                <c:pt idx="58">
                  <c:v>197.14666173799998</c:v>
                </c:pt>
                <c:pt idx="59">
                  <c:v>196.77332841399999</c:v>
                </c:pt>
                <c:pt idx="60">
                  <c:v>187.82666197099999</c:v>
                </c:pt>
                <c:pt idx="61">
                  <c:v>179.81332883799999</c:v>
                </c:pt>
                <c:pt idx="62">
                  <c:v>173.15999567100002</c:v>
                </c:pt>
                <c:pt idx="63">
                  <c:v>167.33332915</c:v>
                </c:pt>
                <c:pt idx="64">
                  <c:v>162.10666261399999</c:v>
                </c:pt>
                <c:pt idx="65">
                  <c:v>157.42666273099999</c:v>
                </c:pt>
                <c:pt idx="66">
                  <c:v>153.146662838</c:v>
                </c:pt>
                <c:pt idx="67">
                  <c:v>149.21332960299998</c:v>
                </c:pt>
                <c:pt idx="68">
                  <c:v>145.63999635899998</c:v>
                </c:pt>
                <c:pt idx="69">
                  <c:v>142.37332977399998</c:v>
                </c:pt>
                <c:pt idx="70">
                  <c:v>140.106663164</c:v>
                </c:pt>
                <c:pt idx="71">
                  <c:v>141.85332978700001</c:v>
                </c:pt>
                <c:pt idx="72">
                  <c:v>148.45332962200001</c:v>
                </c:pt>
                <c:pt idx="73">
                  <c:v>157.51999606200002</c:v>
                </c:pt>
                <c:pt idx="74">
                  <c:v>166.67999583299999</c:v>
                </c:pt>
                <c:pt idx="75">
                  <c:v>175.71999560700002</c:v>
                </c:pt>
                <c:pt idx="76">
                  <c:v>184.466662055</c:v>
                </c:pt>
                <c:pt idx="77">
                  <c:v>192.58666185200002</c:v>
                </c:pt>
                <c:pt idx="78">
                  <c:v>199.78666167200001</c:v>
                </c:pt>
                <c:pt idx="79">
                  <c:v>205.653328192</c:v>
                </c:pt>
                <c:pt idx="80">
                  <c:v>210.03999474899999</c:v>
                </c:pt>
                <c:pt idx="81">
                  <c:v>212.93332801</c:v>
                </c:pt>
                <c:pt idx="82">
                  <c:v>210.61332806799999</c:v>
                </c:pt>
                <c:pt idx="83">
                  <c:v>200.99999497499999</c:v>
                </c:pt>
                <c:pt idx="84">
                  <c:v>192.13332853</c:v>
                </c:pt>
                <c:pt idx="85">
                  <c:v>184.74666204799999</c:v>
                </c:pt>
                <c:pt idx="86">
                  <c:v>178.22666221100002</c:v>
                </c:pt>
                <c:pt idx="87">
                  <c:v>172.39999569</c:v>
                </c:pt>
                <c:pt idx="88">
                  <c:v>167.11999582200002</c:v>
                </c:pt>
                <c:pt idx="89">
                  <c:v>162.29332927600001</c:v>
                </c:pt>
                <c:pt idx="90">
                  <c:v>157.83999605399998</c:v>
                </c:pt>
                <c:pt idx="91">
                  <c:v>153.73332948999999</c:v>
                </c:pt>
                <c:pt idx="92">
                  <c:v>149.933329585</c:v>
                </c:pt>
                <c:pt idx="93">
                  <c:v>146.706662999</c:v>
                </c:pt>
                <c:pt idx="94">
                  <c:v>144.66666305000001</c:v>
                </c:pt>
                <c:pt idx="95">
                  <c:v>141.65332979200002</c:v>
                </c:pt>
                <c:pt idx="96">
                  <c:v>138.51999653700003</c:v>
                </c:pt>
                <c:pt idx="97">
                  <c:v>135.59999661000001</c:v>
                </c:pt>
                <c:pt idx="98">
                  <c:v>132.90666334399998</c:v>
                </c:pt>
                <c:pt idx="99">
                  <c:v>130.453330072</c:v>
                </c:pt>
                <c:pt idx="100">
                  <c:v>128.09333013100002</c:v>
                </c:pt>
                <c:pt idx="101">
                  <c:v>125.86666352</c:v>
                </c:pt>
                <c:pt idx="102">
                  <c:v>123.719996907</c:v>
                </c:pt>
                <c:pt idx="103">
                  <c:v>121.666663625</c:v>
                </c:pt>
                <c:pt idx="104">
                  <c:v>119.706663674</c:v>
                </c:pt>
                <c:pt idx="105">
                  <c:v>117.813330388</c:v>
                </c:pt>
                <c:pt idx="106">
                  <c:v>115.97333043399999</c:v>
                </c:pt>
                <c:pt idx="107">
                  <c:v>114.18666381199999</c:v>
                </c:pt>
                <c:pt idx="108">
                  <c:v>112.426663856</c:v>
                </c:pt>
                <c:pt idx="109">
                  <c:v>110.67999723300001</c:v>
                </c:pt>
                <c:pt idx="110">
                  <c:v>108.97333060899999</c:v>
                </c:pt>
                <c:pt idx="111">
                  <c:v>107.279997318</c:v>
                </c:pt>
                <c:pt idx="112">
                  <c:v>105.626664026</c:v>
                </c:pt>
                <c:pt idx="113">
                  <c:v>103.95999740100001</c:v>
                </c:pt>
                <c:pt idx="114">
                  <c:v>102.293330776</c:v>
                </c:pt>
                <c:pt idx="115">
                  <c:v>100.61333081800001</c:v>
                </c:pt>
                <c:pt idx="116">
                  <c:v>98.879997528000004</c:v>
                </c:pt>
                <c:pt idx="117">
                  <c:v>97.106664238999997</c:v>
                </c:pt>
                <c:pt idx="118">
                  <c:v>95.213330952999996</c:v>
                </c:pt>
                <c:pt idx="119">
                  <c:v>93.186664336999996</c:v>
                </c:pt>
                <c:pt idx="120">
                  <c:v>91.06666439</c:v>
                </c:pt>
                <c:pt idx="121">
                  <c:v>88.799997779999998</c:v>
                </c:pt>
                <c:pt idx="122">
                  <c:v>86.333331174999998</c:v>
                </c:pt>
                <c:pt idx="123">
                  <c:v>83.666664574999999</c:v>
                </c:pt>
                <c:pt idx="124">
                  <c:v>80.759997981000012</c:v>
                </c:pt>
                <c:pt idx="125">
                  <c:v>77.533331395000005</c:v>
                </c:pt>
                <c:pt idx="126">
                  <c:v>74.106664813999998</c:v>
                </c:pt>
                <c:pt idx="127">
                  <c:v>70.439998238999991</c:v>
                </c:pt>
                <c:pt idx="128">
                  <c:v>66.533331669999995</c:v>
                </c:pt>
                <c:pt idx="129">
                  <c:v>62.626665101</c:v>
                </c:pt>
                <c:pt idx="130">
                  <c:v>62.733331765000003</c:v>
                </c:pt>
                <c:pt idx="131">
                  <c:v>80.093331331000002</c:v>
                </c:pt>
                <c:pt idx="132">
                  <c:v>107.359997316</c:v>
                </c:pt>
                <c:pt idx="133">
                  <c:v>126.093330181</c:v>
                </c:pt>
                <c:pt idx="134">
                  <c:v>136.46666325499999</c:v>
                </c:pt>
                <c:pt idx="135">
                  <c:v>143.78666307200001</c:v>
                </c:pt>
                <c:pt idx="136">
                  <c:v>144.83999637899998</c:v>
                </c:pt>
                <c:pt idx="137">
                  <c:v>137.42666323099999</c:v>
                </c:pt>
                <c:pt idx="138">
                  <c:v>132.23999669399998</c:v>
                </c:pt>
                <c:pt idx="139">
                  <c:v>128.639996784</c:v>
                </c:pt>
                <c:pt idx="140">
                  <c:v>125.50666352899999</c:v>
                </c:pt>
                <c:pt idx="141">
                  <c:v>122.586663602</c:v>
                </c:pt>
                <c:pt idx="142">
                  <c:v>119.86666366999999</c:v>
                </c:pt>
                <c:pt idx="143">
                  <c:v>117.213330403</c:v>
                </c:pt>
                <c:pt idx="144">
                  <c:v>114.546663803</c:v>
                </c:pt>
                <c:pt idx="145">
                  <c:v>109.29333060100001</c:v>
                </c:pt>
                <c:pt idx="146">
                  <c:v>106.78666399699999</c:v>
                </c:pt>
                <c:pt idx="147">
                  <c:v>107.586663977</c:v>
                </c:pt>
                <c:pt idx="148">
                  <c:v>105.626664026</c:v>
                </c:pt>
                <c:pt idx="149">
                  <c:v>103.47999741300001</c:v>
                </c:pt>
                <c:pt idx="150">
                  <c:v>101.346664133</c:v>
                </c:pt>
                <c:pt idx="151">
                  <c:v>99.173330854</c:v>
                </c:pt>
                <c:pt idx="152">
                  <c:v>96.946664243000001</c:v>
                </c:pt>
                <c:pt idx="153">
                  <c:v>94.639997633999997</c:v>
                </c:pt>
                <c:pt idx="154">
                  <c:v>92.199997694999993</c:v>
                </c:pt>
                <c:pt idx="155">
                  <c:v>89.613331092999999</c:v>
                </c:pt>
                <c:pt idx="156">
                  <c:v>86.813331163000001</c:v>
                </c:pt>
                <c:pt idx="157">
                  <c:v>83.786664571999992</c:v>
                </c:pt>
                <c:pt idx="158">
                  <c:v>80.506664653999991</c:v>
                </c:pt>
                <c:pt idx="159">
                  <c:v>76.986664742000002</c:v>
                </c:pt>
                <c:pt idx="160">
                  <c:v>73.226664836000012</c:v>
                </c:pt>
                <c:pt idx="161">
                  <c:v>69.266664934999994</c:v>
                </c:pt>
                <c:pt idx="162">
                  <c:v>65.173331704000006</c:v>
                </c:pt>
                <c:pt idx="163">
                  <c:v>61.026665140999995</c:v>
                </c:pt>
                <c:pt idx="164">
                  <c:v>56.919998576999994</c:v>
                </c:pt>
                <c:pt idx="165">
                  <c:v>52.919998676999995</c:v>
                </c:pt>
                <c:pt idx="166">
                  <c:v>48.973332109000005</c:v>
                </c:pt>
                <c:pt idx="167">
                  <c:v>45.173332204000005</c:v>
                </c:pt>
                <c:pt idx="168">
                  <c:v>41.533332295000001</c:v>
                </c:pt>
                <c:pt idx="169">
                  <c:v>38.106665714000002</c:v>
                </c:pt>
                <c:pt idx="170">
                  <c:v>34.893332461</c:v>
                </c:pt>
                <c:pt idx="171">
                  <c:v>31.919999202</c:v>
                </c:pt>
                <c:pt idx="172">
                  <c:v>29.146665937999998</c:v>
                </c:pt>
                <c:pt idx="173">
                  <c:v>26.586666002000001</c:v>
                </c:pt>
                <c:pt idx="174">
                  <c:v>24.213332727999997</c:v>
                </c:pt>
                <c:pt idx="175">
                  <c:v>22.039999449</c:v>
                </c:pt>
                <c:pt idx="176">
                  <c:v>20.053332832000002</c:v>
                </c:pt>
                <c:pt idx="177">
                  <c:v>18.199999545000001</c:v>
                </c:pt>
                <c:pt idx="178">
                  <c:v>16.506666253999999</c:v>
                </c:pt>
                <c:pt idx="179">
                  <c:v>14.93333296</c:v>
                </c:pt>
                <c:pt idx="180">
                  <c:v>13.493332996000001</c:v>
                </c:pt>
                <c:pt idx="181">
                  <c:v>12.159999696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9B-470F-BA40-1CE1E9A38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52104"/>
        <c:axId val="700123904"/>
      </c:scatterChart>
      <c:valAx>
        <c:axId val="537352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Counter (9600 Baud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123904"/>
        <c:crosses val="autoZero"/>
        <c:crossBetween val="midCat"/>
      </c:valAx>
      <c:valAx>
        <c:axId val="70012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52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 side of actuator with varying voltage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pump!$AM$4:$AM$146</c:f>
              <c:numCache>
                <c:formatCode>General</c:formatCode>
                <c:ptCount val="1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</c:numCache>
            </c:numRef>
          </c:xVal>
          <c:yVal>
            <c:numRef>
              <c:f>pump!$AO$4:$AO$146</c:f>
              <c:numCache>
                <c:formatCode>General</c:formatCode>
                <c:ptCount val="143"/>
                <c:pt idx="0">
                  <c:v>-16.133332930000002</c:v>
                </c:pt>
                <c:pt idx="1">
                  <c:v>-18.199999545000001</c:v>
                </c:pt>
                <c:pt idx="2">
                  <c:v>-20.186666162000002</c:v>
                </c:pt>
                <c:pt idx="3">
                  <c:v>-22.199999445</c:v>
                </c:pt>
                <c:pt idx="4">
                  <c:v>-24.186666062</c:v>
                </c:pt>
                <c:pt idx="5">
                  <c:v>-22.373332774000001</c:v>
                </c:pt>
                <c:pt idx="6">
                  <c:v>-15.826666271000001</c:v>
                </c:pt>
                <c:pt idx="7">
                  <c:v>-10.279999742999999</c:v>
                </c:pt>
                <c:pt idx="8">
                  <c:v>-5.9333331850000004</c:v>
                </c:pt>
                <c:pt idx="9">
                  <c:v>-1.6533332920000001</c:v>
                </c:pt>
                <c:pt idx="10">
                  <c:v>0.83999997900000001</c:v>
                </c:pt>
                <c:pt idx="11">
                  <c:v>3.9599999009999998</c:v>
                </c:pt>
                <c:pt idx="12">
                  <c:v>5.4799998629999997</c:v>
                </c:pt>
                <c:pt idx="13">
                  <c:v>7.4666664799999998</c:v>
                </c:pt>
                <c:pt idx="14">
                  <c:v>8.5866664520000011</c:v>
                </c:pt>
                <c:pt idx="15">
                  <c:v>9.2266664360000004</c:v>
                </c:pt>
                <c:pt idx="16">
                  <c:v>5.786666522</c:v>
                </c:pt>
                <c:pt idx="17">
                  <c:v>1.3066666340000002</c:v>
                </c:pt>
                <c:pt idx="18">
                  <c:v>-3.1733332540000001</c:v>
                </c:pt>
                <c:pt idx="19">
                  <c:v>-7.013333158</c:v>
                </c:pt>
                <c:pt idx="20">
                  <c:v>-10.306666409</c:v>
                </c:pt>
                <c:pt idx="21">
                  <c:v>-13.119999672000001</c:v>
                </c:pt>
                <c:pt idx="22">
                  <c:v>-15.546666278</c:v>
                </c:pt>
                <c:pt idx="23">
                  <c:v>-17.666666225</c:v>
                </c:pt>
                <c:pt idx="24">
                  <c:v>-19.506666179</c:v>
                </c:pt>
                <c:pt idx="25">
                  <c:v>-21.146666138000001</c:v>
                </c:pt>
                <c:pt idx="26">
                  <c:v>-22.573332769</c:v>
                </c:pt>
                <c:pt idx="27">
                  <c:v>-22.679999432999999</c:v>
                </c:pt>
                <c:pt idx="28">
                  <c:v>-18.506666204000002</c:v>
                </c:pt>
                <c:pt idx="29">
                  <c:v>-13.519999662</c:v>
                </c:pt>
                <c:pt idx="30">
                  <c:v>-8.3066664589999988</c:v>
                </c:pt>
                <c:pt idx="31">
                  <c:v>-4.0399998989999997</c:v>
                </c:pt>
                <c:pt idx="32">
                  <c:v>-0.99999997500000004</c:v>
                </c:pt>
                <c:pt idx="33">
                  <c:v>2.3733332740000002</c:v>
                </c:pt>
                <c:pt idx="34">
                  <c:v>3.9199999019999998</c:v>
                </c:pt>
                <c:pt idx="35">
                  <c:v>6.506666504</c:v>
                </c:pt>
                <c:pt idx="36">
                  <c:v>7.1733331539999998</c:v>
                </c:pt>
                <c:pt idx="37">
                  <c:v>9.1333331050000002</c:v>
                </c:pt>
                <c:pt idx="38">
                  <c:v>9.3466664329999993</c:v>
                </c:pt>
                <c:pt idx="39">
                  <c:v>10.479999738</c:v>
                </c:pt>
                <c:pt idx="40">
                  <c:v>6.0933331810000002</c:v>
                </c:pt>
                <c:pt idx="41">
                  <c:v>0.89333331100000002</c:v>
                </c:pt>
                <c:pt idx="42">
                  <c:v>-3.5466665780000004</c:v>
                </c:pt>
                <c:pt idx="43">
                  <c:v>-7.3466664829999999</c:v>
                </c:pt>
                <c:pt idx="44">
                  <c:v>-10.586666402000001</c:v>
                </c:pt>
                <c:pt idx="45">
                  <c:v>-13.386666332000001</c:v>
                </c:pt>
                <c:pt idx="46">
                  <c:v>-15.786666272000001</c:v>
                </c:pt>
                <c:pt idx="47">
                  <c:v>-17.879999552999998</c:v>
                </c:pt>
                <c:pt idx="48">
                  <c:v>-19.693332841</c:v>
                </c:pt>
                <c:pt idx="49">
                  <c:v>-21.306666134</c:v>
                </c:pt>
                <c:pt idx="50">
                  <c:v>-22.733332765</c:v>
                </c:pt>
                <c:pt idx="51">
                  <c:v>-22.653332767000002</c:v>
                </c:pt>
                <c:pt idx="52">
                  <c:v>-16.906666244</c:v>
                </c:pt>
                <c:pt idx="53">
                  <c:v>-11.559999711</c:v>
                </c:pt>
                <c:pt idx="54">
                  <c:v>-6.4399998389999995</c:v>
                </c:pt>
                <c:pt idx="55">
                  <c:v>-2.6266666009999997</c:v>
                </c:pt>
                <c:pt idx="56">
                  <c:v>0.46666665499999999</c:v>
                </c:pt>
                <c:pt idx="57">
                  <c:v>3.4533332469999998</c:v>
                </c:pt>
                <c:pt idx="58">
                  <c:v>4.9999998750000003</c:v>
                </c:pt>
                <c:pt idx="59">
                  <c:v>7.4266664810000007</c:v>
                </c:pt>
                <c:pt idx="60">
                  <c:v>7.9733331339999998</c:v>
                </c:pt>
                <c:pt idx="61">
                  <c:v>9.8533330870000011</c:v>
                </c:pt>
                <c:pt idx="62">
                  <c:v>7.306666484</c:v>
                </c:pt>
                <c:pt idx="63">
                  <c:v>2.893333261</c:v>
                </c:pt>
                <c:pt idx="64">
                  <c:v>-1.7999999550000001</c:v>
                </c:pt>
                <c:pt idx="65">
                  <c:v>-5.9066665189999998</c:v>
                </c:pt>
                <c:pt idx="66">
                  <c:v>-9.413333097999999</c:v>
                </c:pt>
                <c:pt idx="67">
                  <c:v>-12.413333023</c:v>
                </c:pt>
                <c:pt idx="68">
                  <c:v>-14.986666292000001</c:v>
                </c:pt>
                <c:pt idx="69">
                  <c:v>-17.213332902999998</c:v>
                </c:pt>
                <c:pt idx="70">
                  <c:v>-19.146666187999998</c:v>
                </c:pt>
                <c:pt idx="71">
                  <c:v>-20.826666145999997</c:v>
                </c:pt>
                <c:pt idx="72">
                  <c:v>-22.319999442</c:v>
                </c:pt>
                <c:pt idx="73">
                  <c:v>-23.319999417000002</c:v>
                </c:pt>
                <c:pt idx="74">
                  <c:v>-20.639999484000001</c:v>
                </c:pt>
                <c:pt idx="75">
                  <c:v>-15.813332937999999</c:v>
                </c:pt>
                <c:pt idx="76">
                  <c:v>-10.066666415</c:v>
                </c:pt>
                <c:pt idx="77">
                  <c:v>-5.8666665199999999</c:v>
                </c:pt>
                <c:pt idx="78">
                  <c:v>-1.8133332879999999</c:v>
                </c:pt>
                <c:pt idx="79">
                  <c:v>1.266666635</c:v>
                </c:pt>
                <c:pt idx="80">
                  <c:v>3.5599999109999998</c:v>
                </c:pt>
                <c:pt idx="81">
                  <c:v>6.039999849</c:v>
                </c:pt>
                <c:pt idx="82">
                  <c:v>7.0266664910000003</c:v>
                </c:pt>
                <c:pt idx="83">
                  <c:v>9.1199997719999999</c:v>
                </c:pt>
                <c:pt idx="84">
                  <c:v>9.3333331000000008</c:v>
                </c:pt>
                <c:pt idx="85">
                  <c:v>10.919999727</c:v>
                </c:pt>
                <c:pt idx="86">
                  <c:v>7.3199998170000002</c:v>
                </c:pt>
                <c:pt idx="87">
                  <c:v>1.839999954</c:v>
                </c:pt>
                <c:pt idx="88">
                  <c:v>-2.6533332669999998</c:v>
                </c:pt>
                <c:pt idx="89">
                  <c:v>-6.4266665060000001</c:v>
                </c:pt>
                <c:pt idx="90">
                  <c:v>-9.6799997579999992</c:v>
                </c:pt>
                <c:pt idx="91">
                  <c:v>-12.519999687</c:v>
                </c:pt>
                <c:pt idx="92">
                  <c:v>-14.986666292000001</c:v>
                </c:pt>
                <c:pt idx="93">
                  <c:v>-17.186666237000001</c:v>
                </c:pt>
                <c:pt idx="94">
                  <c:v>-19.213332853000001</c:v>
                </c:pt>
                <c:pt idx="95">
                  <c:v>-21.173332804000001</c:v>
                </c:pt>
                <c:pt idx="96">
                  <c:v>-23.199999420000001</c:v>
                </c:pt>
                <c:pt idx="97">
                  <c:v>-24.839999379000002</c:v>
                </c:pt>
                <c:pt idx="98">
                  <c:v>-21.173332804000001</c:v>
                </c:pt>
                <c:pt idx="99">
                  <c:v>-14.986666292000001</c:v>
                </c:pt>
                <c:pt idx="100">
                  <c:v>-9.3199997670000005</c:v>
                </c:pt>
                <c:pt idx="101">
                  <c:v>-5.2933332010000003</c:v>
                </c:pt>
                <c:pt idx="102">
                  <c:v>-1.1866666370000001</c:v>
                </c:pt>
                <c:pt idx="103">
                  <c:v>1.519999962</c:v>
                </c:pt>
                <c:pt idx="104">
                  <c:v>4.013333233</c:v>
                </c:pt>
                <c:pt idx="105">
                  <c:v>6.1333331800000002</c:v>
                </c:pt>
                <c:pt idx="106">
                  <c:v>7.2799998180000003</c:v>
                </c:pt>
                <c:pt idx="107">
                  <c:v>9.0933331060000011</c:v>
                </c:pt>
                <c:pt idx="108">
                  <c:v>8.3466664579999996</c:v>
                </c:pt>
                <c:pt idx="109">
                  <c:v>4.9333332099999998</c:v>
                </c:pt>
                <c:pt idx="110">
                  <c:v>0.253333327</c:v>
                </c:pt>
                <c:pt idx="111">
                  <c:v>-4.2399998940000003</c:v>
                </c:pt>
                <c:pt idx="112">
                  <c:v>-8.0399997990000003</c:v>
                </c:pt>
                <c:pt idx="113">
                  <c:v>-11.293333051000001</c:v>
                </c:pt>
                <c:pt idx="114">
                  <c:v>-14.093332981</c:v>
                </c:pt>
                <c:pt idx="115">
                  <c:v>-16.479999587999998</c:v>
                </c:pt>
                <c:pt idx="116">
                  <c:v>-18.533332869999999</c:v>
                </c:pt>
                <c:pt idx="117">
                  <c:v>-20.333332824999999</c:v>
                </c:pt>
                <c:pt idx="118">
                  <c:v>-21.919999451999999</c:v>
                </c:pt>
                <c:pt idx="119">
                  <c:v>-23.266666085000001</c:v>
                </c:pt>
                <c:pt idx="120">
                  <c:v>-22.413332773</c:v>
                </c:pt>
                <c:pt idx="121">
                  <c:v>-17.879999552999998</c:v>
                </c:pt>
                <c:pt idx="122">
                  <c:v>-12.426666356</c:v>
                </c:pt>
                <c:pt idx="123">
                  <c:v>-7.7066664739999995</c:v>
                </c:pt>
                <c:pt idx="124">
                  <c:v>-3.1333332550000002</c:v>
                </c:pt>
                <c:pt idx="125">
                  <c:v>-0.43999998899999998</c:v>
                </c:pt>
                <c:pt idx="126">
                  <c:v>2.8533332619999996</c:v>
                </c:pt>
                <c:pt idx="127">
                  <c:v>4.6399998839999999</c:v>
                </c:pt>
                <c:pt idx="128">
                  <c:v>6.6799998330000001</c:v>
                </c:pt>
                <c:pt idx="129">
                  <c:v>8.0533331320000006</c:v>
                </c:pt>
                <c:pt idx="130">
                  <c:v>9.0933331060000011</c:v>
                </c:pt>
                <c:pt idx="131">
                  <c:v>10.319999742</c:v>
                </c:pt>
                <c:pt idx="132">
                  <c:v>9.1999997699999998</c:v>
                </c:pt>
                <c:pt idx="133">
                  <c:v>3.613333243</c:v>
                </c:pt>
                <c:pt idx="134">
                  <c:v>-1.279999968</c:v>
                </c:pt>
                <c:pt idx="135">
                  <c:v>-5.3333332000000002</c:v>
                </c:pt>
                <c:pt idx="136">
                  <c:v>-8.7999997800000003</c:v>
                </c:pt>
                <c:pt idx="137">
                  <c:v>-11.799999704999999</c:v>
                </c:pt>
                <c:pt idx="138">
                  <c:v>-14.413332972999999</c:v>
                </c:pt>
                <c:pt idx="139">
                  <c:v>-16.706666249000001</c:v>
                </c:pt>
                <c:pt idx="140">
                  <c:v>-18.786666197000002</c:v>
                </c:pt>
                <c:pt idx="141">
                  <c:v>-20.746666147999999</c:v>
                </c:pt>
                <c:pt idx="142">
                  <c:v>-22.719999432000002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2-4CFC-8AAE-90D1A87ECB84}"/>
            </c:ext>
          </c:extLst>
        </c:ser>
        <c:ser>
          <c:idx val="1"/>
          <c:order val="1"/>
          <c:tx>
            <c:v>4V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pump!$AM$4:$AM$146</c:f>
              <c:numCache>
                <c:formatCode>General</c:formatCode>
                <c:ptCount val="1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</c:numCache>
            </c:numRef>
          </c:xVal>
          <c:yVal>
            <c:numRef>
              <c:f>pump!$AQ$4:$AQ$146</c:f>
              <c:numCache>
                <c:formatCode>General</c:formatCode>
                <c:ptCount val="143"/>
                <c:pt idx="0">
                  <c:v>-15.159999621000001</c:v>
                </c:pt>
                <c:pt idx="1">
                  <c:v>-21.666666124999999</c:v>
                </c:pt>
                <c:pt idx="2">
                  <c:v>-27.986665967</c:v>
                </c:pt>
                <c:pt idx="3">
                  <c:v>-34.026665815999998</c:v>
                </c:pt>
                <c:pt idx="4">
                  <c:v>-39.719999006999998</c:v>
                </c:pt>
                <c:pt idx="5">
                  <c:v>-44.999998875000003</c:v>
                </c:pt>
                <c:pt idx="6">
                  <c:v>-49.853332086999998</c:v>
                </c:pt>
                <c:pt idx="7">
                  <c:v>-54.293331975999997</c:v>
                </c:pt>
                <c:pt idx="8">
                  <c:v>-57.546665228000002</c:v>
                </c:pt>
                <c:pt idx="9">
                  <c:v>-53.533331994999998</c:v>
                </c:pt>
                <c:pt idx="10">
                  <c:v>-40.733332314999998</c:v>
                </c:pt>
                <c:pt idx="11">
                  <c:v>-28.839999279000001</c:v>
                </c:pt>
                <c:pt idx="12">
                  <c:v>-20.106666164</c:v>
                </c:pt>
                <c:pt idx="13">
                  <c:v>-13.586666327000001</c:v>
                </c:pt>
                <c:pt idx="14">
                  <c:v>-8.6933331159999998</c:v>
                </c:pt>
                <c:pt idx="15">
                  <c:v>-4.9199998769999995</c:v>
                </c:pt>
                <c:pt idx="16">
                  <c:v>-1.933333285</c:v>
                </c:pt>
                <c:pt idx="17">
                  <c:v>0.45333332199999998</c:v>
                </c:pt>
                <c:pt idx="18">
                  <c:v>2.3733332740000002</c:v>
                </c:pt>
                <c:pt idx="19">
                  <c:v>3.9199999019999998</c:v>
                </c:pt>
                <c:pt idx="20">
                  <c:v>5.1466665379999998</c:v>
                </c:pt>
                <c:pt idx="21">
                  <c:v>4.5333332200000003</c:v>
                </c:pt>
                <c:pt idx="22">
                  <c:v>-1.173333304</c:v>
                </c:pt>
                <c:pt idx="23">
                  <c:v>-8.1999997950000001</c:v>
                </c:pt>
                <c:pt idx="24">
                  <c:v>-14.919999627000001</c:v>
                </c:pt>
                <c:pt idx="25">
                  <c:v>-21.426666130999998</c:v>
                </c:pt>
                <c:pt idx="26">
                  <c:v>-27.759999305999997</c:v>
                </c:pt>
                <c:pt idx="27">
                  <c:v>-33.826665820999999</c:v>
                </c:pt>
                <c:pt idx="28">
                  <c:v>-39.546665678000004</c:v>
                </c:pt>
                <c:pt idx="29">
                  <c:v>-44.866665544999996</c:v>
                </c:pt>
                <c:pt idx="30">
                  <c:v>-49.733332089999998</c:v>
                </c:pt>
                <c:pt idx="31">
                  <c:v>-54.186665311999995</c:v>
                </c:pt>
                <c:pt idx="32">
                  <c:v>-58.013331883000006</c:v>
                </c:pt>
                <c:pt idx="33">
                  <c:v>-55.733331939999999</c:v>
                </c:pt>
                <c:pt idx="34">
                  <c:v>-42.706665599000004</c:v>
                </c:pt>
                <c:pt idx="35">
                  <c:v>-30.293332575999997</c:v>
                </c:pt>
                <c:pt idx="36">
                  <c:v>-21.239999469000001</c:v>
                </c:pt>
                <c:pt idx="37">
                  <c:v>-14.53333297</c:v>
                </c:pt>
                <c:pt idx="38">
                  <c:v>-9.5066664289999991</c:v>
                </c:pt>
                <c:pt idx="39">
                  <c:v>-5.6399998589999996</c:v>
                </c:pt>
                <c:pt idx="40">
                  <c:v>-2.6133332680000003</c:v>
                </c:pt>
                <c:pt idx="41">
                  <c:v>-0.19999999499999999</c:v>
                </c:pt>
                <c:pt idx="42">
                  <c:v>1.7466666229999999</c:v>
                </c:pt>
                <c:pt idx="43">
                  <c:v>3.3066665840000002</c:v>
                </c:pt>
                <c:pt idx="44">
                  <c:v>4.4533332219999995</c:v>
                </c:pt>
                <c:pt idx="45">
                  <c:v>3.0266665909999997</c:v>
                </c:pt>
                <c:pt idx="46">
                  <c:v>-3.1733332540000001</c:v>
                </c:pt>
                <c:pt idx="47">
                  <c:v>-10.13333308</c:v>
                </c:pt>
                <c:pt idx="48">
                  <c:v>-16.799999580000001</c:v>
                </c:pt>
                <c:pt idx="49">
                  <c:v>-23.266666085000001</c:v>
                </c:pt>
                <c:pt idx="50">
                  <c:v>-29.546665927999999</c:v>
                </c:pt>
                <c:pt idx="51">
                  <c:v>-35.519999111999994</c:v>
                </c:pt>
                <c:pt idx="52">
                  <c:v>-41.133332305000003</c:v>
                </c:pt>
                <c:pt idx="53">
                  <c:v>-46.333332175000002</c:v>
                </c:pt>
                <c:pt idx="54">
                  <c:v>-51.093332056000001</c:v>
                </c:pt>
                <c:pt idx="55">
                  <c:v>-55.426665280999998</c:v>
                </c:pt>
                <c:pt idx="56">
                  <c:v>-58.666665199999997</c:v>
                </c:pt>
                <c:pt idx="57">
                  <c:v>-53.666665324999997</c:v>
                </c:pt>
                <c:pt idx="58">
                  <c:v>-40.213332328</c:v>
                </c:pt>
                <c:pt idx="59">
                  <c:v>-28.653332617</c:v>
                </c:pt>
                <c:pt idx="60">
                  <c:v>-20.146666162999999</c:v>
                </c:pt>
                <c:pt idx="61">
                  <c:v>-13.853332987</c:v>
                </c:pt>
                <c:pt idx="62">
                  <c:v>-9.0933331060000011</c:v>
                </c:pt>
                <c:pt idx="63">
                  <c:v>-5.4133331980000001</c:v>
                </c:pt>
                <c:pt idx="64">
                  <c:v>-2.5066666040000003</c:v>
                </c:pt>
                <c:pt idx="65">
                  <c:v>-0.18666666199999998</c:v>
                </c:pt>
                <c:pt idx="66">
                  <c:v>1.666666625</c:v>
                </c:pt>
                <c:pt idx="67">
                  <c:v>3.106666589</c:v>
                </c:pt>
                <c:pt idx="68">
                  <c:v>4.1733332289999998</c:v>
                </c:pt>
                <c:pt idx="69">
                  <c:v>3.3466665830000002</c:v>
                </c:pt>
                <c:pt idx="70">
                  <c:v>-1.7999999550000001</c:v>
                </c:pt>
                <c:pt idx="71">
                  <c:v>-8.6799997829999995</c:v>
                </c:pt>
                <c:pt idx="72">
                  <c:v>-15.359999616</c:v>
                </c:pt>
                <c:pt idx="73">
                  <c:v>-21.839999454000001</c:v>
                </c:pt>
                <c:pt idx="74">
                  <c:v>-28.146665963</c:v>
                </c:pt>
                <c:pt idx="75">
                  <c:v>-34.186665811999994</c:v>
                </c:pt>
                <c:pt idx="76">
                  <c:v>-39.893332336</c:v>
                </c:pt>
                <c:pt idx="77">
                  <c:v>-45.186665536999996</c:v>
                </c:pt>
                <c:pt idx="78">
                  <c:v>-50.039998748999999</c:v>
                </c:pt>
                <c:pt idx="79">
                  <c:v>-54.466665304999999</c:v>
                </c:pt>
                <c:pt idx="80">
                  <c:v>-58.093331880999997</c:v>
                </c:pt>
                <c:pt idx="81">
                  <c:v>-55.959998600999995</c:v>
                </c:pt>
                <c:pt idx="82">
                  <c:v>-44.053332231999995</c:v>
                </c:pt>
                <c:pt idx="83">
                  <c:v>-31.573332544000003</c:v>
                </c:pt>
                <c:pt idx="84">
                  <c:v>-22.399999439999998</c:v>
                </c:pt>
                <c:pt idx="85">
                  <c:v>-15.639999609</c:v>
                </c:pt>
                <c:pt idx="86">
                  <c:v>-10.559999736</c:v>
                </c:pt>
                <c:pt idx="87">
                  <c:v>-6.7066664989999998</c:v>
                </c:pt>
                <c:pt idx="88">
                  <c:v>-3.6799999080000001</c:v>
                </c:pt>
                <c:pt idx="89">
                  <c:v>-1.2533333020000001</c:v>
                </c:pt>
                <c:pt idx="90">
                  <c:v>0.67999998299999997</c:v>
                </c:pt>
                <c:pt idx="91">
                  <c:v>2.2133332780000003</c:v>
                </c:pt>
                <c:pt idx="92">
                  <c:v>3.4399999139999999</c:v>
                </c:pt>
                <c:pt idx="93">
                  <c:v>3.4533332469999998</c:v>
                </c:pt>
                <c:pt idx="94">
                  <c:v>-1.3066666340000002</c:v>
                </c:pt>
                <c:pt idx="95">
                  <c:v>-8.2399997939999992</c:v>
                </c:pt>
                <c:pt idx="96">
                  <c:v>-14.93333296</c:v>
                </c:pt>
                <c:pt idx="97">
                  <c:v>-21.453332797000002</c:v>
                </c:pt>
                <c:pt idx="98">
                  <c:v>-27.786665972000002</c:v>
                </c:pt>
                <c:pt idx="99">
                  <c:v>-33.853332487000003</c:v>
                </c:pt>
                <c:pt idx="100">
                  <c:v>-39.573332344000001</c:v>
                </c:pt>
                <c:pt idx="101">
                  <c:v>-44.906665543999999</c:v>
                </c:pt>
                <c:pt idx="102">
                  <c:v>-49.813332088000003</c:v>
                </c:pt>
                <c:pt idx="103">
                  <c:v>-54.279998643000006</c:v>
                </c:pt>
                <c:pt idx="104">
                  <c:v>-58.253331876999994</c:v>
                </c:pt>
                <c:pt idx="105">
                  <c:v>-58.093331880999997</c:v>
                </c:pt>
                <c:pt idx="106">
                  <c:v>-46.573332169000004</c:v>
                </c:pt>
                <c:pt idx="107">
                  <c:v>-33.453332496999998</c:v>
                </c:pt>
                <c:pt idx="108">
                  <c:v>-23.866666070000001</c:v>
                </c:pt>
                <c:pt idx="109">
                  <c:v>-16.799999580000001</c:v>
                </c:pt>
                <c:pt idx="110">
                  <c:v>-11.533333044999999</c:v>
                </c:pt>
                <c:pt idx="111">
                  <c:v>-7.5466664780000006</c:v>
                </c:pt>
                <c:pt idx="112">
                  <c:v>-4.4266665560000007</c:v>
                </c:pt>
                <c:pt idx="113">
                  <c:v>-1.9466666179999998</c:v>
                </c:pt>
                <c:pt idx="114">
                  <c:v>1.3333333000000001E-2</c:v>
                </c:pt>
                <c:pt idx="115">
                  <c:v>1.5599999609999999</c:v>
                </c:pt>
                <c:pt idx="116">
                  <c:v>1.8533332870000001</c:v>
                </c:pt>
                <c:pt idx="117">
                  <c:v>-2.7066665990000001</c:v>
                </c:pt>
                <c:pt idx="118">
                  <c:v>-9.6399997590000002</c:v>
                </c:pt>
                <c:pt idx="119">
                  <c:v>-16.346666257999999</c:v>
                </c:pt>
                <c:pt idx="120">
                  <c:v>-22.866666094999999</c:v>
                </c:pt>
                <c:pt idx="121">
                  <c:v>-29.173332604000002</c:v>
                </c:pt>
                <c:pt idx="122">
                  <c:v>-35.186665786999995</c:v>
                </c:pt>
                <c:pt idx="123">
                  <c:v>-40.839998979000001</c:v>
                </c:pt>
                <c:pt idx="124">
                  <c:v>-46.079998848000002</c:v>
                </c:pt>
                <c:pt idx="125">
                  <c:v>-50.893332060999995</c:v>
                </c:pt>
                <c:pt idx="126">
                  <c:v>-55.266665285000002</c:v>
                </c:pt>
                <c:pt idx="127">
                  <c:v>-59.039998524000005</c:v>
                </c:pt>
                <c:pt idx="128">
                  <c:v>-57.586665226999997</c:v>
                </c:pt>
                <c:pt idx="129">
                  <c:v>-45.373332199000004</c:v>
                </c:pt>
                <c:pt idx="130">
                  <c:v>-32.759999180999998</c:v>
                </c:pt>
                <c:pt idx="131">
                  <c:v>-23.506666079000002</c:v>
                </c:pt>
                <c:pt idx="132">
                  <c:v>-16.653332917</c:v>
                </c:pt>
                <c:pt idx="133">
                  <c:v>-11.559999711</c:v>
                </c:pt>
                <c:pt idx="134">
                  <c:v>-7.6799998079999998</c:v>
                </c:pt>
                <c:pt idx="135">
                  <c:v>-4.6266665510000005</c:v>
                </c:pt>
                <c:pt idx="136">
                  <c:v>-2.2133332780000003</c:v>
                </c:pt>
                <c:pt idx="137">
                  <c:v>-0.30666665899999995</c:v>
                </c:pt>
                <c:pt idx="138">
                  <c:v>1.1999999699999999</c:v>
                </c:pt>
                <c:pt idx="139">
                  <c:v>2.3999999399999998</c:v>
                </c:pt>
                <c:pt idx="140">
                  <c:v>2.346666608</c:v>
                </c:pt>
                <c:pt idx="141">
                  <c:v>-1.7466666229999999</c:v>
                </c:pt>
                <c:pt idx="142">
                  <c:v>-8.3999997900000007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B2-4CFC-8AAE-90D1A87ECB84}"/>
            </c:ext>
          </c:extLst>
        </c:ser>
        <c:ser>
          <c:idx val="2"/>
          <c:order val="2"/>
          <c:tx>
            <c:v>6V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pump!$AM$4:$AM$146</c:f>
              <c:numCache>
                <c:formatCode>General</c:formatCode>
                <c:ptCount val="1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</c:numCache>
            </c:numRef>
          </c:xVal>
          <c:yVal>
            <c:numRef>
              <c:f>pump!$AS$4:$AS$146</c:f>
              <c:numCache>
                <c:formatCode>General</c:formatCode>
                <c:ptCount val="143"/>
                <c:pt idx="0">
                  <c:v>27.053332657000002</c:v>
                </c:pt>
                <c:pt idx="1">
                  <c:v>29.493332595999998</c:v>
                </c:pt>
                <c:pt idx="2">
                  <c:v>31.586665877000002</c:v>
                </c:pt>
                <c:pt idx="3">
                  <c:v>33.439999164</c:v>
                </c:pt>
                <c:pt idx="4">
                  <c:v>35.079999123</c:v>
                </c:pt>
                <c:pt idx="5">
                  <c:v>36.586665751999995</c:v>
                </c:pt>
                <c:pt idx="6">
                  <c:v>36.839999079000002</c:v>
                </c:pt>
                <c:pt idx="7">
                  <c:v>32.519999187000003</c:v>
                </c:pt>
                <c:pt idx="8">
                  <c:v>26.813332663000001</c:v>
                </c:pt>
                <c:pt idx="9">
                  <c:v>21.879999453</c:v>
                </c:pt>
                <c:pt idx="10">
                  <c:v>17.386666232</c:v>
                </c:pt>
                <c:pt idx="11">
                  <c:v>13.066666339999999</c:v>
                </c:pt>
                <c:pt idx="12">
                  <c:v>8.6399997840000005</c:v>
                </c:pt>
                <c:pt idx="13">
                  <c:v>3.9199999019999998</c:v>
                </c:pt>
                <c:pt idx="14">
                  <c:v>-1.1999999699999999</c:v>
                </c:pt>
                <c:pt idx="15">
                  <c:v>-6.8133331630000002</c:v>
                </c:pt>
                <c:pt idx="16">
                  <c:v>-12.813333012999999</c:v>
                </c:pt>
                <c:pt idx="17">
                  <c:v>-18.786666197000002</c:v>
                </c:pt>
                <c:pt idx="18">
                  <c:v>-19.719999507000001</c:v>
                </c:pt>
                <c:pt idx="19">
                  <c:v>-7.4266664810000007</c:v>
                </c:pt>
                <c:pt idx="20">
                  <c:v>5.8133331880000005</c:v>
                </c:pt>
                <c:pt idx="21">
                  <c:v>14.413332972999999</c:v>
                </c:pt>
                <c:pt idx="22">
                  <c:v>20.159999495999998</c:v>
                </c:pt>
                <c:pt idx="23">
                  <c:v>24.213332727999997</c:v>
                </c:pt>
                <c:pt idx="24">
                  <c:v>27.306665984000002</c:v>
                </c:pt>
                <c:pt idx="25">
                  <c:v>29.799999254999999</c:v>
                </c:pt>
                <c:pt idx="26">
                  <c:v>31.919999202</c:v>
                </c:pt>
                <c:pt idx="27">
                  <c:v>33.759999155999999</c:v>
                </c:pt>
                <c:pt idx="28">
                  <c:v>35.413332448000006</c:v>
                </c:pt>
                <c:pt idx="29">
                  <c:v>36.919999077</c:v>
                </c:pt>
                <c:pt idx="30">
                  <c:v>36.813332413000005</c:v>
                </c:pt>
                <c:pt idx="31">
                  <c:v>32.239999193999999</c:v>
                </c:pt>
                <c:pt idx="32">
                  <c:v>26.679999332999998</c:v>
                </c:pt>
                <c:pt idx="33">
                  <c:v>21.759999455999999</c:v>
                </c:pt>
                <c:pt idx="34">
                  <c:v>17.253332902</c:v>
                </c:pt>
                <c:pt idx="35">
                  <c:v>12.906666344</c:v>
                </c:pt>
                <c:pt idx="36">
                  <c:v>8.4399997889999998</c:v>
                </c:pt>
                <c:pt idx="37">
                  <c:v>3.6799999080000001</c:v>
                </c:pt>
                <c:pt idx="38">
                  <c:v>-1.46666663</c:v>
                </c:pt>
                <c:pt idx="39">
                  <c:v>-7.053333157</c:v>
                </c:pt>
                <c:pt idx="40">
                  <c:v>-12.893333011000001</c:v>
                </c:pt>
                <c:pt idx="41">
                  <c:v>-18.466666204999999</c:v>
                </c:pt>
                <c:pt idx="42">
                  <c:v>-18.679999533</c:v>
                </c:pt>
                <c:pt idx="43">
                  <c:v>-7.1999998200000004</c:v>
                </c:pt>
                <c:pt idx="44">
                  <c:v>5.7999998550000003</c:v>
                </c:pt>
                <c:pt idx="45">
                  <c:v>14.573332968999999</c:v>
                </c:pt>
                <c:pt idx="46">
                  <c:v>20.426666156</c:v>
                </c:pt>
                <c:pt idx="47">
                  <c:v>24.533332720000001</c:v>
                </c:pt>
                <c:pt idx="48">
                  <c:v>27.639999309</c:v>
                </c:pt>
                <c:pt idx="49">
                  <c:v>30.146665913</c:v>
                </c:pt>
                <c:pt idx="50">
                  <c:v>32.266665860000003</c:v>
                </c:pt>
                <c:pt idx="51">
                  <c:v>34.119999147000001</c:v>
                </c:pt>
                <c:pt idx="52">
                  <c:v>35.773332439000001</c:v>
                </c:pt>
                <c:pt idx="53">
                  <c:v>37.279999068000002</c:v>
                </c:pt>
                <c:pt idx="54">
                  <c:v>37.359999066</c:v>
                </c:pt>
                <c:pt idx="55">
                  <c:v>33.093332505999996</c:v>
                </c:pt>
                <c:pt idx="56">
                  <c:v>27.466665979999998</c:v>
                </c:pt>
                <c:pt idx="57">
                  <c:v>22.466666105000002</c:v>
                </c:pt>
                <c:pt idx="58">
                  <c:v>17.906666219000002</c:v>
                </c:pt>
                <c:pt idx="59">
                  <c:v>13.519999662</c:v>
                </c:pt>
                <c:pt idx="60">
                  <c:v>9.039999774</c:v>
                </c:pt>
                <c:pt idx="61">
                  <c:v>4.26666656</c:v>
                </c:pt>
                <c:pt idx="62">
                  <c:v>-0.90666664399999997</c:v>
                </c:pt>
                <c:pt idx="63">
                  <c:v>-6.506666504</c:v>
                </c:pt>
                <c:pt idx="64">
                  <c:v>-12.346666357999998</c:v>
                </c:pt>
                <c:pt idx="65">
                  <c:v>-17.986666217</c:v>
                </c:pt>
                <c:pt idx="66">
                  <c:v>-19.106666189000002</c:v>
                </c:pt>
                <c:pt idx="67">
                  <c:v>-8.5866664520000011</c:v>
                </c:pt>
                <c:pt idx="68">
                  <c:v>4.9599998760000004</c:v>
                </c:pt>
                <c:pt idx="69">
                  <c:v>14.226666311000001</c:v>
                </c:pt>
                <c:pt idx="70">
                  <c:v>20.359999491</c:v>
                </c:pt>
                <c:pt idx="71">
                  <c:v>24.626666050999997</c:v>
                </c:pt>
                <c:pt idx="72">
                  <c:v>27.813332637999999</c:v>
                </c:pt>
                <c:pt idx="73">
                  <c:v>30.373332574000003</c:v>
                </c:pt>
                <c:pt idx="74">
                  <c:v>32.533332520000002</c:v>
                </c:pt>
                <c:pt idx="75">
                  <c:v>34.399999139999998</c:v>
                </c:pt>
                <c:pt idx="76">
                  <c:v>36.093332431</c:v>
                </c:pt>
                <c:pt idx="77">
                  <c:v>37.613332393</c:v>
                </c:pt>
                <c:pt idx="78">
                  <c:v>38.093332380999996</c:v>
                </c:pt>
                <c:pt idx="79">
                  <c:v>34.319999142</c:v>
                </c:pt>
                <c:pt idx="80">
                  <c:v>28.519999287000001</c:v>
                </c:pt>
                <c:pt idx="81">
                  <c:v>23.399999415</c:v>
                </c:pt>
                <c:pt idx="82">
                  <c:v>18.786666197000002</c:v>
                </c:pt>
                <c:pt idx="83">
                  <c:v>14.373332974</c:v>
                </c:pt>
                <c:pt idx="84">
                  <c:v>9.8933330860000002</c:v>
                </c:pt>
                <c:pt idx="85">
                  <c:v>5.1333332049999996</c:v>
                </c:pt>
                <c:pt idx="86">
                  <c:v>-3.9999999000000001E-2</c:v>
                </c:pt>
                <c:pt idx="87">
                  <c:v>-5.6266665260000002</c:v>
                </c:pt>
                <c:pt idx="88">
                  <c:v>-11.453333047000001</c:v>
                </c:pt>
                <c:pt idx="89">
                  <c:v>-17.159999571</c:v>
                </c:pt>
                <c:pt idx="90">
                  <c:v>-19.306666184000001</c:v>
                </c:pt>
                <c:pt idx="91">
                  <c:v>-9.426666431000001</c:v>
                </c:pt>
                <c:pt idx="92">
                  <c:v>4.6133332180000002</c:v>
                </c:pt>
                <c:pt idx="93">
                  <c:v>14.186666312000002</c:v>
                </c:pt>
                <c:pt idx="94">
                  <c:v>20.479999488000001</c:v>
                </c:pt>
                <c:pt idx="95">
                  <c:v>24.839999379000002</c:v>
                </c:pt>
                <c:pt idx="96">
                  <c:v>28.093332630999999</c:v>
                </c:pt>
                <c:pt idx="97">
                  <c:v>30.679999233</c:v>
                </c:pt>
                <c:pt idx="98">
                  <c:v>32.866665845</c:v>
                </c:pt>
                <c:pt idx="99">
                  <c:v>34.773332463999999</c:v>
                </c:pt>
                <c:pt idx="100">
                  <c:v>36.466665755000001</c:v>
                </c:pt>
                <c:pt idx="101">
                  <c:v>38.013332383000005</c:v>
                </c:pt>
                <c:pt idx="102">
                  <c:v>38.733332365000003</c:v>
                </c:pt>
                <c:pt idx="103">
                  <c:v>35.013332458000001</c:v>
                </c:pt>
                <c:pt idx="104">
                  <c:v>29.039999274000003</c:v>
                </c:pt>
                <c:pt idx="105">
                  <c:v>23.853332737000002</c:v>
                </c:pt>
                <c:pt idx="106">
                  <c:v>19.173332854000002</c:v>
                </c:pt>
                <c:pt idx="107">
                  <c:v>14.706666299</c:v>
                </c:pt>
                <c:pt idx="108">
                  <c:v>10.173333078999999</c:v>
                </c:pt>
                <c:pt idx="109">
                  <c:v>5.3466665330000005</c:v>
                </c:pt>
                <c:pt idx="110">
                  <c:v>6.6666665E-2</c:v>
                </c:pt>
                <c:pt idx="111">
                  <c:v>-5.6399998589999996</c:v>
                </c:pt>
                <c:pt idx="112">
                  <c:v>-11.586666377</c:v>
                </c:pt>
                <c:pt idx="113">
                  <c:v>-17.586666227000002</c:v>
                </c:pt>
                <c:pt idx="114">
                  <c:v>-20.26666616</c:v>
                </c:pt>
                <c:pt idx="115">
                  <c:v>-9.6266664259999999</c:v>
                </c:pt>
                <c:pt idx="116">
                  <c:v>4.733333215</c:v>
                </c:pt>
                <c:pt idx="117">
                  <c:v>14.306666308999999</c:v>
                </c:pt>
                <c:pt idx="118">
                  <c:v>20.639999484000001</c:v>
                </c:pt>
                <c:pt idx="119">
                  <c:v>25.039999374000001</c:v>
                </c:pt>
                <c:pt idx="120">
                  <c:v>28.346665957999999</c:v>
                </c:pt>
                <c:pt idx="121">
                  <c:v>30.986665892000001</c:v>
                </c:pt>
                <c:pt idx="122">
                  <c:v>33.213332502999997</c:v>
                </c:pt>
                <c:pt idx="123">
                  <c:v>35.133332455000001</c:v>
                </c:pt>
                <c:pt idx="124">
                  <c:v>36.853332412</c:v>
                </c:pt>
                <c:pt idx="125">
                  <c:v>38.413332373000003</c:v>
                </c:pt>
                <c:pt idx="126">
                  <c:v>38.906665694000004</c:v>
                </c:pt>
                <c:pt idx="127">
                  <c:v>35.119999121999996</c:v>
                </c:pt>
                <c:pt idx="128">
                  <c:v>29.293332600999999</c:v>
                </c:pt>
                <c:pt idx="129">
                  <c:v>24.093332730999997</c:v>
                </c:pt>
                <c:pt idx="130">
                  <c:v>19.373332849000001</c:v>
                </c:pt>
                <c:pt idx="131">
                  <c:v>14.893332961</c:v>
                </c:pt>
                <c:pt idx="132">
                  <c:v>10.333333075000001</c:v>
                </c:pt>
                <c:pt idx="133">
                  <c:v>5.4799998629999997</c:v>
                </c:pt>
                <c:pt idx="134">
                  <c:v>0.17333332900000001</c:v>
                </c:pt>
                <c:pt idx="135">
                  <c:v>-5.5066665289999994</c:v>
                </c:pt>
                <c:pt idx="136">
                  <c:v>-11.33333305</c:v>
                </c:pt>
                <c:pt idx="137">
                  <c:v>-17.06666624</c:v>
                </c:pt>
                <c:pt idx="138">
                  <c:v>-19.213332853000001</c:v>
                </c:pt>
                <c:pt idx="139">
                  <c:v>-9.799999755</c:v>
                </c:pt>
                <c:pt idx="140">
                  <c:v>4.2799998930000003</c:v>
                </c:pt>
                <c:pt idx="141">
                  <c:v>14.226666311000001</c:v>
                </c:pt>
                <c:pt idx="142">
                  <c:v>20.746666147999999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B2-4CFC-8AAE-90D1A87ECB84}"/>
            </c:ext>
          </c:extLst>
        </c:ser>
        <c:ser>
          <c:idx val="3"/>
          <c:order val="3"/>
          <c:tx>
            <c:v>8V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pump!$AM$4:$AM$146</c:f>
              <c:numCache>
                <c:formatCode>General</c:formatCode>
                <c:ptCount val="1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</c:numCache>
            </c:numRef>
          </c:xVal>
          <c:yVal>
            <c:numRef>
              <c:f>pump!$AU$4:$AU$146</c:f>
              <c:numCache>
                <c:formatCode>General</c:formatCode>
                <c:ptCount val="143"/>
                <c:pt idx="0">
                  <c:v>14.479999963799999</c:v>
                </c:pt>
                <c:pt idx="1">
                  <c:v>19.973333283400002</c:v>
                </c:pt>
                <c:pt idx="2">
                  <c:v>24.346666605799999</c:v>
                </c:pt>
                <c:pt idx="3">
                  <c:v>28.1066665964</c:v>
                </c:pt>
                <c:pt idx="4">
                  <c:v>31.5066665879</c:v>
                </c:pt>
                <c:pt idx="5">
                  <c:v>34.666666579999998</c:v>
                </c:pt>
                <c:pt idx="6">
                  <c:v>37.626666572600001</c:v>
                </c:pt>
                <c:pt idx="7">
                  <c:v>40.413333232300005</c:v>
                </c:pt>
                <c:pt idx="8">
                  <c:v>43.039999892400004</c:v>
                </c:pt>
                <c:pt idx="9">
                  <c:v>43.693333224099995</c:v>
                </c:pt>
                <c:pt idx="10">
                  <c:v>38.026666571599996</c:v>
                </c:pt>
                <c:pt idx="11">
                  <c:v>31.066666589</c:v>
                </c:pt>
                <c:pt idx="12">
                  <c:v>25.3199999367</c:v>
                </c:pt>
                <c:pt idx="13">
                  <c:v>20.253333282700002</c:v>
                </c:pt>
                <c:pt idx="14">
                  <c:v>15.626666627600001</c:v>
                </c:pt>
                <c:pt idx="15">
                  <c:v>11.2666666385</c:v>
                </c:pt>
                <c:pt idx="16">
                  <c:v>7.0399999823999995</c:v>
                </c:pt>
                <c:pt idx="17">
                  <c:v>2.8266666595999999</c:v>
                </c:pt>
                <c:pt idx="18">
                  <c:v>-1.4399999964000001</c:v>
                </c:pt>
                <c:pt idx="19">
                  <c:v>-5.8399999853999995</c:v>
                </c:pt>
                <c:pt idx="20">
                  <c:v>-10.3333333075</c:v>
                </c:pt>
                <c:pt idx="21">
                  <c:v>-11.199999972000001</c:v>
                </c:pt>
                <c:pt idx="22">
                  <c:v>-2.7333333264999999</c:v>
                </c:pt>
                <c:pt idx="23">
                  <c:v>8.4399999788999995</c:v>
                </c:pt>
                <c:pt idx="24">
                  <c:v>16.133333293</c:v>
                </c:pt>
                <c:pt idx="25">
                  <c:v>21.519999946200002</c:v>
                </c:pt>
                <c:pt idx="26">
                  <c:v>25.826666602099998</c:v>
                </c:pt>
                <c:pt idx="27">
                  <c:v>29.573333259400002</c:v>
                </c:pt>
                <c:pt idx="28">
                  <c:v>32.959999917600001</c:v>
                </c:pt>
                <c:pt idx="29">
                  <c:v>36.106666576400002</c:v>
                </c:pt>
                <c:pt idx="30">
                  <c:v>39.066666568999999</c:v>
                </c:pt>
                <c:pt idx="31">
                  <c:v>41.879999895300003</c:v>
                </c:pt>
                <c:pt idx="32">
                  <c:v>44.519999888699999</c:v>
                </c:pt>
                <c:pt idx="33">
                  <c:v>45.453333219699999</c:v>
                </c:pt>
                <c:pt idx="34">
                  <c:v>40.306666565900002</c:v>
                </c:pt>
                <c:pt idx="35">
                  <c:v>33.2266665836</c:v>
                </c:pt>
                <c:pt idx="36">
                  <c:v>27.293333265099999</c:v>
                </c:pt>
                <c:pt idx="37">
                  <c:v>22.093333278099998</c:v>
                </c:pt>
                <c:pt idx="38">
                  <c:v>17.346666623299999</c:v>
                </c:pt>
                <c:pt idx="39">
                  <c:v>12.919999967700001</c:v>
                </c:pt>
                <c:pt idx="40">
                  <c:v>8.6666666449999994</c:v>
                </c:pt>
                <c:pt idx="41">
                  <c:v>4.4266666556000001</c:v>
                </c:pt>
                <c:pt idx="42">
                  <c:v>0.1599999996</c:v>
                </c:pt>
                <c:pt idx="43">
                  <c:v>-4.2133333228000005</c:v>
                </c:pt>
                <c:pt idx="44">
                  <c:v>-8.6933333116</c:v>
                </c:pt>
                <c:pt idx="45">
                  <c:v>-10.6933333066</c:v>
                </c:pt>
                <c:pt idx="46">
                  <c:v>-4.0666666564999998</c:v>
                </c:pt>
                <c:pt idx="47">
                  <c:v>7.4266666481000003</c:v>
                </c:pt>
                <c:pt idx="48">
                  <c:v>15.6933332941</c:v>
                </c:pt>
                <c:pt idx="49">
                  <c:v>21.373333279900002</c:v>
                </c:pt>
                <c:pt idx="50">
                  <c:v>25.839999935400002</c:v>
                </c:pt>
                <c:pt idx="51">
                  <c:v>29.693333259099997</c:v>
                </c:pt>
                <c:pt idx="52">
                  <c:v>33.173333250399999</c:v>
                </c:pt>
                <c:pt idx="53">
                  <c:v>36.386666575699998</c:v>
                </c:pt>
                <c:pt idx="54">
                  <c:v>39.386666568199999</c:v>
                </c:pt>
                <c:pt idx="55">
                  <c:v>42.2133332278</c:v>
                </c:pt>
                <c:pt idx="56">
                  <c:v>44.2266665561</c:v>
                </c:pt>
                <c:pt idx="57">
                  <c:v>40.853333231199997</c:v>
                </c:pt>
                <c:pt idx="58">
                  <c:v>33.5199999162</c:v>
                </c:pt>
                <c:pt idx="59">
                  <c:v>27.373333264900001</c:v>
                </c:pt>
                <c:pt idx="60">
                  <c:v>22.066666611500001</c:v>
                </c:pt>
                <c:pt idx="61">
                  <c:v>17.2399999569</c:v>
                </c:pt>
                <c:pt idx="62">
                  <c:v>12.759999968100001</c:v>
                </c:pt>
                <c:pt idx="63">
                  <c:v>8.4133333123000007</c:v>
                </c:pt>
                <c:pt idx="64">
                  <c:v>4.1066666563999998</c:v>
                </c:pt>
                <c:pt idx="65">
                  <c:v>-0.2399999994</c:v>
                </c:pt>
                <c:pt idx="66">
                  <c:v>-4.6799999883000005</c:v>
                </c:pt>
                <c:pt idx="67">
                  <c:v>-9.3733333098999996</c:v>
                </c:pt>
                <c:pt idx="68">
                  <c:v>-12.666666635</c:v>
                </c:pt>
                <c:pt idx="69">
                  <c:v>-5.9599999851000005</c:v>
                </c:pt>
                <c:pt idx="70">
                  <c:v>6.7733333163999996</c:v>
                </c:pt>
                <c:pt idx="71">
                  <c:v>15.493333294599999</c:v>
                </c:pt>
                <c:pt idx="72">
                  <c:v>21.399999946499999</c:v>
                </c:pt>
                <c:pt idx="73">
                  <c:v>25.999999934999998</c:v>
                </c:pt>
                <c:pt idx="74">
                  <c:v>29.933333258499999</c:v>
                </c:pt>
                <c:pt idx="75">
                  <c:v>33.479999916299995</c:v>
                </c:pt>
                <c:pt idx="76">
                  <c:v>36.746666574800003</c:v>
                </c:pt>
                <c:pt idx="77">
                  <c:v>39.786666567199994</c:v>
                </c:pt>
                <c:pt idx="78">
                  <c:v>42.6799998933</c:v>
                </c:pt>
                <c:pt idx="79">
                  <c:v>45.439999886400003</c:v>
                </c:pt>
                <c:pt idx="80">
                  <c:v>47.159999882099996</c:v>
                </c:pt>
                <c:pt idx="81">
                  <c:v>42.933333226000002</c:v>
                </c:pt>
                <c:pt idx="82">
                  <c:v>35.506666577899999</c:v>
                </c:pt>
                <c:pt idx="83">
                  <c:v>29.33333326</c:v>
                </c:pt>
                <c:pt idx="84">
                  <c:v>23.959999940099998</c:v>
                </c:pt>
                <c:pt idx="85">
                  <c:v>19.0799999523</c:v>
                </c:pt>
                <c:pt idx="86">
                  <c:v>14.559999963600001</c:v>
                </c:pt>
                <c:pt idx="87">
                  <c:v>10.2266666411</c:v>
                </c:pt>
                <c:pt idx="88">
                  <c:v>5.9333333184999999</c:v>
                </c:pt>
                <c:pt idx="89">
                  <c:v>1.6266666625999999</c:v>
                </c:pt>
                <c:pt idx="90">
                  <c:v>-2.7599999930999997</c:v>
                </c:pt>
                <c:pt idx="91">
                  <c:v>-7.333333315</c:v>
                </c:pt>
                <c:pt idx="92">
                  <c:v>-9.8799999752999987</c:v>
                </c:pt>
                <c:pt idx="93">
                  <c:v>-3.6266666576</c:v>
                </c:pt>
                <c:pt idx="94">
                  <c:v>7.8666666469999997</c:v>
                </c:pt>
                <c:pt idx="95">
                  <c:v>16.479999958800001</c:v>
                </c:pt>
                <c:pt idx="96">
                  <c:v>22.306666610900002</c:v>
                </c:pt>
                <c:pt idx="97">
                  <c:v>26.8399999329</c:v>
                </c:pt>
                <c:pt idx="98">
                  <c:v>30.7466665898</c:v>
                </c:pt>
                <c:pt idx="99">
                  <c:v>34.253333247699999</c:v>
                </c:pt>
                <c:pt idx="100">
                  <c:v>37.493333239599998</c:v>
                </c:pt>
                <c:pt idx="101">
                  <c:v>40.519999898699993</c:v>
                </c:pt>
                <c:pt idx="102">
                  <c:v>43.386666558199998</c:v>
                </c:pt>
                <c:pt idx="103">
                  <c:v>45.7999998855</c:v>
                </c:pt>
                <c:pt idx="104">
                  <c:v>43.893333223599996</c:v>
                </c:pt>
                <c:pt idx="105">
                  <c:v>36.613333241799999</c:v>
                </c:pt>
                <c:pt idx="106">
                  <c:v>30.079999924799999</c:v>
                </c:pt>
                <c:pt idx="107">
                  <c:v>24.5466666053</c:v>
                </c:pt>
                <c:pt idx="108">
                  <c:v>19.5599999511</c:v>
                </c:pt>
                <c:pt idx="109">
                  <c:v>14.9599999626</c:v>
                </c:pt>
                <c:pt idx="110">
                  <c:v>10.5466666403</c:v>
                </c:pt>
                <c:pt idx="111">
                  <c:v>6.2133333178000001</c:v>
                </c:pt>
                <c:pt idx="112">
                  <c:v>1.8533333287</c:v>
                </c:pt>
                <c:pt idx="113">
                  <c:v>-2.5866666601999997</c:v>
                </c:pt>
                <c:pt idx="114">
                  <c:v>-7.2266666486000002</c:v>
                </c:pt>
                <c:pt idx="115">
                  <c:v>-11.4799999713</c:v>
                </c:pt>
                <c:pt idx="116">
                  <c:v>-7.9333333134999995</c:v>
                </c:pt>
                <c:pt idx="117">
                  <c:v>4.5333333219999998</c:v>
                </c:pt>
                <c:pt idx="118">
                  <c:v>14.4266666306</c:v>
                </c:pt>
                <c:pt idx="119">
                  <c:v>20.906666614400002</c:v>
                </c:pt>
                <c:pt idx="120">
                  <c:v>25.746666602299999</c:v>
                </c:pt>
                <c:pt idx="121">
                  <c:v>29.8133332588</c:v>
                </c:pt>
                <c:pt idx="122">
                  <c:v>33.426666583100001</c:v>
                </c:pt>
                <c:pt idx="123">
                  <c:v>36.759999908099999</c:v>
                </c:pt>
                <c:pt idx="124">
                  <c:v>39.853333233699999</c:v>
                </c:pt>
                <c:pt idx="125">
                  <c:v>42.773333226399998</c:v>
                </c:pt>
                <c:pt idx="126">
                  <c:v>45.533333219500001</c:v>
                </c:pt>
                <c:pt idx="127">
                  <c:v>47.866666547000001</c:v>
                </c:pt>
                <c:pt idx="128">
                  <c:v>45.519999886199997</c:v>
                </c:pt>
                <c:pt idx="129">
                  <c:v>37.933333238499998</c:v>
                </c:pt>
                <c:pt idx="130">
                  <c:v>31.359999921599996</c:v>
                </c:pt>
                <c:pt idx="131">
                  <c:v>25.7733332689</c:v>
                </c:pt>
                <c:pt idx="132">
                  <c:v>20.746666614799999</c:v>
                </c:pt>
                <c:pt idx="133">
                  <c:v>16.106666626399999</c:v>
                </c:pt>
                <c:pt idx="134">
                  <c:v>11.693333304099999</c:v>
                </c:pt>
                <c:pt idx="135">
                  <c:v>7.3599999816000006</c:v>
                </c:pt>
                <c:pt idx="136">
                  <c:v>3.0133333258000001</c:v>
                </c:pt>
                <c:pt idx="137">
                  <c:v>-1.3999999965000001</c:v>
                </c:pt>
                <c:pt idx="138">
                  <c:v>-5.9866666516999993</c:v>
                </c:pt>
                <c:pt idx="139">
                  <c:v>-9.7466666422999992</c:v>
                </c:pt>
                <c:pt idx="140">
                  <c:v>-5.9866666516999993</c:v>
                </c:pt>
                <c:pt idx="141">
                  <c:v>5.4399999863999993</c:v>
                </c:pt>
                <c:pt idx="142">
                  <c:v>15.213333295299998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B2-4CFC-8AAE-90D1A87ECB84}"/>
            </c:ext>
          </c:extLst>
        </c:ser>
        <c:ser>
          <c:idx val="5"/>
          <c:order val="5"/>
          <c:tx>
            <c:v>12V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pump!$AM$4:$AM$146</c:f>
              <c:numCache>
                <c:formatCode>General</c:formatCode>
                <c:ptCount val="1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</c:numCache>
            </c:numRef>
          </c:xVal>
          <c:yVal>
            <c:numRef>
              <c:f>pump!$AY$4:$AY$146</c:f>
              <c:numCache>
                <c:formatCode>General</c:formatCode>
                <c:ptCount val="143"/>
                <c:pt idx="0">
                  <c:v>0.119999997</c:v>
                </c:pt>
                <c:pt idx="1">
                  <c:v>6.253333177</c:v>
                </c:pt>
                <c:pt idx="2">
                  <c:v>37.639999059000004</c:v>
                </c:pt>
                <c:pt idx="3">
                  <c:v>83.933331234999997</c:v>
                </c:pt>
                <c:pt idx="4">
                  <c:v>114.26666381</c:v>
                </c:pt>
                <c:pt idx="5">
                  <c:v>128.253330127</c:v>
                </c:pt>
                <c:pt idx="6">
                  <c:v>136.42666325600001</c:v>
                </c:pt>
                <c:pt idx="7">
                  <c:v>143.319996417</c:v>
                </c:pt>
                <c:pt idx="8">
                  <c:v>149.786662922</c:v>
                </c:pt>
                <c:pt idx="9">
                  <c:v>156.06666276499999</c:v>
                </c:pt>
                <c:pt idx="10">
                  <c:v>160.73332931499999</c:v>
                </c:pt>
                <c:pt idx="11">
                  <c:v>155.93332943499999</c:v>
                </c:pt>
                <c:pt idx="12">
                  <c:v>145.26666303499999</c:v>
                </c:pt>
                <c:pt idx="13">
                  <c:v>136.63999658399999</c:v>
                </c:pt>
                <c:pt idx="14">
                  <c:v>129.55999676100001</c:v>
                </c:pt>
                <c:pt idx="15">
                  <c:v>123.386663582</c:v>
                </c:pt>
                <c:pt idx="16">
                  <c:v>117.79999705500001</c:v>
                </c:pt>
                <c:pt idx="17">
                  <c:v>112.653330517</c:v>
                </c:pt>
                <c:pt idx="18">
                  <c:v>107.77333063899999</c:v>
                </c:pt>
                <c:pt idx="19">
                  <c:v>103.01333075800001</c:v>
                </c:pt>
                <c:pt idx="20">
                  <c:v>98.333330875000001</c:v>
                </c:pt>
                <c:pt idx="21">
                  <c:v>93.679997658000005</c:v>
                </c:pt>
                <c:pt idx="22">
                  <c:v>91.426664381000009</c:v>
                </c:pt>
                <c:pt idx="23">
                  <c:v>97.239997568999996</c:v>
                </c:pt>
                <c:pt idx="24">
                  <c:v>110.47999723800001</c:v>
                </c:pt>
                <c:pt idx="25">
                  <c:v>123.50666357899999</c:v>
                </c:pt>
                <c:pt idx="26">
                  <c:v>133.87999665300001</c:v>
                </c:pt>
                <c:pt idx="27">
                  <c:v>142.19999644500001</c:v>
                </c:pt>
                <c:pt idx="28">
                  <c:v>149.55999626100001</c:v>
                </c:pt>
                <c:pt idx="29">
                  <c:v>156.45332942200002</c:v>
                </c:pt>
                <c:pt idx="30">
                  <c:v>163.07999592299998</c:v>
                </c:pt>
                <c:pt idx="31">
                  <c:v>169.41332909799999</c:v>
                </c:pt>
                <c:pt idx="32">
                  <c:v>175.37332894899998</c:v>
                </c:pt>
                <c:pt idx="33">
                  <c:v>180.853328812</c:v>
                </c:pt>
                <c:pt idx="34">
                  <c:v>184.47999538799999</c:v>
                </c:pt>
                <c:pt idx="35">
                  <c:v>178.59999553500001</c:v>
                </c:pt>
                <c:pt idx="36">
                  <c:v>165.93332918499999</c:v>
                </c:pt>
                <c:pt idx="37">
                  <c:v>155.29332945100001</c:v>
                </c:pt>
                <c:pt idx="38">
                  <c:v>146.47999633799998</c:v>
                </c:pt>
                <c:pt idx="39">
                  <c:v>138.97332985899999</c:v>
                </c:pt>
                <c:pt idx="40">
                  <c:v>132.46666335500001</c:v>
                </c:pt>
                <c:pt idx="41">
                  <c:v>126.679996833</c:v>
                </c:pt>
                <c:pt idx="42">
                  <c:v>121.41333029800001</c:v>
                </c:pt>
                <c:pt idx="43">
                  <c:v>116.50666375399999</c:v>
                </c:pt>
                <c:pt idx="44">
                  <c:v>111.85333053699999</c:v>
                </c:pt>
                <c:pt idx="45">
                  <c:v>107.46666398000001</c:v>
                </c:pt>
                <c:pt idx="46">
                  <c:v>105.10666403899999</c:v>
                </c:pt>
                <c:pt idx="47">
                  <c:v>108.82666394600001</c:v>
                </c:pt>
                <c:pt idx="48">
                  <c:v>118.17333037899999</c:v>
                </c:pt>
                <c:pt idx="49">
                  <c:v>128.58666345200001</c:v>
                </c:pt>
                <c:pt idx="50">
                  <c:v>138.17332987899999</c:v>
                </c:pt>
                <c:pt idx="51">
                  <c:v>146.58666300200002</c:v>
                </c:pt>
                <c:pt idx="52">
                  <c:v>154.066662815</c:v>
                </c:pt>
                <c:pt idx="53">
                  <c:v>161.079995973</c:v>
                </c:pt>
                <c:pt idx="54">
                  <c:v>167.78666247200002</c:v>
                </c:pt>
                <c:pt idx="55">
                  <c:v>174.09332898100001</c:v>
                </c:pt>
                <c:pt idx="56">
                  <c:v>179.94666216799999</c:v>
                </c:pt>
                <c:pt idx="57">
                  <c:v>184.466662055</c:v>
                </c:pt>
                <c:pt idx="58">
                  <c:v>180.70666214899998</c:v>
                </c:pt>
                <c:pt idx="59">
                  <c:v>168.26666245999999</c:v>
                </c:pt>
                <c:pt idx="60">
                  <c:v>157.17332940399999</c:v>
                </c:pt>
                <c:pt idx="61">
                  <c:v>148.079996298</c:v>
                </c:pt>
                <c:pt idx="62">
                  <c:v>140.319996492</c:v>
                </c:pt>
                <c:pt idx="63">
                  <c:v>133.586663327</c:v>
                </c:pt>
                <c:pt idx="64">
                  <c:v>127.639996809</c:v>
                </c:pt>
                <c:pt idx="65">
                  <c:v>122.26666360999999</c:v>
                </c:pt>
                <c:pt idx="66">
                  <c:v>117.306663734</c:v>
                </c:pt>
                <c:pt idx="67">
                  <c:v>112.59999718500001</c:v>
                </c:pt>
                <c:pt idx="68">
                  <c:v>108.07999729800001</c:v>
                </c:pt>
                <c:pt idx="69">
                  <c:v>105.119997372</c:v>
                </c:pt>
                <c:pt idx="70">
                  <c:v>108.62666395100001</c:v>
                </c:pt>
                <c:pt idx="71">
                  <c:v>117.90666371899999</c:v>
                </c:pt>
                <c:pt idx="72">
                  <c:v>128.18666346199998</c:v>
                </c:pt>
                <c:pt idx="73">
                  <c:v>137.759996556</c:v>
                </c:pt>
                <c:pt idx="74">
                  <c:v>146.14666301299999</c:v>
                </c:pt>
                <c:pt idx="75">
                  <c:v>153.626662826</c:v>
                </c:pt>
                <c:pt idx="76">
                  <c:v>160.639995984</c:v>
                </c:pt>
                <c:pt idx="77">
                  <c:v>167.30666248399999</c:v>
                </c:pt>
                <c:pt idx="78">
                  <c:v>173.57332899400001</c:v>
                </c:pt>
                <c:pt idx="79">
                  <c:v>179.41332884799999</c:v>
                </c:pt>
                <c:pt idx="80">
                  <c:v>184.733328715</c:v>
                </c:pt>
                <c:pt idx="81">
                  <c:v>188.83999527899999</c:v>
                </c:pt>
                <c:pt idx="82">
                  <c:v>186.093328681</c:v>
                </c:pt>
                <c:pt idx="83">
                  <c:v>173.893328986</c:v>
                </c:pt>
                <c:pt idx="84">
                  <c:v>162.02666261600001</c:v>
                </c:pt>
                <c:pt idx="85">
                  <c:v>152.33332952500001</c:v>
                </c:pt>
                <c:pt idx="86">
                  <c:v>144.13332973000001</c:v>
                </c:pt>
                <c:pt idx="87">
                  <c:v>137.01332990799997</c:v>
                </c:pt>
                <c:pt idx="88">
                  <c:v>130.719996732</c:v>
                </c:pt>
                <c:pt idx="89">
                  <c:v>125.106663539</c:v>
                </c:pt>
                <c:pt idx="90">
                  <c:v>119.973330334</c:v>
                </c:pt>
                <c:pt idx="91">
                  <c:v>115.13333045500001</c:v>
                </c:pt>
                <c:pt idx="92">
                  <c:v>110.559997236</c:v>
                </c:pt>
                <c:pt idx="93">
                  <c:v>106.813330663</c:v>
                </c:pt>
                <c:pt idx="94">
                  <c:v>108.466663955</c:v>
                </c:pt>
                <c:pt idx="95">
                  <c:v>117.506663729</c:v>
                </c:pt>
                <c:pt idx="96">
                  <c:v>127.746663473</c:v>
                </c:pt>
                <c:pt idx="97">
                  <c:v>137.3333299</c:v>
                </c:pt>
                <c:pt idx="98">
                  <c:v>145.77332968900001</c:v>
                </c:pt>
                <c:pt idx="99">
                  <c:v>153.26666283500001</c:v>
                </c:pt>
                <c:pt idx="100">
                  <c:v>160.279995993</c:v>
                </c:pt>
                <c:pt idx="101">
                  <c:v>166.87999582799998</c:v>
                </c:pt>
                <c:pt idx="102">
                  <c:v>173.093329006</c:v>
                </c:pt>
                <c:pt idx="103">
                  <c:v>178.93332885999999</c:v>
                </c:pt>
                <c:pt idx="104">
                  <c:v>184.13332872999999</c:v>
                </c:pt>
                <c:pt idx="105">
                  <c:v>183.83999540400001</c:v>
                </c:pt>
                <c:pt idx="106">
                  <c:v>172.75999568099999</c:v>
                </c:pt>
                <c:pt idx="107">
                  <c:v>160.853329312</c:v>
                </c:pt>
                <c:pt idx="108">
                  <c:v>151.159996221</c:v>
                </c:pt>
                <c:pt idx="109">
                  <c:v>142.98666309200001</c:v>
                </c:pt>
                <c:pt idx="110">
                  <c:v>135.89332993600001</c:v>
                </c:pt>
                <c:pt idx="111">
                  <c:v>129.613330093</c:v>
                </c:pt>
                <c:pt idx="112">
                  <c:v>123.98666356699999</c:v>
                </c:pt>
                <c:pt idx="113">
                  <c:v>118.83999702899999</c:v>
                </c:pt>
                <c:pt idx="114">
                  <c:v>113.99999715</c:v>
                </c:pt>
                <c:pt idx="115">
                  <c:v>109.35999726600001</c:v>
                </c:pt>
                <c:pt idx="116">
                  <c:v>105.43999736399999</c:v>
                </c:pt>
                <c:pt idx="117">
                  <c:v>105.87999735300001</c:v>
                </c:pt>
                <c:pt idx="118">
                  <c:v>112.786663847</c:v>
                </c:pt>
                <c:pt idx="119">
                  <c:v>122.893330261</c:v>
                </c:pt>
                <c:pt idx="120">
                  <c:v>132.73333001500001</c:v>
                </c:pt>
                <c:pt idx="121">
                  <c:v>141.57332979399999</c:v>
                </c:pt>
                <c:pt idx="122">
                  <c:v>149.27999626799999</c:v>
                </c:pt>
                <c:pt idx="123">
                  <c:v>156.34666275799998</c:v>
                </c:pt>
                <c:pt idx="124">
                  <c:v>163.06666258999999</c:v>
                </c:pt>
                <c:pt idx="125">
                  <c:v>169.41332909799999</c:v>
                </c:pt>
                <c:pt idx="126">
                  <c:v>175.42666228100001</c:v>
                </c:pt>
                <c:pt idx="127">
                  <c:v>181.06666214000001</c:v>
                </c:pt>
                <c:pt idx="128">
                  <c:v>183.47999541299998</c:v>
                </c:pt>
                <c:pt idx="129">
                  <c:v>175.06666229000001</c:v>
                </c:pt>
                <c:pt idx="130">
                  <c:v>162.653329267</c:v>
                </c:pt>
                <c:pt idx="131">
                  <c:v>152.50666285399998</c:v>
                </c:pt>
                <c:pt idx="132">
                  <c:v>144.05332973200001</c:v>
                </c:pt>
                <c:pt idx="133">
                  <c:v>136.759996581</c:v>
                </c:pt>
                <c:pt idx="134">
                  <c:v>130.30666340899998</c:v>
                </c:pt>
                <c:pt idx="135">
                  <c:v>124.53333022</c:v>
                </c:pt>
                <c:pt idx="136">
                  <c:v>119.279997018</c:v>
                </c:pt>
                <c:pt idx="137">
                  <c:v>114.35999714100001</c:v>
                </c:pt>
                <c:pt idx="138">
                  <c:v>109.66666392499999</c:v>
                </c:pt>
                <c:pt idx="139">
                  <c:v>105.146664038</c:v>
                </c:pt>
                <c:pt idx="140">
                  <c:v>100.693330816</c:v>
                </c:pt>
                <c:pt idx="141">
                  <c:v>96.22666426100001</c:v>
                </c:pt>
                <c:pt idx="142">
                  <c:v>91.773331038999999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B2-4CFC-8AAE-90D1A87EC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81104"/>
        <c:axId val="54538146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10V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pump!$AM$4:$AM$246</c15:sqref>
                        </c15:formulaRef>
                      </c:ext>
                    </c:extLst>
                    <c:numCache>
                      <c:formatCode>General</c:formatCode>
                      <c:ptCount val="24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4">
                        <c:v>143</c:v>
                      </c:pt>
                      <c:pt idx="145">
                        <c:v>144</c:v>
                      </c:pt>
                      <c:pt idx="146">
                        <c:v>145</c:v>
                      </c:pt>
                      <c:pt idx="147">
                        <c:v>146</c:v>
                      </c:pt>
                      <c:pt idx="148">
                        <c:v>147</c:v>
                      </c:pt>
                      <c:pt idx="149">
                        <c:v>148</c:v>
                      </c:pt>
                      <c:pt idx="150">
                        <c:v>149</c:v>
                      </c:pt>
                      <c:pt idx="151">
                        <c:v>150</c:v>
                      </c:pt>
                      <c:pt idx="152">
                        <c:v>151</c:v>
                      </c:pt>
                      <c:pt idx="153">
                        <c:v>152</c:v>
                      </c:pt>
                      <c:pt idx="154">
                        <c:v>153</c:v>
                      </c:pt>
                      <c:pt idx="155">
                        <c:v>154</c:v>
                      </c:pt>
                      <c:pt idx="156">
                        <c:v>155</c:v>
                      </c:pt>
                      <c:pt idx="157">
                        <c:v>156</c:v>
                      </c:pt>
                      <c:pt idx="158">
                        <c:v>157</c:v>
                      </c:pt>
                      <c:pt idx="159">
                        <c:v>158</c:v>
                      </c:pt>
                      <c:pt idx="160">
                        <c:v>159</c:v>
                      </c:pt>
                      <c:pt idx="161">
                        <c:v>160</c:v>
                      </c:pt>
                      <c:pt idx="162">
                        <c:v>161</c:v>
                      </c:pt>
                      <c:pt idx="163">
                        <c:v>162</c:v>
                      </c:pt>
                      <c:pt idx="164">
                        <c:v>163</c:v>
                      </c:pt>
                      <c:pt idx="165">
                        <c:v>164</c:v>
                      </c:pt>
                      <c:pt idx="166">
                        <c:v>165</c:v>
                      </c:pt>
                      <c:pt idx="167">
                        <c:v>166</c:v>
                      </c:pt>
                      <c:pt idx="168">
                        <c:v>167</c:v>
                      </c:pt>
                      <c:pt idx="169">
                        <c:v>168</c:v>
                      </c:pt>
                      <c:pt idx="170">
                        <c:v>169</c:v>
                      </c:pt>
                      <c:pt idx="171">
                        <c:v>170</c:v>
                      </c:pt>
                      <c:pt idx="172">
                        <c:v>171</c:v>
                      </c:pt>
                      <c:pt idx="173">
                        <c:v>172</c:v>
                      </c:pt>
                      <c:pt idx="174">
                        <c:v>173</c:v>
                      </c:pt>
                      <c:pt idx="175">
                        <c:v>174</c:v>
                      </c:pt>
                      <c:pt idx="176">
                        <c:v>175</c:v>
                      </c:pt>
                      <c:pt idx="177">
                        <c:v>176</c:v>
                      </c:pt>
                      <c:pt idx="178">
                        <c:v>177</c:v>
                      </c:pt>
                      <c:pt idx="179">
                        <c:v>178</c:v>
                      </c:pt>
                      <c:pt idx="180">
                        <c:v>179</c:v>
                      </c:pt>
                      <c:pt idx="181">
                        <c:v>180</c:v>
                      </c:pt>
                      <c:pt idx="182">
                        <c:v>181</c:v>
                      </c:pt>
                      <c:pt idx="183">
                        <c:v>182</c:v>
                      </c:pt>
                      <c:pt idx="184">
                        <c:v>183</c:v>
                      </c:pt>
                      <c:pt idx="185">
                        <c:v>184</c:v>
                      </c:pt>
                      <c:pt idx="186">
                        <c:v>185</c:v>
                      </c:pt>
                      <c:pt idx="187">
                        <c:v>186</c:v>
                      </c:pt>
                      <c:pt idx="188">
                        <c:v>187</c:v>
                      </c:pt>
                      <c:pt idx="189">
                        <c:v>188</c:v>
                      </c:pt>
                      <c:pt idx="190">
                        <c:v>189</c:v>
                      </c:pt>
                      <c:pt idx="191">
                        <c:v>190</c:v>
                      </c:pt>
                      <c:pt idx="192">
                        <c:v>191</c:v>
                      </c:pt>
                      <c:pt idx="193">
                        <c:v>192</c:v>
                      </c:pt>
                      <c:pt idx="194">
                        <c:v>193</c:v>
                      </c:pt>
                      <c:pt idx="195">
                        <c:v>194</c:v>
                      </c:pt>
                      <c:pt idx="196">
                        <c:v>195</c:v>
                      </c:pt>
                      <c:pt idx="197">
                        <c:v>196</c:v>
                      </c:pt>
                      <c:pt idx="198">
                        <c:v>197</c:v>
                      </c:pt>
                      <c:pt idx="199">
                        <c:v>198</c:v>
                      </c:pt>
                      <c:pt idx="200">
                        <c:v>199</c:v>
                      </c:pt>
                      <c:pt idx="201">
                        <c:v>200</c:v>
                      </c:pt>
                      <c:pt idx="202">
                        <c:v>201</c:v>
                      </c:pt>
                      <c:pt idx="203">
                        <c:v>202</c:v>
                      </c:pt>
                      <c:pt idx="204">
                        <c:v>203</c:v>
                      </c:pt>
                      <c:pt idx="205">
                        <c:v>204</c:v>
                      </c:pt>
                      <c:pt idx="206">
                        <c:v>205</c:v>
                      </c:pt>
                      <c:pt idx="207">
                        <c:v>206</c:v>
                      </c:pt>
                      <c:pt idx="208">
                        <c:v>207</c:v>
                      </c:pt>
                      <c:pt idx="209">
                        <c:v>208</c:v>
                      </c:pt>
                      <c:pt idx="210">
                        <c:v>209</c:v>
                      </c:pt>
                      <c:pt idx="211">
                        <c:v>210</c:v>
                      </c:pt>
                      <c:pt idx="212">
                        <c:v>211</c:v>
                      </c:pt>
                      <c:pt idx="213">
                        <c:v>212</c:v>
                      </c:pt>
                      <c:pt idx="214">
                        <c:v>213</c:v>
                      </c:pt>
                      <c:pt idx="215">
                        <c:v>214</c:v>
                      </c:pt>
                      <c:pt idx="216">
                        <c:v>215</c:v>
                      </c:pt>
                      <c:pt idx="217">
                        <c:v>216</c:v>
                      </c:pt>
                      <c:pt idx="218">
                        <c:v>217</c:v>
                      </c:pt>
                      <c:pt idx="219">
                        <c:v>218</c:v>
                      </c:pt>
                      <c:pt idx="220">
                        <c:v>219</c:v>
                      </c:pt>
                      <c:pt idx="221">
                        <c:v>220</c:v>
                      </c:pt>
                      <c:pt idx="222">
                        <c:v>221</c:v>
                      </c:pt>
                      <c:pt idx="223">
                        <c:v>222</c:v>
                      </c:pt>
                      <c:pt idx="224">
                        <c:v>223</c:v>
                      </c:pt>
                      <c:pt idx="225">
                        <c:v>224</c:v>
                      </c:pt>
                      <c:pt idx="226">
                        <c:v>225</c:v>
                      </c:pt>
                      <c:pt idx="227">
                        <c:v>226</c:v>
                      </c:pt>
                      <c:pt idx="228">
                        <c:v>227</c:v>
                      </c:pt>
                      <c:pt idx="229">
                        <c:v>228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pump!$AW$4:$AW$246</c15:sqref>
                        </c15:formulaRef>
                      </c:ext>
                    </c:extLst>
                    <c:numCache>
                      <c:formatCode>General</c:formatCode>
                      <c:ptCount val="243"/>
                      <c:pt idx="0">
                        <c:v>0.18666661999999998</c:v>
                      </c:pt>
                      <c:pt idx="1">
                        <c:v>19.639995089999999</c:v>
                      </c:pt>
                      <c:pt idx="2">
                        <c:v>77.679980579999992</c:v>
                      </c:pt>
                      <c:pt idx="3">
                        <c:v>81.933312849999993</c:v>
                      </c:pt>
                      <c:pt idx="4">
                        <c:v>47.079988229999998</c:v>
                      </c:pt>
                      <c:pt idx="5">
                        <c:v>53.613319929999996</c:v>
                      </c:pt>
                      <c:pt idx="6">
                        <c:v>85.186645369999994</c:v>
                      </c:pt>
                      <c:pt idx="7">
                        <c:v>98.919975269999995</c:v>
                      </c:pt>
                      <c:pt idx="8">
                        <c:v>102.83997428999999</c:v>
                      </c:pt>
                      <c:pt idx="9">
                        <c:v>112.99997174999999</c:v>
                      </c:pt>
                      <c:pt idx="10">
                        <c:v>123.62663576</c:v>
                      </c:pt>
                      <c:pt idx="11">
                        <c:v>131.63996708999997</c:v>
                      </c:pt>
                      <c:pt idx="12">
                        <c:v>138.22663211</c:v>
                      </c:pt>
                      <c:pt idx="13">
                        <c:v>144.15996396</c:v>
                      </c:pt>
                      <c:pt idx="14">
                        <c:v>149.65329592000001</c:v>
                      </c:pt>
                      <c:pt idx="15">
                        <c:v>154.81329462999997</c:v>
                      </c:pt>
                      <c:pt idx="16">
                        <c:v>159.73329339999998</c:v>
                      </c:pt>
                      <c:pt idx="17">
                        <c:v>164.39995889999997</c:v>
                      </c:pt>
                      <c:pt idx="18">
                        <c:v>168.82662446000001</c:v>
                      </c:pt>
                      <c:pt idx="19">
                        <c:v>172.43995688999999</c:v>
                      </c:pt>
                      <c:pt idx="20">
                        <c:v>169.33329099999997</c:v>
                      </c:pt>
                      <c:pt idx="21">
                        <c:v>158.78662696999999</c:v>
                      </c:pt>
                      <c:pt idx="22">
                        <c:v>149.23996268999997</c:v>
                      </c:pt>
                      <c:pt idx="23">
                        <c:v>141.33329799999998</c:v>
                      </c:pt>
                      <c:pt idx="24">
                        <c:v>134.53329969999999</c:v>
                      </c:pt>
                      <c:pt idx="25">
                        <c:v>128.50663453999999</c:v>
                      </c:pt>
                      <c:pt idx="26">
                        <c:v>123.07996922999999</c:v>
                      </c:pt>
                      <c:pt idx="27">
                        <c:v>118.03997048999999</c:v>
                      </c:pt>
                      <c:pt idx="28">
                        <c:v>113.27997167999999</c:v>
                      </c:pt>
                      <c:pt idx="29">
                        <c:v>105.75997355999999</c:v>
                      </c:pt>
                      <c:pt idx="30">
                        <c:v>59.986651669999993</c:v>
                      </c:pt>
                      <c:pt idx="31">
                        <c:v>6.6533316699999991</c:v>
                      </c:pt>
                      <c:pt idx="32">
                        <c:v>2.6666659999999998E-2</c:v>
                      </c:pt>
                      <c:pt idx="33">
                        <c:v>0.31999991999999994</c:v>
                      </c:pt>
                      <c:pt idx="34">
                        <c:v>15.466662799999998</c:v>
                      </c:pt>
                      <c:pt idx="35">
                        <c:v>73.826648210000002</c:v>
                      </c:pt>
                      <c:pt idx="36">
                        <c:v>130.77330063999997</c:v>
                      </c:pt>
                      <c:pt idx="37">
                        <c:v>140.67996482999999</c:v>
                      </c:pt>
                      <c:pt idx="38">
                        <c:v>90.946643929999993</c:v>
                      </c:pt>
                      <c:pt idx="39">
                        <c:v>31.266658849999999</c:v>
                      </c:pt>
                      <c:pt idx="40">
                        <c:v>45.999988499999994</c:v>
                      </c:pt>
                      <c:pt idx="41">
                        <c:v>29.666659249999999</c:v>
                      </c:pt>
                      <c:pt idx="42">
                        <c:v>2.6799993299999998</c:v>
                      </c:pt>
                      <c:pt idx="43">
                        <c:v>3.9999989999999992E-2</c:v>
                      </c:pt>
                      <c:pt idx="44">
                        <c:v>0.19999994999999998</c:v>
                      </c:pt>
                      <c:pt idx="45">
                        <c:v>0.18666661999999998</c:v>
                      </c:pt>
                      <c:pt idx="46">
                        <c:v>0.15999995999999997</c:v>
                      </c:pt>
                      <c:pt idx="47">
                        <c:v>0.89333310999999993</c:v>
                      </c:pt>
                      <c:pt idx="48">
                        <c:v>19.026661909999998</c:v>
                      </c:pt>
                      <c:pt idx="49">
                        <c:v>52.319986919999991</c:v>
                      </c:pt>
                      <c:pt idx="50">
                        <c:v>55.186652869999989</c:v>
                      </c:pt>
                      <c:pt idx="51">
                        <c:v>81.759979560000005</c:v>
                      </c:pt>
                      <c:pt idx="52">
                        <c:v>105.69330690999999</c:v>
                      </c:pt>
                      <c:pt idx="53">
                        <c:v>103.30664083999999</c:v>
                      </c:pt>
                      <c:pt idx="54">
                        <c:v>99.399975149999989</c:v>
                      </c:pt>
                      <c:pt idx="55">
                        <c:v>101.50664128999999</c:v>
                      </c:pt>
                      <c:pt idx="56">
                        <c:v>111.42663881</c:v>
                      </c:pt>
                      <c:pt idx="57">
                        <c:v>110.85330561999999</c:v>
                      </c:pt>
                      <c:pt idx="58">
                        <c:v>47.199988199999993</c:v>
                      </c:pt>
                      <c:pt idx="59">
                        <c:v>2.5466660299999999</c:v>
                      </c:pt>
                      <c:pt idx="60">
                        <c:v>6.6666649999999994E-2</c:v>
                      </c:pt>
                      <c:pt idx="61">
                        <c:v>6.6666649999999994E-2</c:v>
                      </c:pt>
                      <c:pt idx="62">
                        <c:v>0.61333317999999992</c:v>
                      </c:pt>
                      <c:pt idx="63">
                        <c:v>34.546658030000003</c:v>
                      </c:pt>
                      <c:pt idx="64">
                        <c:v>132.35996691</c:v>
                      </c:pt>
                      <c:pt idx="65">
                        <c:v>166.38662507000001</c:v>
                      </c:pt>
                      <c:pt idx="66">
                        <c:v>170.66662399999998</c:v>
                      </c:pt>
                      <c:pt idx="67">
                        <c:v>170.07995747999996</c:v>
                      </c:pt>
                      <c:pt idx="68">
                        <c:v>160.49329320999999</c:v>
                      </c:pt>
                      <c:pt idx="69">
                        <c:v>150.42662905999998</c:v>
                      </c:pt>
                      <c:pt idx="70">
                        <c:v>142.18663111999999</c:v>
                      </c:pt>
                      <c:pt idx="71">
                        <c:v>135.17329953999999</c:v>
                      </c:pt>
                      <c:pt idx="72">
                        <c:v>128.99996775</c:v>
                      </c:pt>
                      <c:pt idx="73">
                        <c:v>123.45330246999998</c:v>
                      </c:pt>
                      <c:pt idx="74">
                        <c:v>118.34663707999999</c:v>
                      </c:pt>
                      <c:pt idx="75">
                        <c:v>113.54663828</c:v>
                      </c:pt>
                      <c:pt idx="76">
                        <c:v>108.94663942999999</c:v>
                      </c:pt>
                      <c:pt idx="77">
                        <c:v>104.43997388999999</c:v>
                      </c:pt>
                      <c:pt idx="78">
                        <c:v>100.41330823</c:v>
                      </c:pt>
                      <c:pt idx="79">
                        <c:v>101.18664136999999</c:v>
                      </c:pt>
                      <c:pt idx="80">
                        <c:v>109.63997258999999</c:v>
                      </c:pt>
                      <c:pt idx="81">
                        <c:v>120.70663648999998</c:v>
                      </c:pt>
                      <c:pt idx="82">
                        <c:v>129.29330100999999</c:v>
                      </c:pt>
                      <c:pt idx="83">
                        <c:v>136.09329930999999</c:v>
                      </c:pt>
                      <c:pt idx="84">
                        <c:v>142.10663113999999</c:v>
                      </c:pt>
                      <c:pt idx="85">
                        <c:v>147.63996308999998</c:v>
                      </c:pt>
                      <c:pt idx="86">
                        <c:v>152.82662845999999</c:v>
                      </c:pt>
                      <c:pt idx="87">
                        <c:v>157.30662733999998</c:v>
                      </c:pt>
                      <c:pt idx="88">
                        <c:v>129.91996751999997</c:v>
                      </c:pt>
                      <c:pt idx="89">
                        <c:v>38.853323619999991</c:v>
                      </c:pt>
                      <c:pt idx="90">
                        <c:v>64.186650619999995</c:v>
                      </c:pt>
                      <c:pt idx="91">
                        <c:v>145.98663017000001</c:v>
                      </c:pt>
                      <c:pt idx="92">
                        <c:v>149.89329585999999</c:v>
                      </c:pt>
                      <c:pt idx="93">
                        <c:v>141.55996460999998</c:v>
                      </c:pt>
                      <c:pt idx="94">
                        <c:v>134.50663303999997</c:v>
                      </c:pt>
                      <c:pt idx="95">
                        <c:v>128.31996791999998</c:v>
                      </c:pt>
                      <c:pt idx="96">
                        <c:v>122.75996930999999</c:v>
                      </c:pt>
                      <c:pt idx="97">
                        <c:v>117.62663726</c:v>
                      </c:pt>
                      <c:pt idx="98">
                        <c:v>112.79997179999999</c:v>
                      </c:pt>
                      <c:pt idx="99">
                        <c:v>108.17330628999999</c:v>
                      </c:pt>
                      <c:pt idx="100">
                        <c:v>103.5999741</c:v>
                      </c:pt>
                      <c:pt idx="101">
                        <c:v>99.213308529999992</c:v>
                      </c:pt>
                      <c:pt idx="102">
                        <c:v>97.986642169999982</c:v>
                      </c:pt>
                      <c:pt idx="103">
                        <c:v>104.07997397999999</c:v>
                      </c:pt>
                      <c:pt idx="104">
                        <c:v>115.69330441</c:v>
                      </c:pt>
                      <c:pt idx="105">
                        <c:v>125.57330193999998</c:v>
                      </c:pt>
                      <c:pt idx="106">
                        <c:v>132.95996675999999</c:v>
                      </c:pt>
                      <c:pt idx="107">
                        <c:v>139.21329852999997</c:v>
                      </c:pt>
                      <c:pt idx="108">
                        <c:v>144.87996377999997</c:v>
                      </c:pt>
                      <c:pt idx="109">
                        <c:v>150.23996243999997</c:v>
                      </c:pt>
                      <c:pt idx="110">
                        <c:v>155.30662783999998</c:v>
                      </c:pt>
                      <c:pt idx="111">
                        <c:v>160.10662663999997</c:v>
                      </c:pt>
                      <c:pt idx="112">
                        <c:v>164.63995883999999</c:v>
                      </c:pt>
                      <c:pt idx="113">
                        <c:v>167.51995811999998</c:v>
                      </c:pt>
                      <c:pt idx="114">
                        <c:v>161.93329284999999</c:v>
                      </c:pt>
                      <c:pt idx="115">
                        <c:v>151.34662882999999</c:v>
                      </c:pt>
                      <c:pt idx="116">
                        <c:v>142.63996433999998</c:v>
                      </c:pt>
                      <c:pt idx="117">
                        <c:v>135.35996616</c:v>
                      </c:pt>
                      <c:pt idx="118">
                        <c:v>129.01330107999999</c:v>
                      </c:pt>
                      <c:pt idx="119">
                        <c:v>123.34663583</c:v>
                      </c:pt>
                      <c:pt idx="120">
                        <c:v>118.11997046999998</c:v>
                      </c:pt>
                      <c:pt idx="121">
                        <c:v>113.21330502999999</c:v>
                      </c:pt>
                      <c:pt idx="122">
                        <c:v>108.54663952999999</c:v>
                      </c:pt>
                      <c:pt idx="123">
                        <c:v>103.95997401</c:v>
                      </c:pt>
                      <c:pt idx="124">
                        <c:v>99.386641819999994</c:v>
                      </c:pt>
                      <c:pt idx="125">
                        <c:v>97.079975730000001</c:v>
                      </c:pt>
                      <c:pt idx="126">
                        <c:v>104.05330731999999</c:v>
                      </c:pt>
                      <c:pt idx="127">
                        <c:v>112.74663847999999</c:v>
                      </c:pt>
                      <c:pt idx="128">
                        <c:v>69.693315909999995</c:v>
                      </c:pt>
                      <c:pt idx="129">
                        <c:v>8.0133313299999998</c:v>
                      </c:pt>
                      <c:pt idx="130">
                        <c:v>0.98666641999999993</c:v>
                      </c:pt>
                      <c:pt idx="131">
                        <c:v>37.813323879999999</c:v>
                      </c:pt>
                      <c:pt idx="132">
                        <c:v>112.50663853999998</c:v>
                      </c:pt>
                      <c:pt idx="133">
                        <c:v>146.15996346</c:v>
                      </c:pt>
                      <c:pt idx="134">
                        <c:v>159.63996008999999</c:v>
                      </c:pt>
                      <c:pt idx="135">
                        <c:v>162.21329277999996</c:v>
                      </c:pt>
                      <c:pt idx="136">
                        <c:v>155.27996117999999</c:v>
                      </c:pt>
                      <c:pt idx="137">
                        <c:v>145.13329704999998</c:v>
                      </c:pt>
                      <c:pt idx="138">
                        <c:v>137.15996570999999</c:v>
                      </c:pt>
                      <c:pt idx="139">
                        <c:v>130.42663406</c:v>
                      </c:pt>
                      <c:pt idx="140">
                        <c:v>113.87997152999999</c:v>
                      </c:pt>
                      <c:pt idx="141">
                        <c:v>44.973322089999996</c:v>
                      </c:pt>
                      <c:pt idx="142">
                        <c:v>2.4399993899999997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42B2-4CFC-8AAE-90D1A87ECB84}"/>
                  </c:ext>
                </c:extLst>
              </c15:ser>
            </c15:filteredScatterSeries>
          </c:ext>
        </c:extLst>
      </c:scatterChart>
      <c:valAx>
        <c:axId val="54538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Counter (9600 baud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81464"/>
        <c:crosses val="autoZero"/>
        <c:crossBetween val="midCat"/>
      </c:valAx>
      <c:valAx>
        <c:axId val="54538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8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</cx:chartData>
  <cx:chart>
    <cx:title pos="t" align="ctr" overlay="0">
      <cx:tx>
        <cx:txData>
          <cx:v>Box Plot of maximum pressure from 100ml syringe in each muscle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of maximum pressure from 100ml syringe in each muscle</a:t>
          </a:r>
        </a:p>
      </cx:txPr>
    </cx:title>
    <cx:plotArea>
      <cx:plotAreaRegion>
        <cx:series layoutId="boxWhisker" uniqueId="{C8E0FA36-5653-4214-B064-BB12E59BCB4C}">
          <cx:tx>
            <cx:txData>
              <cx:f/>
              <cx:v>Muscle 1 Right</cx:v>
            </cx:txData>
          </cx:tx>
          <cx:spPr>
            <a:ln>
              <a:solidFill>
                <a:schemeClr val="accent1">
                  <a:alpha val="89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6AF5FF7-B12E-4FDB-8CDA-73C5EB9BF4B9}">
          <cx:tx>
            <cx:txData>
              <cx:f/>
              <cx:v>Muscle 1 Left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8E689B1-2711-4E21-95AF-09EE90C36EA6}">
          <cx:tx>
            <cx:txData>
              <cx:f/>
              <cx:v>Muscle 2 Right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C17C13AB-F8F2-47F4-8F22-3787787E79DC}">
          <cx:tx>
            <cx:txData>
              <cx:f/>
              <cx:v>Muscle 2 Left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title>
          <cx:tx>
            <cx:txData>
              <cx:v>Pressure (kPa)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Pressure (kPa)</a:t>
              </a:r>
            </a:p>
          </cx:txPr>
        </cx:title>
        <cx:majorGridlines/>
        <cx:min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  <cx:data id="3">
      <cx:numDim type="val">
        <cx:f>_xlchart.v1.11</cx:f>
      </cx:numDim>
    </cx:data>
    <cx:data id="4">
      <cx:numDim type="val">
        <cx:f>_xlchart.v1.13</cx:f>
      </cx:numDim>
    </cx:data>
    <cx:data id="5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Box Plot of maximum pressure from vacuum pump </a:t>
            </a:r>
            <a:endParaRPr lang="en-GB" sz="2000">
              <a:effectLst/>
            </a:endParaRPr>
          </a:p>
        </cx:rich>
      </cx:tx>
    </cx:title>
    <cx:plotArea>
      <cx:plotAreaRegion>
        <cx:series layoutId="boxWhisker" uniqueId="{E4773F7B-7398-4DB8-88E2-CA198B6E052E}">
          <cx:tx>
            <cx:txData>
              <cx:f>_xlchart.v1.4</cx:f>
              <cx:v>2V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E9E1781-4C94-437B-82C3-596FB61AE72E}">
          <cx:tx>
            <cx:txData>
              <cx:f>_xlchart.v1.6</cx:f>
              <cx:v>4V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A820FCD-E372-4D4D-8C82-126C35DB4D81}">
          <cx:tx>
            <cx:txData>
              <cx:f>_xlchart.v1.8</cx:f>
              <cx:v>6V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853CB41-E94A-4C0A-B263-001C56CF2D03}">
          <cx:tx>
            <cx:txData>
              <cx:f>_xlchart.v1.10</cx:f>
              <cx:v>8V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CE95271-E5CF-492D-BA44-03FD19E0230A}">
          <cx:tx>
            <cx:txData>
              <cx:f>_xlchart.v1.12</cx:f>
              <cx:v>10V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56DC5A12-C14A-4AD0-BB85-F0BDBDB1B11D}">
          <cx:tx>
            <cx:txData>
              <cx:f>_xlchart.v1.14</cx:f>
              <cx:v>12V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title>
          <cx:tx>
            <cx:txData>
              <cx:v>Pressure (kpa)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Pressure (kpa)</a:t>
              </a:r>
            </a:p>
          </cx:txPr>
        </cx:title>
        <cx:majorGridlines/>
        <cx:min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_xlchart.v1.18</cx:f>
      </cx:numDim>
    </cx:data>
    <cx:data id="2">
      <cx:numDim type="val">
        <cx:f>_xlchart.v1.20</cx:f>
      </cx:numDim>
    </cx:data>
    <cx:data id="3">
      <cx:numDim type="val">
        <cx:f>_xlchart.v1.22</cx:f>
      </cx:numDim>
    </cx:data>
    <cx:data id="4">
      <cx:numDim type="val">
        <cx:f>_xlchart.v1.24</cx:f>
      </cx:numDim>
    </cx:data>
    <cx:data id="5">
      <cx:numDim type="val">
        <cx:f>_xlchart.v1.26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Box Plot of maximum pressure from vacuum pump </a:t>
            </a:r>
            <a:endParaRPr lang="en-GB" sz="1400">
              <a:effectLst/>
            </a:endParaRPr>
          </a:p>
        </cx:rich>
      </cx:tx>
    </cx:title>
    <cx:plotArea>
      <cx:plotAreaRegion>
        <cx:series layoutId="boxWhisker" uniqueId="{1DB53597-DFA9-40F5-A674-48A221238B94}">
          <cx:tx>
            <cx:txData>
              <cx:f>_xlchart.v1.17</cx:f>
              <cx:v>2V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FD56377-ADBA-466E-A2BE-94C97D27D017}">
          <cx:tx>
            <cx:txData>
              <cx:f>_xlchart.v1.19</cx:f>
              <cx:v>4V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87A2151-4872-4C74-A79C-10F0EAB78435}">
          <cx:tx>
            <cx:txData>
              <cx:f>_xlchart.v1.21</cx:f>
              <cx:v>6V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828F7A1-101E-4FAB-803B-C16AC1261EAF}">
          <cx:tx>
            <cx:txData>
              <cx:f>_xlchart.v1.23</cx:f>
              <cx:v>8V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6B451F7-B644-4F26-892D-1B4ED85D8C82}">
          <cx:tx>
            <cx:txData>
              <cx:f>_xlchart.v1.25</cx:f>
              <cx:v>10V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AD91AA55-B703-4713-B303-9A4A93C5E901}">
          <cx:tx>
            <cx:txData>
              <cx:f>_xlchart.v1.27</cx:f>
              <cx:v>12V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majorGridlines/>
        <cx:tickLabels/>
      </cx:axis>
      <cx:axis id="1">
        <cx:valScaling/>
        <cx:title>
          <cx:tx>
            <cx:txData>
              <cx:v>Pressure (kPa)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Pressure (kPa)</a:t>
              </a:r>
            </a:p>
          </cx:txPr>
        </cx:title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230909</xdr:colOff>
      <xdr:row>0</xdr:row>
      <xdr:rowOff>65805</xdr:rowOff>
    </xdr:from>
    <xdr:to>
      <xdr:col>26</xdr:col>
      <xdr:colOff>127000</xdr:colOff>
      <xdr:row>23</xdr:row>
      <xdr:rowOff>173181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510D7A-FD82-37F3-3A72-600E56E99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184728</xdr:colOff>
      <xdr:row>25</xdr:row>
      <xdr:rowOff>42717</xdr:rowOff>
    </xdr:from>
    <xdr:to>
      <xdr:col>26</xdr:col>
      <xdr:colOff>161637</xdr:colOff>
      <xdr:row>46</xdr:row>
      <xdr:rowOff>23089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5E4194-AA7C-30EA-E94B-30736F127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380998</xdr:colOff>
      <xdr:row>1</xdr:row>
      <xdr:rowOff>111993</xdr:rowOff>
    </xdr:from>
    <xdr:to>
      <xdr:col>51</xdr:col>
      <xdr:colOff>450272</xdr:colOff>
      <xdr:row>24</xdr:row>
      <xdr:rowOff>57727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AA2C40-C994-DC76-75DD-1120DD841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404090</xdr:colOff>
      <xdr:row>25</xdr:row>
      <xdr:rowOff>100446</xdr:rowOff>
    </xdr:from>
    <xdr:to>
      <xdr:col>51</xdr:col>
      <xdr:colOff>484909</xdr:colOff>
      <xdr:row>46</xdr:row>
      <xdr:rowOff>138545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988D55-641F-1DA6-847B-F44DE3C9A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66</xdr:col>
      <xdr:colOff>581269</xdr:colOff>
      <xdr:row>1</xdr:row>
      <xdr:rowOff>162166</xdr:rowOff>
    </xdr:from>
    <xdr:to>
      <xdr:col>75</xdr:col>
      <xdr:colOff>459153</xdr:colOff>
      <xdr:row>21</xdr:row>
      <xdr:rowOff>78153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130765-D4F7-954F-BE95-C9B833DCC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571502</xdr:colOff>
      <xdr:row>22</xdr:row>
      <xdr:rowOff>142632</xdr:rowOff>
    </xdr:from>
    <xdr:to>
      <xdr:col>75</xdr:col>
      <xdr:colOff>468923</xdr:colOff>
      <xdr:row>40</xdr:row>
      <xdr:rowOff>146538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160CDE-57FD-6479-F97B-5783DFAF3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90</xdr:col>
      <xdr:colOff>567029</xdr:colOff>
      <xdr:row>1</xdr:row>
      <xdr:rowOff>130933</xdr:rowOff>
    </xdr:from>
    <xdr:to>
      <xdr:col>99</xdr:col>
      <xdr:colOff>536620</xdr:colOff>
      <xdr:row>20</xdr:row>
      <xdr:rowOff>98379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08C0FF-88E7-235C-3E8D-ED9548516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90</xdr:col>
      <xdr:colOff>558082</xdr:colOff>
      <xdr:row>21</xdr:row>
      <xdr:rowOff>121991</xdr:rowOff>
    </xdr:from>
    <xdr:to>
      <xdr:col>99</xdr:col>
      <xdr:colOff>456126</xdr:colOff>
      <xdr:row>39</xdr:row>
      <xdr:rowOff>17886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4024A5-401A-A1F8-CAD5-789F57962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164704</xdr:colOff>
      <xdr:row>13</xdr:row>
      <xdr:rowOff>133350</xdr:rowOff>
    </xdr:from>
    <xdr:to>
      <xdr:col>8</xdr:col>
      <xdr:colOff>123429</xdr:colOff>
      <xdr:row>28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17B50F3-4140-AA06-EBD8-120A16124B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704" y="2578100"/>
              <a:ext cx="48355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278805</xdr:colOff>
      <xdr:row>1</xdr:row>
      <xdr:rowOff>52188</xdr:rowOff>
    </xdr:from>
    <xdr:to>
      <xdr:col>30</xdr:col>
      <xdr:colOff>8930</xdr:colOff>
      <xdr:row>15</xdr:row>
      <xdr:rowOff>156170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009AAAD-383C-6BC6-3C23-7E694E0D5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90005" y="236338"/>
              <a:ext cx="4606925" cy="27328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266700</xdr:colOff>
      <xdr:row>16</xdr:row>
      <xdr:rowOff>25400</xdr:rowOff>
    </xdr:from>
    <xdr:to>
      <xdr:col>29</xdr:col>
      <xdr:colOff>571500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B8F5104-94CA-227C-0963-FA0497397C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7900" y="3022600"/>
              <a:ext cx="457200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194467</xdr:colOff>
      <xdr:row>110</xdr:row>
      <xdr:rowOff>80494</xdr:rowOff>
    </xdr:from>
    <xdr:to>
      <xdr:col>21</xdr:col>
      <xdr:colOff>59532</xdr:colOff>
      <xdr:row>148</xdr:row>
      <xdr:rowOff>150579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6241AB-B000-BF03-0873-CCC54F8B9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565020</xdr:colOff>
      <xdr:row>109</xdr:row>
      <xdr:rowOff>138147</xdr:rowOff>
    </xdr:from>
    <xdr:to>
      <xdr:col>43</xdr:col>
      <xdr:colOff>64796</xdr:colOff>
      <xdr:row>148</xdr:row>
      <xdr:rowOff>155510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14A869-A129-3110-5FFA-94255D9E1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367393</xdr:colOff>
      <xdr:row>110</xdr:row>
      <xdr:rowOff>2721</xdr:rowOff>
    </xdr:from>
    <xdr:to>
      <xdr:col>64</xdr:col>
      <xdr:colOff>394729</xdr:colOff>
      <xdr:row>148</xdr:row>
      <xdr:rowOff>85811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8E8F66-97D4-30F7-709B-0F6E099BE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327268</xdr:colOff>
      <xdr:row>2</xdr:row>
      <xdr:rowOff>99890</xdr:rowOff>
    </xdr:from>
    <xdr:to>
      <xdr:col>32</xdr:col>
      <xdr:colOff>170961</xdr:colOff>
      <xdr:row>38</xdr:row>
      <xdr:rowOff>24423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ED7C2-E17F-D46F-082F-6A51FF41B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318796</xdr:colOff>
      <xdr:row>39</xdr:row>
      <xdr:rowOff>86307</xdr:rowOff>
    </xdr:from>
    <xdr:to>
      <xdr:col>32</xdr:col>
      <xdr:colOff>168469</xdr:colOff>
      <xdr:row>69</xdr:row>
      <xdr:rowOff>77756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7DF039-504E-EF3D-F499-C89D2BCFF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209902</xdr:colOff>
      <xdr:row>1</xdr:row>
      <xdr:rowOff>39510</xdr:rowOff>
    </xdr:from>
    <xdr:to>
      <xdr:col>64</xdr:col>
      <xdr:colOff>255764</xdr:colOff>
      <xdr:row>24</xdr:row>
      <xdr:rowOff>52917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DA07E0-CC97-FD6E-9650-FA435D30A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211667</xdr:colOff>
      <xdr:row>24</xdr:row>
      <xdr:rowOff>169334</xdr:rowOff>
    </xdr:from>
    <xdr:to>
      <xdr:col>64</xdr:col>
      <xdr:colOff>257529</xdr:colOff>
      <xdr:row>47</xdr:row>
      <xdr:rowOff>182742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7801BF-9D7A-4452-B4B6-B3B99540A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78</xdr:col>
      <xdr:colOff>465665</xdr:colOff>
      <xdr:row>1</xdr:row>
      <xdr:rowOff>25399</xdr:rowOff>
    </xdr:from>
    <xdr:to>
      <xdr:col>92</xdr:col>
      <xdr:colOff>476250</xdr:colOff>
      <xdr:row>26</xdr:row>
      <xdr:rowOff>88194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40FEAB-5B7C-CA63-2307-0C00C8160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288636</xdr:colOff>
      <xdr:row>49</xdr:row>
      <xdr:rowOff>11545</xdr:rowOff>
    </xdr:from>
    <xdr:to>
      <xdr:col>64</xdr:col>
      <xdr:colOff>334498</xdr:colOff>
      <xdr:row>72</xdr:row>
      <xdr:rowOff>24952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1B259A-0ADF-40E9-A41D-C51479C22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F7F6-458C-428C-B1CE-9D7A792B74C1}">
  <dimension ref="A1:CP470"/>
  <sheetViews>
    <sheetView tabSelected="1" topLeftCell="BI127" zoomScale="45" workbookViewId="0">
      <selection activeCell="CG3" sqref="CG3:CL168"/>
    </sheetView>
  </sheetViews>
  <sheetFormatPr defaultRowHeight="14.5" x14ac:dyDescent="0.35"/>
  <sheetData>
    <row r="1" spans="1:90" x14ac:dyDescent="0.35">
      <c r="B1" t="s">
        <v>6</v>
      </c>
      <c r="I1" t="s">
        <v>17</v>
      </c>
      <c r="AC1" t="s">
        <v>4</v>
      </c>
      <c r="AJ1" t="s">
        <v>5</v>
      </c>
      <c r="BC1" t="s">
        <v>2</v>
      </c>
      <c r="BJ1" t="s">
        <v>3</v>
      </c>
      <c r="CA1" t="s">
        <v>1</v>
      </c>
      <c r="CH1" t="s">
        <v>18</v>
      </c>
    </row>
    <row r="2" spans="1:90" x14ac:dyDescent="0.35">
      <c r="B2" t="s">
        <v>0</v>
      </c>
      <c r="I2" t="s">
        <v>0</v>
      </c>
      <c r="AC2" t="s">
        <v>0</v>
      </c>
      <c r="AJ2" t="s">
        <v>0</v>
      </c>
      <c r="BC2" t="s">
        <v>0</v>
      </c>
      <c r="BJ2" t="s">
        <v>0</v>
      </c>
      <c r="CA2" t="s">
        <v>0</v>
      </c>
      <c r="CH2" t="s">
        <v>0</v>
      </c>
    </row>
    <row r="3" spans="1:90" x14ac:dyDescent="0.35">
      <c r="A3">
        <v>0</v>
      </c>
      <c r="B3">
        <v>-0.3</v>
      </c>
      <c r="C3">
        <v>-0.4</v>
      </c>
      <c r="D3">
        <v>-38.4</v>
      </c>
      <c r="E3">
        <v>0.1</v>
      </c>
      <c r="F3">
        <v>-0.4</v>
      </c>
      <c r="H3">
        <v>0</v>
      </c>
      <c r="I3">
        <v>0.9</v>
      </c>
      <c r="J3">
        <v>2.4</v>
      </c>
      <c r="K3">
        <v>0.9</v>
      </c>
      <c r="L3">
        <v>2</v>
      </c>
      <c r="M3">
        <v>0.1</v>
      </c>
      <c r="AB3">
        <v>0</v>
      </c>
      <c r="AC3">
        <v>0.3</v>
      </c>
      <c r="AD3">
        <v>-0.2</v>
      </c>
      <c r="AE3">
        <v>-6</v>
      </c>
      <c r="AF3">
        <v>0.4</v>
      </c>
      <c r="AG3">
        <v>3.4</v>
      </c>
      <c r="AI3">
        <v>0</v>
      </c>
      <c r="AJ3">
        <v>1</v>
      </c>
      <c r="AK3">
        <v>0.6</v>
      </c>
      <c r="AL3">
        <v>2.2999999999999998</v>
      </c>
      <c r="AM3">
        <v>3.2</v>
      </c>
      <c r="AN3">
        <v>0.7</v>
      </c>
      <c r="BB3">
        <v>0</v>
      </c>
      <c r="BC3">
        <v>-0.2</v>
      </c>
      <c r="BD3">
        <v>-11.7</v>
      </c>
      <c r="BE3">
        <v>-2.7</v>
      </c>
      <c r="BF3">
        <v>-1.7</v>
      </c>
      <c r="BG3">
        <v>-20.399999999999999</v>
      </c>
      <c r="BI3">
        <v>0</v>
      </c>
      <c r="BJ3">
        <v>3.5</v>
      </c>
      <c r="BK3">
        <v>2.2999999999999998</v>
      </c>
      <c r="BL3">
        <v>-19.7</v>
      </c>
      <c r="BM3">
        <v>1.2</v>
      </c>
      <c r="BN3">
        <v>7.1</v>
      </c>
      <c r="BZ3">
        <v>0</v>
      </c>
      <c r="CA3">
        <v>0</v>
      </c>
      <c r="CB3">
        <v>-19.5</v>
      </c>
      <c r="CC3">
        <v>11.6</v>
      </c>
      <c r="CD3">
        <v>3.6</v>
      </c>
      <c r="CE3">
        <v>-2.2000000000000002</v>
      </c>
      <c r="CG3">
        <v>0</v>
      </c>
      <c r="CH3">
        <v>2.8</v>
      </c>
      <c r="CI3">
        <v>1.1000000000000001</v>
      </c>
      <c r="CJ3">
        <v>3.1</v>
      </c>
      <c r="CK3">
        <v>3.2</v>
      </c>
      <c r="CL3">
        <v>4.5</v>
      </c>
    </row>
    <row r="4" spans="1:90" x14ac:dyDescent="0.35">
      <c r="A4">
        <v>1</v>
      </c>
      <c r="B4">
        <v>-0.4</v>
      </c>
      <c r="C4">
        <v>-1.1000000000000001</v>
      </c>
      <c r="D4">
        <v>-49.6</v>
      </c>
      <c r="E4">
        <v>-0.1</v>
      </c>
      <c r="F4">
        <v>-0.4</v>
      </c>
      <c r="H4">
        <v>1</v>
      </c>
      <c r="I4">
        <v>1</v>
      </c>
      <c r="J4">
        <v>2.6</v>
      </c>
      <c r="K4">
        <v>1.2</v>
      </c>
      <c r="L4">
        <v>2.5</v>
      </c>
      <c r="M4">
        <v>0.1</v>
      </c>
      <c r="AB4">
        <v>1</v>
      </c>
      <c r="AC4">
        <v>0.3</v>
      </c>
      <c r="AD4">
        <v>-0.2</v>
      </c>
      <c r="AE4">
        <v>-8.3000000000000007</v>
      </c>
      <c r="AF4">
        <v>0.3</v>
      </c>
      <c r="AG4">
        <v>3.3</v>
      </c>
      <c r="AI4">
        <v>1</v>
      </c>
      <c r="AJ4">
        <v>1.2</v>
      </c>
      <c r="AK4">
        <v>0.8</v>
      </c>
      <c r="AL4">
        <v>2.6</v>
      </c>
      <c r="AM4">
        <v>3.7</v>
      </c>
      <c r="AN4">
        <v>0.9</v>
      </c>
      <c r="BB4">
        <v>1</v>
      </c>
      <c r="BC4">
        <v>-0.2</v>
      </c>
      <c r="BD4">
        <v>-12.7</v>
      </c>
      <c r="BE4">
        <v>-4.4000000000000004</v>
      </c>
      <c r="BF4">
        <v>-1.9</v>
      </c>
      <c r="BG4">
        <v>-22.8</v>
      </c>
      <c r="BI4">
        <v>1</v>
      </c>
      <c r="BJ4">
        <v>4.2</v>
      </c>
      <c r="BK4">
        <v>2.7</v>
      </c>
      <c r="BL4">
        <v>-19.3</v>
      </c>
      <c r="BM4">
        <v>1.5</v>
      </c>
      <c r="BN4">
        <v>8</v>
      </c>
      <c r="BZ4">
        <v>1</v>
      </c>
      <c r="CA4">
        <v>0.1</v>
      </c>
      <c r="CB4">
        <v>-22.7</v>
      </c>
      <c r="CC4">
        <v>6.7</v>
      </c>
      <c r="CD4">
        <v>-2.1</v>
      </c>
      <c r="CE4">
        <v>-3.8</v>
      </c>
      <c r="CG4">
        <v>1</v>
      </c>
      <c r="CH4">
        <v>3.7</v>
      </c>
      <c r="CI4">
        <v>1.3</v>
      </c>
      <c r="CJ4">
        <v>3.8</v>
      </c>
      <c r="CK4">
        <v>4</v>
      </c>
      <c r="CL4">
        <v>5.2</v>
      </c>
    </row>
    <row r="5" spans="1:90" x14ac:dyDescent="0.35">
      <c r="A5">
        <v>2</v>
      </c>
      <c r="B5">
        <v>-1.1000000000000001</v>
      </c>
      <c r="C5">
        <v>-3</v>
      </c>
      <c r="D5">
        <v>-60.5</v>
      </c>
      <c r="E5">
        <v>-0.1</v>
      </c>
      <c r="F5">
        <v>-0.4</v>
      </c>
      <c r="H5">
        <v>2</v>
      </c>
      <c r="I5">
        <v>1.1000000000000001</v>
      </c>
      <c r="J5">
        <v>2.7</v>
      </c>
      <c r="K5">
        <v>1.7</v>
      </c>
      <c r="L5">
        <v>3.1</v>
      </c>
      <c r="M5">
        <v>0.1</v>
      </c>
      <c r="AB5">
        <v>2</v>
      </c>
      <c r="AC5">
        <v>0.3</v>
      </c>
      <c r="AD5">
        <v>-0.4</v>
      </c>
      <c r="AE5">
        <v>-11</v>
      </c>
      <c r="AF5">
        <v>0.3</v>
      </c>
      <c r="AG5">
        <v>3</v>
      </c>
      <c r="AI5">
        <v>2</v>
      </c>
      <c r="AJ5">
        <v>1.3</v>
      </c>
      <c r="AK5">
        <v>1</v>
      </c>
      <c r="AL5">
        <v>2.9</v>
      </c>
      <c r="AM5">
        <v>4.2</v>
      </c>
      <c r="AN5">
        <v>1</v>
      </c>
      <c r="BB5">
        <v>2</v>
      </c>
      <c r="BC5">
        <v>-0.2</v>
      </c>
      <c r="BD5">
        <v>-13.5</v>
      </c>
      <c r="BE5">
        <v>-7.7</v>
      </c>
      <c r="BF5">
        <v>-2</v>
      </c>
      <c r="BG5">
        <v>-24.8</v>
      </c>
      <c r="BI5">
        <v>2</v>
      </c>
      <c r="BJ5">
        <v>4.7</v>
      </c>
      <c r="BK5">
        <v>3</v>
      </c>
      <c r="BL5">
        <v>-19</v>
      </c>
      <c r="BM5">
        <v>1.9</v>
      </c>
      <c r="BN5">
        <v>8.8000000000000007</v>
      </c>
      <c r="BZ5">
        <v>2</v>
      </c>
      <c r="CA5">
        <v>0.4</v>
      </c>
      <c r="CB5">
        <v>-28.2</v>
      </c>
      <c r="CC5">
        <v>2.2999999999999998</v>
      </c>
      <c r="CD5">
        <v>-7.4</v>
      </c>
      <c r="CE5">
        <v>-5.5</v>
      </c>
      <c r="CG5">
        <v>2</v>
      </c>
      <c r="CH5">
        <v>4.9000000000000004</v>
      </c>
      <c r="CI5">
        <v>1.5</v>
      </c>
      <c r="CJ5">
        <v>4.5</v>
      </c>
      <c r="CK5">
        <v>5.0999999999999996</v>
      </c>
      <c r="CL5">
        <v>5.9</v>
      </c>
    </row>
    <row r="6" spans="1:90" x14ac:dyDescent="0.35">
      <c r="A6">
        <v>3</v>
      </c>
      <c r="B6">
        <v>-4.5999999999999996</v>
      </c>
      <c r="C6">
        <v>-6.7</v>
      </c>
      <c r="D6">
        <v>-71.099999999999994</v>
      </c>
      <c r="E6">
        <v>-0.1</v>
      </c>
      <c r="F6">
        <v>-0.5</v>
      </c>
      <c r="H6">
        <v>3</v>
      </c>
      <c r="I6">
        <v>1.2</v>
      </c>
      <c r="J6">
        <v>2.8</v>
      </c>
      <c r="K6">
        <v>2.4</v>
      </c>
      <c r="L6">
        <v>3.5</v>
      </c>
      <c r="M6">
        <v>0.2</v>
      </c>
      <c r="AB6">
        <v>3</v>
      </c>
      <c r="AC6">
        <v>0.3</v>
      </c>
      <c r="AD6">
        <v>-1.1000000000000001</v>
      </c>
      <c r="AE6">
        <v>-14.6</v>
      </c>
      <c r="AF6">
        <v>0.2</v>
      </c>
      <c r="AG6">
        <v>2.7</v>
      </c>
      <c r="AI6">
        <v>3</v>
      </c>
      <c r="AJ6">
        <v>1.5</v>
      </c>
      <c r="AK6">
        <v>1.1000000000000001</v>
      </c>
      <c r="AL6">
        <v>3.2</v>
      </c>
      <c r="AM6">
        <v>4.7</v>
      </c>
      <c r="AN6">
        <v>1.2</v>
      </c>
      <c r="BB6">
        <v>3</v>
      </c>
      <c r="BC6">
        <v>-0.3</v>
      </c>
      <c r="BD6">
        <v>-14.2</v>
      </c>
      <c r="BE6">
        <v>-13.2</v>
      </c>
      <c r="BF6">
        <v>-2.1</v>
      </c>
      <c r="BG6">
        <v>-26.5</v>
      </c>
      <c r="BI6">
        <v>3</v>
      </c>
      <c r="BJ6">
        <v>5.2</v>
      </c>
      <c r="BK6">
        <v>3.4</v>
      </c>
      <c r="BL6">
        <v>-18.600000000000001</v>
      </c>
      <c r="BM6">
        <v>2.2000000000000002</v>
      </c>
      <c r="BN6">
        <v>9.6</v>
      </c>
      <c r="BZ6">
        <v>3</v>
      </c>
      <c r="CA6">
        <v>0.6</v>
      </c>
      <c r="CB6">
        <v>-37.299999999999997</v>
      </c>
      <c r="CC6">
        <v>-1.7</v>
      </c>
      <c r="CD6">
        <v>-12.6</v>
      </c>
      <c r="CE6">
        <v>-7</v>
      </c>
      <c r="CG6">
        <v>3</v>
      </c>
      <c r="CH6">
        <v>6.6</v>
      </c>
      <c r="CI6">
        <v>1.6</v>
      </c>
      <c r="CJ6">
        <v>5.0999999999999996</v>
      </c>
      <c r="CK6">
        <v>6.6</v>
      </c>
      <c r="CL6">
        <v>6.6</v>
      </c>
    </row>
    <row r="7" spans="1:90" x14ac:dyDescent="0.35">
      <c r="A7">
        <v>4</v>
      </c>
      <c r="B7">
        <v>-15</v>
      </c>
      <c r="C7">
        <v>-12.5</v>
      </c>
      <c r="D7">
        <v>-79.8</v>
      </c>
      <c r="E7">
        <v>-0.1</v>
      </c>
      <c r="F7">
        <v>-0.5</v>
      </c>
      <c r="H7">
        <v>4</v>
      </c>
      <c r="I7">
        <v>1.3</v>
      </c>
      <c r="J7">
        <v>3</v>
      </c>
      <c r="K7">
        <v>3.4</v>
      </c>
      <c r="L7">
        <v>3.8</v>
      </c>
      <c r="M7">
        <v>0.2</v>
      </c>
      <c r="AB7">
        <v>4</v>
      </c>
      <c r="AC7">
        <v>0.4</v>
      </c>
      <c r="AD7">
        <v>-2.9</v>
      </c>
      <c r="AE7">
        <v>-19.3</v>
      </c>
      <c r="AF7">
        <v>0.2</v>
      </c>
      <c r="AG7">
        <v>2.2999999999999998</v>
      </c>
      <c r="AI7">
        <v>4</v>
      </c>
      <c r="AJ7">
        <v>1.7</v>
      </c>
      <c r="AK7">
        <v>1.3</v>
      </c>
      <c r="AL7">
        <v>3.4</v>
      </c>
      <c r="AM7">
        <v>5.2</v>
      </c>
      <c r="AN7">
        <v>1.3</v>
      </c>
      <c r="BB7">
        <v>4</v>
      </c>
      <c r="BC7">
        <v>-0.3</v>
      </c>
      <c r="BD7">
        <v>-14.8</v>
      </c>
      <c r="BE7">
        <v>-21.9</v>
      </c>
      <c r="BF7">
        <v>-2.2000000000000002</v>
      </c>
      <c r="BG7">
        <v>-27.9</v>
      </c>
      <c r="BI7">
        <v>4</v>
      </c>
      <c r="BJ7">
        <v>5.6</v>
      </c>
      <c r="BK7">
        <v>3.7</v>
      </c>
      <c r="BL7">
        <v>-18.3</v>
      </c>
      <c r="BM7">
        <v>2.2999999999999998</v>
      </c>
      <c r="BN7">
        <v>10.3</v>
      </c>
      <c r="BZ7">
        <v>4</v>
      </c>
      <c r="CA7">
        <v>0.8</v>
      </c>
      <c r="CB7">
        <v>-49.8</v>
      </c>
      <c r="CC7">
        <v>-5.2</v>
      </c>
      <c r="CD7">
        <v>-18</v>
      </c>
      <c r="CE7">
        <v>-8.3000000000000007</v>
      </c>
      <c r="CG7">
        <v>4</v>
      </c>
      <c r="CH7">
        <v>8.3000000000000007</v>
      </c>
      <c r="CI7">
        <v>1.7</v>
      </c>
      <c r="CJ7">
        <v>5.8</v>
      </c>
      <c r="CK7">
        <v>8.4</v>
      </c>
      <c r="CL7">
        <v>7.3</v>
      </c>
    </row>
    <row r="8" spans="1:90" x14ac:dyDescent="0.35">
      <c r="A8">
        <v>5</v>
      </c>
      <c r="B8">
        <v>-38.799999999999997</v>
      </c>
      <c r="C8">
        <v>-22.4</v>
      </c>
      <c r="D8">
        <v>-87.7</v>
      </c>
      <c r="E8">
        <v>-0.1</v>
      </c>
      <c r="F8">
        <v>-0.5</v>
      </c>
      <c r="H8">
        <v>5</v>
      </c>
      <c r="I8">
        <v>1.5</v>
      </c>
      <c r="J8">
        <v>3.1</v>
      </c>
      <c r="K8">
        <v>4.5</v>
      </c>
      <c r="L8">
        <v>4</v>
      </c>
      <c r="M8">
        <v>0.2</v>
      </c>
      <c r="AB8">
        <v>5</v>
      </c>
      <c r="AC8">
        <v>0.4</v>
      </c>
      <c r="AD8">
        <v>-4.9000000000000004</v>
      </c>
      <c r="AE8">
        <v>-25.9</v>
      </c>
      <c r="AF8">
        <v>0.1</v>
      </c>
      <c r="AG8">
        <v>1.9</v>
      </c>
      <c r="AI8">
        <v>5</v>
      </c>
      <c r="AJ8">
        <v>1.8</v>
      </c>
      <c r="AK8">
        <v>1.4</v>
      </c>
      <c r="AL8">
        <v>3.6</v>
      </c>
      <c r="AM8">
        <v>5.7</v>
      </c>
      <c r="AN8">
        <v>1.5</v>
      </c>
      <c r="BB8">
        <v>5</v>
      </c>
      <c r="BC8">
        <v>-0.3</v>
      </c>
      <c r="BD8">
        <v>-15.3</v>
      </c>
      <c r="BE8">
        <v>-34.6</v>
      </c>
      <c r="BF8">
        <v>-2.5</v>
      </c>
      <c r="BG8">
        <v>-29.1</v>
      </c>
      <c r="BI8">
        <v>5</v>
      </c>
      <c r="BJ8">
        <v>6</v>
      </c>
      <c r="BK8">
        <v>4.0999999999999996</v>
      </c>
      <c r="BL8">
        <v>-18.100000000000001</v>
      </c>
      <c r="BM8">
        <v>2.6</v>
      </c>
      <c r="BN8">
        <v>10.9</v>
      </c>
      <c r="BZ8">
        <v>5</v>
      </c>
      <c r="CA8">
        <v>0.6</v>
      </c>
      <c r="CB8">
        <v>-64.2</v>
      </c>
      <c r="CC8">
        <v>-8.1999999999999993</v>
      </c>
      <c r="CD8">
        <v>-22.6</v>
      </c>
      <c r="CE8">
        <v>-9.5</v>
      </c>
      <c r="CG8">
        <v>5</v>
      </c>
      <c r="CH8">
        <v>9.6999999999999993</v>
      </c>
      <c r="CI8">
        <v>1.7</v>
      </c>
      <c r="CJ8">
        <v>6.6</v>
      </c>
      <c r="CK8">
        <v>10.1</v>
      </c>
      <c r="CL8">
        <v>7.9</v>
      </c>
    </row>
    <row r="9" spans="1:90" x14ac:dyDescent="0.35">
      <c r="A9">
        <v>6</v>
      </c>
      <c r="B9">
        <v>-68.3</v>
      </c>
      <c r="C9">
        <v>-41.2</v>
      </c>
      <c r="D9">
        <v>-97.6</v>
      </c>
      <c r="E9">
        <v>-0.1</v>
      </c>
      <c r="F9">
        <v>-0.6</v>
      </c>
      <c r="H9">
        <v>6</v>
      </c>
      <c r="I9">
        <v>1.6</v>
      </c>
      <c r="J9">
        <v>3.3</v>
      </c>
      <c r="K9">
        <v>5.6</v>
      </c>
      <c r="L9">
        <v>4.2</v>
      </c>
      <c r="M9">
        <v>0.2</v>
      </c>
      <c r="AB9">
        <v>6</v>
      </c>
      <c r="AC9">
        <v>0.4</v>
      </c>
      <c r="AD9">
        <v>-6.8</v>
      </c>
      <c r="AE9">
        <v>-36.700000000000003</v>
      </c>
      <c r="AF9">
        <v>0.1</v>
      </c>
      <c r="AG9">
        <v>1.6</v>
      </c>
      <c r="AI9">
        <v>6</v>
      </c>
      <c r="AJ9">
        <v>2</v>
      </c>
      <c r="AK9">
        <v>1.5</v>
      </c>
      <c r="AL9">
        <v>3.8</v>
      </c>
      <c r="AM9">
        <v>6.1</v>
      </c>
      <c r="AN9">
        <v>1.6</v>
      </c>
      <c r="BB9">
        <v>6</v>
      </c>
      <c r="BC9">
        <v>-0.3</v>
      </c>
      <c r="BD9">
        <v>-15.8</v>
      </c>
      <c r="BE9">
        <v>-49.7</v>
      </c>
      <c r="BF9">
        <v>-3.2</v>
      </c>
      <c r="BG9">
        <v>-30.6</v>
      </c>
      <c r="BI9">
        <v>6</v>
      </c>
      <c r="BJ9">
        <v>6.4</v>
      </c>
      <c r="BK9">
        <v>4.5999999999999996</v>
      </c>
      <c r="BL9">
        <v>-18</v>
      </c>
      <c r="BM9">
        <v>3.3</v>
      </c>
      <c r="BN9">
        <v>11.6</v>
      </c>
      <c r="BZ9">
        <v>6</v>
      </c>
      <c r="CA9">
        <v>-2.6</v>
      </c>
      <c r="CB9">
        <v>-76.8</v>
      </c>
      <c r="CC9">
        <v>-10.9</v>
      </c>
      <c r="CD9">
        <v>-28.3</v>
      </c>
      <c r="CE9">
        <v>-10.5</v>
      </c>
      <c r="CG9">
        <v>6</v>
      </c>
      <c r="CH9">
        <v>11.1</v>
      </c>
      <c r="CI9">
        <v>1.7</v>
      </c>
      <c r="CJ9">
        <v>7.7</v>
      </c>
      <c r="CK9">
        <v>11.9</v>
      </c>
      <c r="CL9">
        <v>8.6999999999999993</v>
      </c>
    </row>
    <row r="10" spans="1:90" x14ac:dyDescent="0.35">
      <c r="A10">
        <v>7</v>
      </c>
      <c r="B10">
        <v>-86.9</v>
      </c>
      <c r="C10">
        <v>-63.1</v>
      </c>
      <c r="D10">
        <v>-109.8</v>
      </c>
      <c r="E10">
        <v>-0.1</v>
      </c>
      <c r="F10">
        <v>-0.6</v>
      </c>
      <c r="H10">
        <v>7</v>
      </c>
      <c r="I10">
        <v>1.7</v>
      </c>
      <c r="J10">
        <v>3.8</v>
      </c>
      <c r="K10">
        <v>7.5</v>
      </c>
      <c r="L10">
        <v>4.8</v>
      </c>
      <c r="M10">
        <v>0.2</v>
      </c>
      <c r="AB10">
        <v>7</v>
      </c>
      <c r="AC10">
        <v>0.3</v>
      </c>
      <c r="AD10">
        <v>-10.199999999999999</v>
      </c>
      <c r="AE10">
        <v>-50.3</v>
      </c>
      <c r="AF10">
        <v>0.1</v>
      </c>
      <c r="AG10">
        <v>1.1000000000000001</v>
      </c>
      <c r="AI10">
        <v>7</v>
      </c>
      <c r="AJ10">
        <v>2.1</v>
      </c>
      <c r="AK10">
        <v>1.6</v>
      </c>
      <c r="AL10">
        <v>4</v>
      </c>
      <c r="AM10">
        <v>6.5</v>
      </c>
      <c r="AN10">
        <v>1.7</v>
      </c>
      <c r="BB10">
        <v>7</v>
      </c>
      <c r="BC10">
        <v>-0.4</v>
      </c>
      <c r="BD10">
        <v>-16.3</v>
      </c>
      <c r="BE10">
        <v>-63.7</v>
      </c>
      <c r="BF10">
        <v>-4.0999999999999996</v>
      </c>
      <c r="BG10">
        <v>-32</v>
      </c>
      <c r="BI10">
        <v>7</v>
      </c>
      <c r="BJ10">
        <v>6.8</v>
      </c>
      <c r="BK10">
        <v>5</v>
      </c>
      <c r="BL10">
        <v>-17.5</v>
      </c>
      <c r="BM10">
        <v>5.2</v>
      </c>
      <c r="BN10">
        <v>13</v>
      </c>
      <c r="BZ10">
        <v>7</v>
      </c>
      <c r="CA10">
        <v>-19.899999999999999</v>
      </c>
      <c r="CB10">
        <v>-91.2</v>
      </c>
      <c r="CC10">
        <v>-13.5</v>
      </c>
      <c r="CD10">
        <v>-38.9</v>
      </c>
      <c r="CE10">
        <v>-11.6</v>
      </c>
      <c r="CG10">
        <v>7</v>
      </c>
      <c r="CH10">
        <v>12.3</v>
      </c>
      <c r="CI10">
        <v>1.6</v>
      </c>
      <c r="CJ10">
        <v>9.1</v>
      </c>
      <c r="CK10">
        <v>13.5</v>
      </c>
      <c r="CL10">
        <v>9.9</v>
      </c>
    </row>
    <row r="11" spans="1:90" x14ac:dyDescent="0.35">
      <c r="A11">
        <v>8</v>
      </c>
      <c r="B11">
        <v>-102.7</v>
      </c>
      <c r="C11">
        <v>-79.599999999999994</v>
      </c>
      <c r="D11">
        <v>-118.5</v>
      </c>
      <c r="E11">
        <v>-0.1</v>
      </c>
      <c r="F11">
        <v>-1.6</v>
      </c>
      <c r="H11">
        <v>8</v>
      </c>
      <c r="I11">
        <v>1.8</v>
      </c>
      <c r="J11">
        <v>4.8</v>
      </c>
      <c r="K11">
        <v>10.6</v>
      </c>
      <c r="L11">
        <v>6.1</v>
      </c>
      <c r="M11">
        <v>0.3</v>
      </c>
      <c r="AB11">
        <v>8</v>
      </c>
      <c r="AC11">
        <v>0.3</v>
      </c>
      <c r="AD11">
        <v>-18.3</v>
      </c>
      <c r="AE11">
        <v>-63.5</v>
      </c>
      <c r="AF11">
        <v>0.1</v>
      </c>
      <c r="AG11">
        <v>0.7</v>
      </c>
      <c r="AI11">
        <v>8</v>
      </c>
      <c r="AJ11">
        <v>2.2999999999999998</v>
      </c>
      <c r="AK11">
        <v>2</v>
      </c>
      <c r="AL11">
        <v>4.2</v>
      </c>
      <c r="AM11">
        <v>6.9</v>
      </c>
      <c r="AN11">
        <v>2.2000000000000002</v>
      </c>
      <c r="BB11">
        <v>8</v>
      </c>
      <c r="BC11">
        <v>-0.4</v>
      </c>
      <c r="BD11">
        <v>-16.7</v>
      </c>
      <c r="BE11">
        <v>-75.900000000000006</v>
      </c>
      <c r="BF11">
        <v>-4.8</v>
      </c>
      <c r="BG11">
        <v>-33.5</v>
      </c>
      <c r="BI11">
        <v>8</v>
      </c>
      <c r="BJ11">
        <v>7.1</v>
      </c>
      <c r="BK11">
        <v>5.3</v>
      </c>
      <c r="BL11">
        <v>-16.3</v>
      </c>
      <c r="BM11">
        <v>9.5</v>
      </c>
      <c r="BN11">
        <v>16.399999999999999</v>
      </c>
      <c r="BZ11">
        <v>8</v>
      </c>
      <c r="CA11">
        <v>-68.8</v>
      </c>
      <c r="CB11">
        <v>-109</v>
      </c>
      <c r="CC11">
        <v>-16.7</v>
      </c>
      <c r="CD11">
        <v>-60.9</v>
      </c>
      <c r="CE11">
        <v>-13.5</v>
      </c>
      <c r="CG11">
        <v>8</v>
      </c>
      <c r="CH11">
        <v>13.5</v>
      </c>
      <c r="CI11">
        <v>1.7</v>
      </c>
      <c r="CJ11">
        <v>10.3</v>
      </c>
      <c r="CK11">
        <v>14.9</v>
      </c>
      <c r="CL11">
        <v>12.1</v>
      </c>
    </row>
    <row r="12" spans="1:90" x14ac:dyDescent="0.35">
      <c r="A12">
        <v>9</v>
      </c>
      <c r="B12">
        <v>-122.9</v>
      </c>
      <c r="C12">
        <v>-94</v>
      </c>
      <c r="D12">
        <v>-123.7</v>
      </c>
      <c r="E12">
        <v>0</v>
      </c>
      <c r="F12">
        <v>-10.6</v>
      </c>
      <c r="H12">
        <v>9</v>
      </c>
      <c r="I12">
        <v>1.9</v>
      </c>
      <c r="J12">
        <v>6.8</v>
      </c>
      <c r="K12">
        <v>14.3</v>
      </c>
      <c r="L12">
        <v>7.8</v>
      </c>
      <c r="M12">
        <v>0.3</v>
      </c>
      <c r="AB12">
        <v>9</v>
      </c>
      <c r="AC12">
        <v>0.4</v>
      </c>
      <c r="AD12">
        <v>-35.5</v>
      </c>
      <c r="AE12">
        <v>-75.599999999999994</v>
      </c>
      <c r="AF12">
        <v>0</v>
      </c>
      <c r="AG12">
        <v>0.2</v>
      </c>
      <c r="AI12">
        <v>9</v>
      </c>
      <c r="AJ12">
        <v>2.5</v>
      </c>
      <c r="AK12">
        <v>3</v>
      </c>
      <c r="AL12">
        <v>4.4000000000000004</v>
      </c>
      <c r="AM12">
        <v>7.3</v>
      </c>
      <c r="AN12">
        <v>3.2</v>
      </c>
      <c r="BB12">
        <v>9</v>
      </c>
      <c r="BC12">
        <v>-0.4</v>
      </c>
      <c r="BD12">
        <v>-17</v>
      </c>
      <c r="BE12">
        <v>-87.2</v>
      </c>
      <c r="BF12">
        <v>-5.2</v>
      </c>
      <c r="BG12">
        <v>-36.1</v>
      </c>
      <c r="BI12">
        <v>9</v>
      </c>
      <c r="BJ12">
        <v>7.6</v>
      </c>
      <c r="BK12">
        <v>5.6</v>
      </c>
      <c r="BL12">
        <v>-13.9</v>
      </c>
      <c r="BM12">
        <v>17.899999999999999</v>
      </c>
      <c r="BN12">
        <v>23.2</v>
      </c>
      <c r="BZ12">
        <v>9</v>
      </c>
      <c r="CA12">
        <v>-123.4</v>
      </c>
      <c r="CB12">
        <v>-128.19999999999999</v>
      </c>
      <c r="CC12">
        <v>-21.4</v>
      </c>
      <c r="CD12">
        <v>-99.3</v>
      </c>
      <c r="CE12">
        <v>-17.399999999999999</v>
      </c>
      <c r="CG12">
        <v>9</v>
      </c>
      <c r="CH12">
        <v>14.8</v>
      </c>
      <c r="CI12">
        <v>1.9</v>
      </c>
      <c r="CJ12">
        <v>11.5</v>
      </c>
      <c r="CK12">
        <v>16</v>
      </c>
      <c r="CL12">
        <v>15.4</v>
      </c>
    </row>
    <row r="13" spans="1:90" x14ac:dyDescent="0.35">
      <c r="A13">
        <v>10</v>
      </c>
      <c r="B13">
        <v>-146.1</v>
      </c>
      <c r="C13">
        <v>-110.2</v>
      </c>
      <c r="D13">
        <v>-127.4</v>
      </c>
      <c r="E13">
        <v>-0.3</v>
      </c>
      <c r="F13">
        <v>-51.9</v>
      </c>
      <c r="H13">
        <v>10</v>
      </c>
      <c r="I13">
        <v>2.1</v>
      </c>
      <c r="J13">
        <v>10.5</v>
      </c>
      <c r="K13">
        <v>19</v>
      </c>
      <c r="L13">
        <v>10.8</v>
      </c>
      <c r="M13">
        <v>0.6</v>
      </c>
      <c r="AB13">
        <v>10</v>
      </c>
      <c r="AC13">
        <v>0.5</v>
      </c>
      <c r="AD13">
        <v>-59.4</v>
      </c>
      <c r="AE13">
        <v>-84.9</v>
      </c>
      <c r="AF13">
        <v>-0.1</v>
      </c>
      <c r="AG13">
        <v>-0.6</v>
      </c>
      <c r="AI13">
        <v>10</v>
      </c>
      <c r="AJ13">
        <v>2.8</v>
      </c>
      <c r="AK13">
        <v>5.4</v>
      </c>
      <c r="AL13">
        <v>4.5999999999999996</v>
      </c>
      <c r="AM13">
        <v>7.7</v>
      </c>
      <c r="AN13">
        <v>4.4000000000000004</v>
      </c>
      <c r="BB13">
        <v>10</v>
      </c>
      <c r="BC13">
        <v>-0.4</v>
      </c>
      <c r="BD13">
        <v>-17.399999999999999</v>
      </c>
      <c r="BE13">
        <v>-100.3</v>
      </c>
      <c r="BF13">
        <v>-5.3</v>
      </c>
      <c r="BG13">
        <v>-41.5</v>
      </c>
      <c r="BI13">
        <v>10</v>
      </c>
      <c r="BJ13">
        <v>8.1</v>
      </c>
      <c r="BK13">
        <v>5.9</v>
      </c>
      <c r="BL13">
        <v>-10.4</v>
      </c>
      <c r="BM13">
        <v>30</v>
      </c>
      <c r="BN13">
        <v>32.5</v>
      </c>
      <c r="BZ13">
        <v>10</v>
      </c>
      <c r="CA13">
        <v>-154.80000000000001</v>
      </c>
      <c r="CB13">
        <v>-152.69999999999999</v>
      </c>
      <c r="CC13">
        <v>-28.4</v>
      </c>
      <c r="CD13">
        <v>-151.6</v>
      </c>
      <c r="CE13">
        <v>-26</v>
      </c>
      <c r="CG13">
        <v>10</v>
      </c>
      <c r="CH13">
        <v>16.3</v>
      </c>
      <c r="CI13">
        <v>2.5</v>
      </c>
      <c r="CJ13">
        <v>12.7</v>
      </c>
      <c r="CK13">
        <v>17.100000000000001</v>
      </c>
      <c r="CL13">
        <v>19.5</v>
      </c>
    </row>
    <row r="14" spans="1:90" x14ac:dyDescent="0.35">
      <c r="A14">
        <v>11</v>
      </c>
      <c r="B14">
        <v>-171.1</v>
      </c>
      <c r="C14">
        <v>-127.6</v>
      </c>
      <c r="D14">
        <v>-129.9</v>
      </c>
      <c r="E14">
        <v>-2.1</v>
      </c>
      <c r="F14">
        <v>-112.6</v>
      </c>
      <c r="H14">
        <v>11</v>
      </c>
      <c r="I14">
        <v>2.2000000000000002</v>
      </c>
      <c r="J14">
        <v>15.4</v>
      </c>
      <c r="K14">
        <v>25.2</v>
      </c>
      <c r="L14">
        <v>17.600000000000001</v>
      </c>
      <c r="M14">
        <v>1.9</v>
      </c>
      <c r="AB14">
        <v>11</v>
      </c>
      <c r="AC14">
        <v>0.6</v>
      </c>
      <c r="AD14">
        <v>-78.2</v>
      </c>
      <c r="AE14">
        <v>-90.8</v>
      </c>
      <c r="AF14">
        <v>-0.2</v>
      </c>
      <c r="AG14">
        <v>-2.4</v>
      </c>
      <c r="AI14">
        <v>11</v>
      </c>
      <c r="AJ14">
        <v>3.1</v>
      </c>
      <c r="AK14">
        <v>9.8000000000000007</v>
      </c>
      <c r="AL14">
        <v>4.8</v>
      </c>
      <c r="AM14">
        <v>8.1</v>
      </c>
      <c r="AN14">
        <v>5.5</v>
      </c>
      <c r="BB14">
        <v>11</v>
      </c>
      <c r="BC14">
        <v>-0.5</v>
      </c>
      <c r="BD14">
        <v>-17.899999999999999</v>
      </c>
      <c r="BE14">
        <v>-116</v>
      </c>
      <c r="BF14">
        <v>-6.2</v>
      </c>
      <c r="BG14">
        <v>-49</v>
      </c>
      <c r="BI14">
        <v>11</v>
      </c>
      <c r="BJ14">
        <v>8.6999999999999993</v>
      </c>
      <c r="BK14">
        <v>6.2</v>
      </c>
      <c r="BL14">
        <v>-5.9</v>
      </c>
      <c r="BM14">
        <v>43.7</v>
      </c>
      <c r="BN14">
        <v>42.2</v>
      </c>
      <c r="BZ14">
        <v>11</v>
      </c>
      <c r="CA14">
        <v>-180.1</v>
      </c>
      <c r="CB14">
        <v>-188.6</v>
      </c>
      <c r="CC14">
        <v>-38.200000000000003</v>
      </c>
      <c r="CD14">
        <v>-190.2</v>
      </c>
      <c r="CE14">
        <v>-45.8</v>
      </c>
      <c r="CG14">
        <v>11</v>
      </c>
      <c r="CH14">
        <v>18.5</v>
      </c>
      <c r="CI14">
        <v>3.6</v>
      </c>
      <c r="CJ14">
        <v>14.1</v>
      </c>
      <c r="CK14">
        <v>18.399999999999999</v>
      </c>
      <c r="CL14">
        <v>25.1</v>
      </c>
    </row>
    <row r="15" spans="1:90" x14ac:dyDescent="0.35">
      <c r="A15">
        <v>12</v>
      </c>
      <c r="B15">
        <v>-190.7</v>
      </c>
      <c r="C15">
        <v>-142.1</v>
      </c>
      <c r="D15">
        <v>-131.19999999999999</v>
      </c>
      <c r="E15">
        <v>-10.7</v>
      </c>
      <c r="F15">
        <v>-152.30000000000001</v>
      </c>
      <c r="H15">
        <v>12</v>
      </c>
      <c r="I15">
        <v>2.4</v>
      </c>
      <c r="J15">
        <v>21</v>
      </c>
      <c r="K15">
        <v>33.299999999999997</v>
      </c>
      <c r="L15">
        <v>26.7</v>
      </c>
      <c r="M15">
        <v>4.9000000000000004</v>
      </c>
      <c r="AB15">
        <v>12</v>
      </c>
      <c r="AC15">
        <v>0.6</v>
      </c>
      <c r="AD15">
        <v>-102.7</v>
      </c>
      <c r="AE15">
        <v>-94.1</v>
      </c>
      <c r="AF15">
        <v>-0.7</v>
      </c>
      <c r="AG15">
        <v>-6.8</v>
      </c>
      <c r="AI15">
        <v>12</v>
      </c>
      <c r="AJ15">
        <v>3.7</v>
      </c>
      <c r="AK15">
        <v>17</v>
      </c>
      <c r="AL15">
        <v>5</v>
      </c>
      <c r="AM15">
        <v>8.5</v>
      </c>
      <c r="AN15">
        <v>6.5</v>
      </c>
      <c r="BB15">
        <v>12</v>
      </c>
      <c r="BC15">
        <v>-0.5</v>
      </c>
      <c r="BD15">
        <v>-19.600000000000001</v>
      </c>
      <c r="BE15">
        <v>-145</v>
      </c>
      <c r="BF15">
        <v>-11.7</v>
      </c>
      <c r="BG15">
        <v>-57.8</v>
      </c>
      <c r="BI15">
        <v>12</v>
      </c>
      <c r="BJ15">
        <v>9.6</v>
      </c>
      <c r="BK15">
        <v>6.6</v>
      </c>
      <c r="BL15">
        <v>0.4</v>
      </c>
      <c r="BM15">
        <v>60.7</v>
      </c>
      <c r="BN15">
        <v>52</v>
      </c>
      <c r="BZ15">
        <v>12</v>
      </c>
      <c r="CA15">
        <v>-214.8</v>
      </c>
      <c r="CB15">
        <v>-221.4</v>
      </c>
      <c r="CC15">
        <v>-53</v>
      </c>
      <c r="CD15">
        <v>-206.6</v>
      </c>
      <c r="CE15">
        <v>-77.7</v>
      </c>
      <c r="CG15">
        <v>12</v>
      </c>
      <c r="CH15">
        <v>22.3</v>
      </c>
      <c r="CI15">
        <v>5.3</v>
      </c>
      <c r="CJ15">
        <v>15.5</v>
      </c>
      <c r="CK15">
        <v>20.8</v>
      </c>
      <c r="CL15">
        <v>32.4</v>
      </c>
    </row>
    <row r="16" spans="1:90" x14ac:dyDescent="0.35">
      <c r="A16">
        <v>13</v>
      </c>
      <c r="B16">
        <v>-205.7</v>
      </c>
      <c r="C16">
        <v>-150.9</v>
      </c>
      <c r="D16">
        <v>-132</v>
      </c>
      <c r="E16">
        <v>-34.1</v>
      </c>
      <c r="F16">
        <v>-181.7</v>
      </c>
      <c r="H16">
        <v>13</v>
      </c>
      <c r="I16">
        <v>2.7</v>
      </c>
      <c r="J16">
        <v>25.7</v>
      </c>
      <c r="K16">
        <v>43.2</v>
      </c>
      <c r="L16">
        <v>34.9</v>
      </c>
      <c r="M16">
        <v>9.6999999999999993</v>
      </c>
      <c r="AB16">
        <v>13</v>
      </c>
      <c r="AC16">
        <v>0.7</v>
      </c>
      <c r="AD16">
        <v>-126.7</v>
      </c>
      <c r="AE16">
        <v>-95.9</v>
      </c>
      <c r="AF16">
        <v>-3.5</v>
      </c>
      <c r="AG16">
        <v>-16.5</v>
      </c>
      <c r="AI16">
        <v>13</v>
      </c>
      <c r="AJ16">
        <v>4.4000000000000004</v>
      </c>
      <c r="AK16">
        <v>27</v>
      </c>
      <c r="AL16">
        <v>5.0999999999999996</v>
      </c>
      <c r="AM16">
        <v>8.9</v>
      </c>
      <c r="AN16">
        <v>7.4</v>
      </c>
      <c r="BB16">
        <v>13</v>
      </c>
      <c r="BC16">
        <v>-0.5</v>
      </c>
      <c r="BD16">
        <v>-24.6</v>
      </c>
      <c r="BE16">
        <v>-168.3</v>
      </c>
      <c r="BF16">
        <v>-24.5</v>
      </c>
      <c r="BG16">
        <v>-68.400000000000006</v>
      </c>
      <c r="BI16">
        <v>13</v>
      </c>
      <c r="BJ16">
        <v>10.6</v>
      </c>
      <c r="BK16">
        <v>6.9</v>
      </c>
      <c r="BL16">
        <v>10</v>
      </c>
      <c r="BM16">
        <v>102.5</v>
      </c>
      <c r="BN16">
        <v>60.7</v>
      </c>
      <c r="BZ16">
        <v>13</v>
      </c>
      <c r="CA16">
        <v>-246.7</v>
      </c>
      <c r="CB16">
        <v>-241.4</v>
      </c>
      <c r="CC16">
        <v>-73.5</v>
      </c>
      <c r="CD16">
        <v>-232</v>
      </c>
      <c r="CE16">
        <v>-112</v>
      </c>
      <c r="CG16">
        <v>13</v>
      </c>
      <c r="CH16">
        <v>28.4</v>
      </c>
      <c r="CI16">
        <v>7.3</v>
      </c>
      <c r="CJ16">
        <v>16.899999999999999</v>
      </c>
      <c r="CK16">
        <v>25.6</v>
      </c>
      <c r="CL16">
        <v>41.4</v>
      </c>
    </row>
    <row r="17" spans="1:90" x14ac:dyDescent="0.35">
      <c r="A17">
        <v>14</v>
      </c>
      <c r="B17">
        <v>-222.3</v>
      </c>
      <c r="C17">
        <v>-156</v>
      </c>
      <c r="D17">
        <v>-132.69999999999999</v>
      </c>
      <c r="E17">
        <v>-68.400000000000006</v>
      </c>
      <c r="F17">
        <v>-213.4</v>
      </c>
      <c r="H17">
        <v>14</v>
      </c>
      <c r="I17">
        <v>3</v>
      </c>
      <c r="J17">
        <v>29.2</v>
      </c>
      <c r="K17">
        <v>54.6</v>
      </c>
      <c r="L17">
        <v>45.5</v>
      </c>
      <c r="M17">
        <v>15.7</v>
      </c>
      <c r="AB17">
        <v>14</v>
      </c>
      <c r="AC17">
        <v>0.8</v>
      </c>
      <c r="AD17">
        <v>-138.1</v>
      </c>
      <c r="AE17">
        <v>-98.4</v>
      </c>
      <c r="AF17">
        <v>-14.6</v>
      </c>
      <c r="AG17">
        <v>-32.799999999999997</v>
      </c>
      <c r="AI17">
        <v>14</v>
      </c>
      <c r="AJ17">
        <v>5.2</v>
      </c>
      <c r="AK17">
        <v>39.1</v>
      </c>
      <c r="AL17">
        <v>5.3</v>
      </c>
      <c r="AM17">
        <v>9.1999999999999993</v>
      </c>
      <c r="AN17">
        <v>8.1</v>
      </c>
      <c r="BB17">
        <v>14</v>
      </c>
      <c r="BC17">
        <v>-0.6</v>
      </c>
      <c r="BD17">
        <v>-34.6</v>
      </c>
      <c r="BE17">
        <v>-177.8</v>
      </c>
      <c r="BF17">
        <v>-41.7</v>
      </c>
      <c r="BG17">
        <v>-79.8</v>
      </c>
      <c r="BI17">
        <v>14</v>
      </c>
      <c r="BJ17">
        <v>12.5</v>
      </c>
      <c r="BK17">
        <v>7.2</v>
      </c>
      <c r="BL17">
        <v>24.3</v>
      </c>
      <c r="BM17">
        <v>204.2</v>
      </c>
      <c r="BN17">
        <v>68.5</v>
      </c>
      <c r="BZ17">
        <v>14</v>
      </c>
      <c r="CA17">
        <v>-268.60000000000002</v>
      </c>
      <c r="CB17">
        <v>-258.3</v>
      </c>
      <c r="CC17">
        <v>-93.6</v>
      </c>
      <c r="CD17">
        <v>-279.7</v>
      </c>
      <c r="CE17">
        <v>-142</v>
      </c>
      <c r="CG17">
        <v>14</v>
      </c>
      <c r="CH17">
        <v>36.200000000000003</v>
      </c>
      <c r="CI17">
        <v>9.6999999999999993</v>
      </c>
      <c r="CJ17">
        <v>19.600000000000001</v>
      </c>
      <c r="CK17">
        <v>33.5</v>
      </c>
      <c r="CL17">
        <v>52.2</v>
      </c>
    </row>
    <row r="18" spans="1:90" x14ac:dyDescent="0.35">
      <c r="A18">
        <v>15</v>
      </c>
      <c r="B18">
        <v>-238.8</v>
      </c>
      <c r="C18">
        <v>-163.19999999999999</v>
      </c>
      <c r="D18">
        <v>-133.4</v>
      </c>
      <c r="E18">
        <v>-95.4</v>
      </c>
      <c r="F18">
        <v>-242.3</v>
      </c>
      <c r="H18">
        <v>15</v>
      </c>
      <c r="I18">
        <v>3.3</v>
      </c>
      <c r="J18">
        <v>33</v>
      </c>
      <c r="K18">
        <v>74.599999999999994</v>
      </c>
      <c r="L18">
        <v>68.2</v>
      </c>
      <c r="M18">
        <v>21.7</v>
      </c>
      <c r="AB18">
        <v>15</v>
      </c>
      <c r="AC18">
        <v>0.9</v>
      </c>
      <c r="AD18">
        <v>-147.30000000000001</v>
      </c>
      <c r="AE18">
        <v>-109</v>
      </c>
      <c r="AF18">
        <v>-37.700000000000003</v>
      </c>
      <c r="AG18">
        <v>-51.1</v>
      </c>
      <c r="AI18">
        <v>15</v>
      </c>
      <c r="AJ18">
        <v>6</v>
      </c>
      <c r="AK18">
        <v>54.1</v>
      </c>
      <c r="AL18">
        <v>5.6</v>
      </c>
      <c r="AM18">
        <v>9.6</v>
      </c>
      <c r="AN18">
        <v>8.6</v>
      </c>
      <c r="BB18">
        <v>15</v>
      </c>
      <c r="BC18">
        <v>-0.7</v>
      </c>
      <c r="BD18">
        <v>-47.2</v>
      </c>
      <c r="BE18">
        <v>-185.4</v>
      </c>
      <c r="BF18">
        <v>-61.7</v>
      </c>
      <c r="BG18">
        <v>-91</v>
      </c>
      <c r="BI18">
        <v>15</v>
      </c>
      <c r="BJ18">
        <v>16.100000000000001</v>
      </c>
      <c r="BK18">
        <v>7.6</v>
      </c>
      <c r="BL18">
        <v>47.2</v>
      </c>
      <c r="BM18">
        <v>316.5</v>
      </c>
      <c r="BN18">
        <v>75.7</v>
      </c>
      <c r="BZ18">
        <v>15</v>
      </c>
      <c r="CA18">
        <v>-284.89999999999998</v>
      </c>
      <c r="CB18">
        <v>-278</v>
      </c>
      <c r="CC18">
        <v>-112.4</v>
      </c>
      <c r="CD18">
        <v>-329.7</v>
      </c>
      <c r="CE18">
        <v>-173.3</v>
      </c>
      <c r="CG18">
        <v>15</v>
      </c>
      <c r="CH18">
        <v>44.5</v>
      </c>
      <c r="CI18">
        <v>12.6</v>
      </c>
      <c r="CJ18">
        <v>27.8</v>
      </c>
      <c r="CK18">
        <v>43.6</v>
      </c>
      <c r="CL18">
        <v>65.5</v>
      </c>
    </row>
    <row r="19" spans="1:90" x14ac:dyDescent="0.35">
      <c r="A19">
        <v>16</v>
      </c>
      <c r="B19">
        <v>-249.5</v>
      </c>
      <c r="C19">
        <v>-174.5</v>
      </c>
      <c r="D19">
        <v>-134.19999999999999</v>
      </c>
      <c r="E19">
        <v>-111.5</v>
      </c>
      <c r="F19">
        <v>-284</v>
      </c>
      <c r="H19">
        <v>16</v>
      </c>
      <c r="I19">
        <v>3.5</v>
      </c>
      <c r="J19">
        <v>40.1</v>
      </c>
      <c r="K19">
        <v>116.4</v>
      </c>
      <c r="L19">
        <v>131.69999999999999</v>
      </c>
      <c r="M19">
        <v>27.8</v>
      </c>
      <c r="AB19">
        <v>16</v>
      </c>
      <c r="AC19">
        <v>0.9</v>
      </c>
      <c r="AD19">
        <v>-156.4</v>
      </c>
      <c r="AE19">
        <v>-122.5</v>
      </c>
      <c r="AF19">
        <v>-58.3</v>
      </c>
      <c r="AG19">
        <v>-67.5</v>
      </c>
      <c r="AI19">
        <v>16</v>
      </c>
      <c r="AJ19">
        <v>6.8</v>
      </c>
      <c r="AK19">
        <v>79.099999999999994</v>
      </c>
      <c r="AL19">
        <v>6.2</v>
      </c>
      <c r="AM19">
        <v>9.9</v>
      </c>
      <c r="AN19">
        <v>9.1</v>
      </c>
      <c r="BB19">
        <v>16</v>
      </c>
      <c r="BC19">
        <v>-0.8</v>
      </c>
      <c r="BD19">
        <v>-58.7</v>
      </c>
      <c r="BE19">
        <v>-194.4</v>
      </c>
      <c r="BF19">
        <v>-86.2</v>
      </c>
      <c r="BG19">
        <v>-103.3</v>
      </c>
      <c r="BI19">
        <v>16</v>
      </c>
      <c r="BJ19">
        <v>22.1</v>
      </c>
      <c r="BK19">
        <v>8.5</v>
      </c>
      <c r="BL19">
        <v>132.4</v>
      </c>
      <c r="BM19">
        <v>411.6</v>
      </c>
      <c r="BN19">
        <v>83.7</v>
      </c>
      <c r="BZ19">
        <v>16</v>
      </c>
      <c r="CA19">
        <v>-299</v>
      </c>
      <c r="CB19">
        <v>-294.2</v>
      </c>
      <c r="CC19">
        <v>-131.4</v>
      </c>
      <c r="CD19">
        <v>-371.8</v>
      </c>
      <c r="CE19">
        <v>-205.4</v>
      </c>
      <c r="CG19">
        <v>16</v>
      </c>
      <c r="CH19">
        <v>53</v>
      </c>
      <c r="CI19">
        <v>15.4</v>
      </c>
      <c r="CJ19">
        <v>44.2</v>
      </c>
      <c r="CK19">
        <v>54.7</v>
      </c>
      <c r="CL19">
        <v>82.6</v>
      </c>
    </row>
    <row r="20" spans="1:90" x14ac:dyDescent="0.35">
      <c r="A20">
        <v>17</v>
      </c>
      <c r="B20">
        <v>-256.10000000000002</v>
      </c>
      <c r="C20">
        <v>-186</v>
      </c>
      <c r="D20">
        <v>-134.80000000000001</v>
      </c>
      <c r="E20">
        <v>-123.1</v>
      </c>
      <c r="F20">
        <v>-329.2</v>
      </c>
      <c r="H20">
        <v>17</v>
      </c>
      <c r="I20">
        <v>3.8</v>
      </c>
      <c r="J20">
        <v>55.6</v>
      </c>
      <c r="K20">
        <v>166.3</v>
      </c>
      <c r="L20">
        <v>220.1</v>
      </c>
      <c r="M20">
        <v>34.4</v>
      </c>
      <c r="AB20">
        <v>17</v>
      </c>
      <c r="AC20">
        <v>0.7</v>
      </c>
      <c r="AD20">
        <v>-164.4</v>
      </c>
      <c r="AE20">
        <v>-126.7</v>
      </c>
      <c r="AF20">
        <v>-69.900000000000006</v>
      </c>
      <c r="AG20">
        <v>-82.3</v>
      </c>
      <c r="AI20">
        <v>17</v>
      </c>
      <c r="AJ20">
        <v>7.9</v>
      </c>
      <c r="AK20">
        <v>141.69999999999999</v>
      </c>
      <c r="AL20">
        <v>6.8</v>
      </c>
      <c r="AM20">
        <v>10.199999999999999</v>
      </c>
      <c r="AN20">
        <v>10.1</v>
      </c>
      <c r="BB20">
        <v>17</v>
      </c>
      <c r="BC20">
        <v>-0.9</v>
      </c>
      <c r="BD20">
        <v>-66.8</v>
      </c>
      <c r="BE20">
        <v>-202.2</v>
      </c>
      <c r="BF20">
        <v>-109.2</v>
      </c>
      <c r="BG20">
        <v>-117.9</v>
      </c>
      <c r="BI20">
        <v>17</v>
      </c>
      <c r="BJ20">
        <v>29.3</v>
      </c>
      <c r="BK20">
        <v>10.6</v>
      </c>
      <c r="BL20">
        <v>249.6</v>
      </c>
      <c r="BM20">
        <v>485.2</v>
      </c>
      <c r="BN20">
        <v>93.8</v>
      </c>
      <c r="BZ20">
        <v>17</v>
      </c>
      <c r="CA20">
        <v>-313.89999999999998</v>
      </c>
      <c r="CB20">
        <v>-302.10000000000002</v>
      </c>
      <c r="CC20">
        <v>-145.1</v>
      </c>
      <c r="CD20">
        <v>-416.6</v>
      </c>
      <c r="CE20">
        <v>-234.4</v>
      </c>
      <c r="CG20">
        <v>17</v>
      </c>
      <c r="CH20">
        <v>61.9</v>
      </c>
      <c r="CI20">
        <v>17.899999999999999</v>
      </c>
      <c r="CJ20">
        <v>66.3</v>
      </c>
      <c r="CK20">
        <v>67</v>
      </c>
      <c r="CL20">
        <v>103.7</v>
      </c>
    </row>
    <row r="21" spans="1:90" x14ac:dyDescent="0.35">
      <c r="A21">
        <v>18</v>
      </c>
      <c r="B21">
        <v>-262.39999999999998</v>
      </c>
      <c r="C21">
        <v>-198.1</v>
      </c>
      <c r="D21">
        <v>-134.9</v>
      </c>
      <c r="E21">
        <v>-135.30000000000001</v>
      </c>
      <c r="F21">
        <v>-359.9</v>
      </c>
      <c r="H21">
        <v>18</v>
      </c>
      <c r="I21">
        <v>4.4000000000000004</v>
      </c>
      <c r="J21">
        <v>79.3</v>
      </c>
      <c r="K21">
        <v>204.4</v>
      </c>
      <c r="L21">
        <v>279.7</v>
      </c>
      <c r="M21">
        <v>41.4</v>
      </c>
      <c r="AB21">
        <v>18</v>
      </c>
      <c r="AC21">
        <v>0.1</v>
      </c>
      <c r="AD21">
        <v>-170.4</v>
      </c>
      <c r="AE21">
        <v>-129</v>
      </c>
      <c r="AF21">
        <v>-78.599999999999994</v>
      </c>
      <c r="AG21">
        <v>-96.8</v>
      </c>
      <c r="AI21">
        <v>18</v>
      </c>
      <c r="AJ21">
        <v>9.6</v>
      </c>
      <c r="AK21">
        <v>244.1</v>
      </c>
      <c r="AL21">
        <v>7.6</v>
      </c>
      <c r="AM21">
        <v>10.5</v>
      </c>
      <c r="AN21">
        <v>11.6</v>
      </c>
      <c r="BB21">
        <v>18</v>
      </c>
      <c r="BC21">
        <v>-0.9</v>
      </c>
      <c r="BD21">
        <v>-72.7</v>
      </c>
      <c r="BE21">
        <v>-207.1</v>
      </c>
      <c r="BF21">
        <v>-126.7</v>
      </c>
      <c r="BG21">
        <v>-128.6</v>
      </c>
      <c r="BI21">
        <v>18</v>
      </c>
      <c r="BJ21">
        <v>37.6</v>
      </c>
      <c r="BK21">
        <v>15.1</v>
      </c>
      <c r="BL21">
        <v>309.89999999999998</v>
      </c>
      <c r="BM21">
        <v>541.70000000000005</v>
      </c>
      <c r="BN21">
        <v>106.9</v>
      </c>
      <c r="BZ21">
        <v>18</v>
      </c>
      <c r="CA21">
        <v>-335.5</v>
      </c>
      <c r="CB21">
        <v>-307.8</v>
      </c>
      <c r="CC21">
        <v>-153.6</v>
      </c>
      <c r="CD21">
        <v>-464</v>
      </c>
      <c r="CE21">
        <v>-261.39999999999998</v>
      </c>
      <c r="CG21">
        <v>18</v>
      </c>
      <c r="CH21">
        <v>71.5</v>
      </c>
      <c r="CI21">
        <v>20.3</v>
      </c>
      <c r="CJ21">
        <v>92.9</v>
      </c>
      <c r="CK21">
        <v>81.2</v>
      </c>
      <c r="CL21">
        <v>153.69999999999999</v>
      </c>
    </row>
    <row r="22" spans="1:90" x14ac:dyDescent="0.35">
      <c r="A22">
        <v>19</v>
      </c>
      <c r="B22">
        <v>-266.8</v>
      </c>
      <c r="C22">
        <v>-208.6</v>
      </c>
      <c r="D22">
        <v>-135.30000000000001</v>
      </c>
      <c r="E22">
        <v>-147.5</v>
      </c>
      <c r="F22">
        <v>-379.6</v>
      </c>
      <c r="H22">
        <v>19</v>
      </c>
      <c r="I22">
        <v>5.2</v>
      </c>
      <c r="J22">
        <v>109</v>
      </c>
      <c r="K22">
        <v>232.6</v>
      </c>
      <c r="L22">
        <v>315.2</v>
      </c>
      <c r="M22">
        <v>48.5</v>
      </c>
      <c r="AB22">
        <v>19</v>
      </c>
      <c r="AC22">
        <v>-1.4</v>
      </c>
      <c r="AD22">
        <v>-176.9</v>
      </c>
      <c r="AE22">
        <v>-130.30000000000001</v>
      </c>
      <c r="AF22">
        <v>-88.7</v>
      </c>
      <c r="AG22">
        <v>-110.6</v>
      </c>
      <c r="AI22">
        <v>19</v>
      </c>
      <c r="AJ22">
        <v>12.7</v>
      </c>
      <c r="AK22">
        <v>330.6</v>
      </c>
      <c r="AL22">
        <v>8.3000000000000007</v>
      </c>
      <c r="AM22">
        <v>10.9</v>
      </c>
      <c r="AN22">
        <v>14.7</v>
      </c>
      <c r="BB22">
        <v>19</v>
      </c>
      <c r="BC22">
        <v>-1</v>
      </c>
      <c r="BD22">
        <v>-80.8</v>
      </c>
      <c r="BE22">
        <v>-212.8</v>
      </c>
      <c r="BF22">
        <v>-142</v>
      </c>
      <c r="BG22">
        <v>-132.30000000000001</v>
      </c>
      <c r="BI22">
        <v>19</v>
      </c>
      <c r="BJ22">
        <v>47.1</v>
      </c>
      <c r="BK22">
        <v>22.1</v>
      </c>
      <c r="BL22">
        <v>353.3</v>
      </c>
      <c r="BM22">
        <v>591.79999999999995</v>
      </c>
      <c r="BN22">
        <v>125.8</v>
      </c>
      <c r="BZ22">
        <v>19</v>
      </c>
      <c r="CA22">
        <v>-359.5</v>
      </c>
      <c r="CB22">
        <v>-316.2</v>
      </c>
      <c r="CC22">
        <v>-161.69999999999999</v>
      </c>
      <c r="CD22">
        <v>-503</v>
      </c>
      <c r="CE22">
        <v>-281</v>
      </c>
      <c r="CG22">
        <v>19</v>
      </c>
      <c r="CH22">
        <v>80.7</v>
      </c>
      <c r="CI22">
        <v>23.6</v>
      </c>
      <c r="CJ22">
        <v>145.30000000000001</v>
      </c>
      <c r="CK22">
        <v>95.2</v>
      </c>
      <c r="CL22">
        <v>227.6</v>
      </c>
    </row>
    <row r="23" spans="1:90" x14ac:dyDescent="0.35">
      <c r="A23">
        <v>20</v>
      </c>
      <c r="B23">
        <v>-268.39999999999998</v>
      </c>
      <c r="C23">
        <v>-218.4</v>
      </c>
      <c r="D23">
        <v>-134.9</v>
      </c>
      <c r="E23">
        <v>-155.9</v>
      </c>
      <c r="F23">
        <v>-391.2</v>
      </c>
      <c r="H23">
        <v>20</v>
      </c>
      <c r="I23">
        <v>6</v>
      </c>
      <c r="J23">
        <v>143.19999999999999</v>
      </c>
      <c r="K23">
        <v>258.89999999999998</v>
      </c>
      <c r="L23">
        <v>338.1</v>
      </c>
      <c r="M23">
        <v>56.2</v>
      </c>
      <c r="AB23">
        <v>20</v>
      </c>
      <c r="AC23">
        <v>-3.6</v>
      </c>
      <c r="AD23">
        <v>-184.6</v>
      </c>
      <c r="AE23">
        <v>-131.19999999999999</v>
      </c>
      <c r="AF23">
        <v>-99.9</v>
      </c>
      <c r="AG23">
        <v>-121.8</v>
      </c>
      <c r="AI23">
        <v>20</v>
      </c>
      <c r="AJ23">
        <v>18.3</v>
      </c>
      <c r="AK23">
        <v>392</v>
      </c>
      <c r="AL23">
        <v>8.8000000000000007</v>
      </c>
      <c r="AM23">
        <v>11.2</v>
      </c>
      <c r="AN23">
        <v>19.7</v>
      </c>
      <c r="BB23">
        <v>20</v>
      </c>
      <c r="BC23">
        <v>-1.1000000000000001</v>
      </c>
      <c r="BD23">
        <v>-91.9</v>
      </c>
      <c r="BE23">
        <v>-223.4</v>
      </c>
      <c r="BF23">
        <v>-163.5</v>
      </c>
      <c r="BG23">
        <v>-135.30000000000001</v>
      </c>
      <c r="BI23">
        <v>20</v>
      </c>
      <c r="BJ23">
        <v>58.4</v>
      </c>
      <c r="BK23">
        <v>31</v>
      </c>
      <c r="BL23">
        <v>391.8</v>
      </c>
      <c r="BM23">
        <v>637.79999999999995</v>
      </c>
      <c r="BN23">
        <v>156.5</v>
      </c>
      <c r="BZ23">
        <v>20</v>
      </c>
      <c r="CA23">
        <v>-382.4</v>
      </c>
      <c r="CB23">
        <v>-327.10000000000002</v>
      </c>
      <c r="CC23">
        <v>-178.1</v>
      </c>
      <c r="CD23">
        <v>-530.1</v>
      </c>
      <c r="CE23">
        <v>-298</v>
      </c>
      <c r="CG23">
        <v>20</v>
      </c>
      <c r="CH23">
        <v>89.8</v>
      </c>
      <c r="CI23">
        <v>28.9</v>
      </c>
      <c r="CJ23">
        <v>223.9</v>
      </c>
      <c r="CK23">
        <v>109.4</v>
      </c>
      <c r="CL23">
        <v>297.5</v>
      </c>
    </row>
    <row r="24" spans="1:90" x14ac:dyDescent="0.35">
      <c r="A24">
        <v>21</v>
      </c>
      <c r="B24">
        <v>-268.8</v>
      </c>
      <c r="C24">
        <v>-225.8</v>
      </c>
      <c r="D24">
        <v>-133.30000000000001</v>
      </c>
      <c r="E24">
        <v>-164.4</v>
      </c>
      <c r="F24">
        <v>-399.4</v>
      </c>
      <c r="H24">
        <v>21</v>
      </c>
      <c r="I24">
        <v>6.8</v>
      </c>
      <c r="J24">
        <v>175</v>
      </c>
      <c r="K24">
        <v>284.89999999999998</v>
      </c>
      <c r="L24">
        <v>354.9</v>
      </c>
      <c r="M24">
        <v>71.5</v>
      </c>
      <c r="AB24">
        <v>21</v>
      </c>
      <c r="AC24">
        <v>-6.7</v>
      </c>
      <c r="AD24">
        <v>-194.4</v>
      </c>
      <c r="AE24">
        <v>-132.30000000000001</v>
      </c>
      <c r="AF24">
        <v>-108.7</v>
      </c>
      <c r="AG24">
        <v>-130.1</v>
      </c>
      <c r="AI24">
        <v>21</v>
      </c>
      <c r="AJ24">
        <v>26.4</v>
      </c>
      <c r="AK24">
        <v>438.8</v>
      </c>
      <c r="AL24">
        <v>9.5</v>
      </c>
      <c r="AM24">
        <v>11.8</v>
      </c>
      <c r="AN24">
        <v>25.5</v>
      </c>
      <c r="BB24">
        <v>21</v>
      </c>
      <c r="BC24">
        <v>-1.3</v>
      </c>
      <c r="BD24">
        <v>-103.7</v>
      </c>
      <c r="BE24">
        <v>-238.8</v>
      </c>
      <c r="BF24">
        <v>-195.8</v>
      </c>
      <c r="BG24">
        <v>-139</v>
      </c>
      <c r="BI24">
        <v>21</v>
      </c>
      <c r="BJ24">
        <v>77.599999999999994</v>
      </c>
      <c r="BK24">
        <v>41</v>
      </c>
      <c r="BL24">
        <v>427.9</v>
      </c>
      <c r="BM24">
        <v>672.5</v>
      </c>
      <c r="BN24">
        <v>215.1</v>
      </c>
      <c r="BZ24">
        <v>21</v>
      </c>
      <c r="CA24">
        <v>-401.7</v>
      </c>
      <c r="CB24">
        <v>-339.1</v>
      </c>
      <c r="CC24">
        <v>-212.3</v>
      </c>
      <c r="CD24">
        <v>-545.5</v>
      </c>
      <c r="CE24">
        <v>-314.3</v>
      </c>
      <c r="CG24">
        <v>21</v>
      </c>
      <c r="CH24">
        <v>113.4</v>
      </c>
      <c r="CI24">
        <v>37.9</v>
      </c>
      <c r="CJ24">
        <v>293.5</v>
      </c>
      <c r="CK24">
        <v>128.1</v>
      </c>
      <c r="CL24">
        <v>368.2</v>
      </c>
    </row>
    <row r="25" spans="1:90" x14ac:dyDescent="0.35">
      <c r="A25">
        <v>22</v>
      </c>
      <c r="B25">
        <v>-268.5</v>
      </c>
      <c r="C25">
        <v>-230.3</v>
      </c>
      <c r="D25">
        <v>-131.9</v>
      </c>
      <c r="E25">
        <v>-179</v>
      </c>
      <c r="F25">
        <v>-408.7</v>
      </c>
      <c r="H25">
        <v>22</v>
      </c>
      <c r="I25">
        <v>7.9</v>
      </c>
      <c r="J25">
        <v>203.8</v>
      </c>
      <c r="K25">
        <v>310.10000000000002</v>
      </c>
      <c r="L25">
        <v>366.9</v>
      </c>
      <c r="M25">
        <v>104.1</v>
      </c>
      <c r="AB25">
        <v>22</v>
      </c>
      <c r="AC25">
        <v>-11</v>
      </c>
      <c r="AD25">
        <v>-206.7</v>
      </c>
      <c r="AE25">
        <v>-134.5</v>
      </c>
      <c r="AF25">
        <v>-115.4</v>
      </c>
      <c r="AG25">
        <v>-135.9</v>
      </c>
      <c r="AI25">
        <v>22</v>
      </c>
      <c r="AJ25">
        <v>39</v>
      </c>
      <c r="AK25">
        <v>474.1</v>
      </c>
      <c r="AL25">
        <v>10.7</v>
      </c>
      <c r="AM25">
        <v>12.9</v>
      </c>
      <c r="AN25">
        <v>30.9</v>
      </c>
      <c r="BB25">
        <v>22</v>
      </c>
      <c r="BC25">
        <v>-1.5</v>
      </c>
      <c r="BD25">
        <v>-115.4</v>
      </c>
      <c r="BE25">
        <v>-254</v>
      </c>
      <c r="BF25">
        <v>-221.2</v>
      </c>
      <c r="BG25">
        <v>-145.5</v>
      </c>
      <c r="BI25">
        <v>22</v>
      </c>
      <c r="BJ25">
        <v>133.5</v>
      </c>
      <c r="BK25">
        <v>52.7</v>
      </c>
      <c r="BL25">
        <v>465.5</v>
      </c>
      <c r="BM25">
        <v>697.6</v>
      </c>
      <c r="BN25">
        <v>303.8</v>
      </c>
      <c r="BZ25">
        <v>22</v>
      </c>
      <c r="CA25">
        <v>-414</v>
      </c>
      <c r="CB25">
        <v>-350.5</v>
      </c>
      <c r="CC25">
        <v>-256.5</v>
      </c>
      <c r="CD25">
        <v>-557.79999999999995</v>
      </c>
      <c r="CE25">
        <v>-331</v>
      </c>
      <c r="CG25">
        <v>22</v>
      </c>
      <c r="CH25">
        <v>178.5</v>
      </c>
      <c r="CI25">
        <v>54.2</v>
      </c>
      <c r="CJ25">
        <v>358.8</v>
      </c>
      <c r="CK25">
        <v>166.9</v>
      </c>
      <c r="CL25">
        <v>437.6</v>
      </c>
    </row>
    <row r="26" spans="1:90" x14ac:dyDescent="0.35">
      <c r="A26">
        <v>23</v>
      </c>
      <c r="B26">
        <v>-267.8</v>
      </c>
      <c r="C26">
        <v>-232.4</v>
      </c>
      <c r="D26">
        <v>-131.30000000000001</v>
      </c>
      <c r="E26">
        <v>-194.6</v>
      </c>
      <c r="F26">
        <v>-415.8</v>
      </c>
      <c r="H26">
        <v>23</v>
      </c>
      <c r="I26">
        <v>9.1</v>
      </c>
      <c r="J26">
        <v>230.6</v>
      </c>
      <c r="K26">
        <v>332.8</v>
      </c>
      <c r="L26">
        <v>374.5</v>
      </c>
      <c r="M26">
        <v>139.30000000000001</v>
      </c>
      <c r="AB26">
        <v>23</v>
      </c>
      <c r="AC26">
        <v>-16</v>
      </c>
      <c r="AD26">
        <v>-218.4</v>
      </c>
      <c r="AE26">
        <v>-136.9</v>
      </c>
      <c r="AF26">
        <v>-125.3</v>
      </c>
      <c r="AG26">
        <v>-140.19999999999999</v>
      </c>
      <c r="AI26">
        <v>23</v>
      </c>
      <c r="AJ26">
        <v>84.6</v>
      </c>
      <c r="AK26">
        <v>501</v>
      </c>
      <c r="AL26">
        <v>12.6</v>
      </c>
      <c r="AM26">
        <v>15.6</v>
      </c>
      <c r="AN26">
        <v>36.200000000000003</v>
      </c>
      <c r="BB26">
        <v>23</v>
      </c>
      <c r="BC26">
        <v>-2</v>
      </c>
      <c r="BD26">
        <v>-129.4</v>
      </c>
      <c r="BE26">
        <v>-266.8</v>
      </c>
      <c r="BF26">
        <v>-239.6</v>
      </c>
      <c r="BG26">
        <v>-155.1</v>
      </c>
      <c r="BI26">
        <v>23</v>
      </c>
      <c r="BJ26">
        <v>193.2</v>
      </c>
      <c r="BK26">
        <v>66.2</v>
      </c>
      <c r="BL26">
        <v>505.1</v>
      </c>
      <c r="BM26">
        <v>714.6</v>
      </c>
      <c r="BN26">
        <v>405</v>
      </c>
      <c r="BZ26">
        <v>23</v>
      </c>
      <c r="CA26">
        <v>-421.1</v>
      </c>
      <c r="CB26">
        <v>-358.7</v>
      </c>
      <c r="CC26">
        <v>-294</v>
      </c>
      <c r="CD26">
        <v>-569.4</v>
      </c>
      <c r="CE26">
        <v>-347.5</v>
      </c>
      <c r="CG26">
        <v>23</v>
      </c>
      <c r="CH26">
        <v>241</v>
      </c>
      <c r="CI26">
        <v>73.8</v>
      </c>
      <c r="CJ26">
        <v>427.1</v>
      </c>
      <c r="CK26">
        <v>244.4</v>
      </c>
      <c r="CL26">
        <v>501.6</v>
      </c>
    </row>
    <row r="27" spans="1:90" x14ac:dyDescent="0.35">
      <c r="A27">
        <v>24</v>
      </c>
      <c r="B27">
        <v>-265.3</v>
      </c>
      <c r="C27">
        <v>-232.5</v>
      </c>
      <c r="D27">
        <v>-131.19999999999999</v>
      </c>
      <c r="E27">
        <v>-210.1</v>
      </c>
      <c r="F27">
        <v>-419.9</v>
      </c>
      <c r="H27">
        <v>24</v>
      </c>
      <c r="I27">
        <v>10.8</v>
      </c>
      <c r="J27">
        <v>255.2</v>
      </c>
      <c r="K27">
        <v>355.1</v>
      </c>
      <c r="L27">
        <v>381.4</v>
      </c>
      <c r="M27">
        <v>162.30000000000001</v>
      </c>
      <c r="AB27">
        <v>24</v>
      </c>
      <c r="AC27">
        <v>-22</v>
      </c>
      <c r="AD27">
        <v>-230.5</v>
      </c>
      <c r="AE27">
        <v>-138.30000000000001</v>
      </c>
      <c r="AF27">
        <v>-135.9</v>
      </c>
      <c r="AG27">
        <v>-145.4</v>
      </c>
      <c r="AI27">
        <v>24</v>
      </c>
      <c r="AJ27">
        <v>156</v>
      </c>
      <c r="AK27">
        <v>521.5</v>
      </c>
      <c r="AL27">
        <v>15.4</v>
      </c>
      <c r="AM27">
        <v>20.2</v>
      </c>
      <c r="AN27">
        <v>40.6</v>
      </c>
      <c r="BB27">
        <v>24</v>
      </c>
      <c r="BC27">
        <v>-2.8</v>
      </c>
      <c r="BD27">
        <v>-157.19999999999999</v>
      </c>
      <c r="BE27">
        <v>-274.39999999999998</v>
      </c>
      <c r="BF27">
        <v>-254.1</v>
      </c>
      <c r="BG27">
        <v>-163.1</v>
      </c>
      <c r="BI27">
        <v>24</v>
      </c>
      <c r="BJ27">
        <v>236.6</v>
      </c>
      <c r="BK27">
        <v>83.7</v>
      </c>
      <c r="BL27">
        <v>540.9</v>
      </c>
      <c r="BM27">
        <v>729.7</v>
      </c>
      <c r="BN27">
        <v>510.4</v>
      </c>
      <c r="BZ27">
        <v>24</v>
      </c>
      <c r="CA27">
        <v>-425.7</v>
      </c>
      <c r="CB27">
        <v>-365</v>
      </c>
      <c r="CC27">
        <v>-321.3</v>
      </c>
      <c r="CD27">
        <v>-576.70000000000005</v>
      </c>
      <c r="CE27">
        <v>-357</v>
      </c>
      <c r="CG27">
        <v>24</v>
      </c>
      <c r="CH27">
        <v>290.8</v>
      </c>
      <c r="CI27">
        <v>110</v>
      </c>
      <c r="CJ27">
        <v>500.1</v>
      </c>
      <c r="CK27">
        <v>325.3</v>
      </c>
      <c r="CL27">
        <v>555.29999999999995</v>
      </c>
    </row>
    <row r="28" spans="1:90" x14ac:dyDescent="0.35">
      <c r="A28">
        <v>25</v>
      </c>
      <c r="B28">
        <v>-261.2</v>
      </c>
      <c r="C28">
        <v>-231.7</v>
      </c>
      <c r="D28">
        <v>-131.19999999999999</v>
      </c>
      <c r="E28">
        <v>-226.8</v>
      </c>
      <c r="F28">
        <v>-420.9</v>
      </c>
      <c r="H28">
        <v>25</v>
      </c>
      <c r="I28">
        <v>13.6</v>
      </c>
      <c r="J28">
        <v>278.8</v>
      </c>
      <c r="K28">
        <v>378.1</v>
      </c>
      <c r="L28">
        <v>390.5</v>
      </c>
      <c r="M28">
        <v>178.1</v>
      </c>
      <c r="AB28">
        <v>25</v>
      </c>
      <c r="AC28">
        <v>-29.7</v>
      </c>
      <c r="AD28">
        <v>-239.6</v>
      </c>
      <c r="AE28">
        <v>-138.9</v>
      </c>
      <c r="AF28">
        <v>-139.30000000000001</v>
      </c>
      <c r="AG28">
        <v>-152</v>
      </c>
      <c r="AI28">
        <v>25</v>
      </c>
      <c r="AJ28">
        <v>203.3</v>
      </c>
      <c r="AK28">
        <v>534.79999999999995</v>
      </c>
      <c r="AL28">
        <v>19.5</v>
      </c>
      <c r="AM28">
        <v>26.9</v>
      </c>
      <c r="AN28">
        <v>44.4</v>
      </c>
      <c r="BB28">
        <v>25</v>
      </c>
      <c r="BC28">
        <v>-3.1</v>
      </c>
      <c r="BD28">
        <v>-178.3</v>
      </c>
      <c r="BE28">
        <v>-278.60000000000002</v>
      </c>
      <c r="BF28">
        <v>-262.60000000000002</v>
      </c>
      <c r="BG28">
        <v>-174.2</v>
      </c>
      <c r="BI28">
        <v>25</v>
      </c>
      <c r="BJ28">
        <v>276.3</v>
      </c>
      <c r="BK28">
        <v>123.9</v>
      </c>
      <c r="BL28">
        <v>569.5</v>
      </c>
      <c r="BM28">
        <v>739.6</v>
      </c>
      <c r="BN28">
        <v>597.79999999999995</v>
      </c>
      <c r="BZ28">
        <v>25</v>
      </c>
      <c r="CA28">
        <v>-429</v>
      </c>
      <c r="CB28">
        <v>-371.7</v>
      </c>
      <c r="CC28">
        <v>-342.2</v>
      </c>
      <c r="CD28">
        <v>-584.1</v>
      </c>
      <c r="CE28">
        <v>-357.9</v>
      </c>
      <c r="CG28">
        <v>25</v>
      </c>
      <c r="CH28">
        <v>337.9</v>
      </c>
      <c r="CI28">
        <v>183.9</v>
      </c>
      <c r="CJ28">
        <v>574.9</v>
      </c>
      <c r="CK28">
        <v>383.2</v>
      </c>
      <c r="CL28">
        <v>607.5</v>
      </c>
    </row>
    <row r="29" spans="1:90" x14ac:dyDescent="0.35">
      <c r="A29">
        <v>26</v>
      </c>
      <c r="B29">
        <v>-257</v>
      </c>
      <c r="C29">
        <v>-231.1</v>
      </c>
      <c r="D29">
        <v>-130.69999999999999</v>
      </c>
      <c r="E29">
        <v>-246.7</v>
      </c>
      <c r="F29">
        <v>-419.8</v>
      </c>
      <c r="H29">
        <v>26</v>
      </c>
      <c r="I29">
        <v>17.5</v>
      </c>
      <c r="J29">
        <v>304.2</v>
      </c>
      <c r="K29">
        <v>402.6</v>
      </c>
      <c r="L29">
        <v>404</v>
      </c>
      <c r="M29">
        <v>191.9</v>
      </c>
      <c r="AB29">
        <v>26</v>
      </c>
      <c r="AC29">
        <v>-38.4</v>
      </c>
      <c r="AD29">
        <v>-243.3</v>
      </c>
      <c r="AE29">
        <v>-139.1</v>
      </c>
      <c r="AF29">
        <v>-142.5</v>
      </c>
      <c r="AG29">
        <v>-158.69999999999999</v>
      </c>
      <c r="AI29">
        <v>26</v>
      </c>
      <c r="AJ29">
        <v>241.9</v>
      </c>
      <c r="AK29">
        <v>544</v>
      </c>
      <c r="AL29">
        <v>24.7</v>
      </c>
      <c r="AM29">
        <v>34.200000000000003</v>
      </c>
      <c r="AN29">
        <v>48.5</v>
      </c>
      <c r="BB29">
        <v>26</v>
      </c>
      <c r="BC29">
        <v>-3.2</v>
      </c>
      <c r="BD29">
        <v>-188.9</v>
      </c>
      <c r="BE29">
        <v>-281.8</v>
      </c>
      <c r="BF29">
        <v>-266.7</v>
      </c>
      <c r="BG29">
        <v>-195.6</v>
      </c>
      <c r="BI29">
        <v>26</v>
      </c>
      <c r="BJ29">
        <v>310.3</v>
      </c>
      <c r="BK29">
        <v>182.4</v>
      </c>
      <c r="BL29">
        <v>592.4</v>
      </c>
      <c r="BM29">
        <v>741.2</v>
      </c>
      <c r="BN29">
        <v>661</v>
      </c>
      <c r="BZ29">
        <v>26</v>
      </c>
      <c r="CA29">
        <v>-436.3</v>
      </c>
      <c r="CB29">
        <v>-384.6</v>
      </c>
      <c r="CC29">
        <v>-357.5</v>
      </c>
      <c r="CD29">
        <v>-592.6</v>
      </c>
      <c r="CE29">
        <v>-358</v>
      </c>
      <c r="CG29">
        <v>26</v>
      </c>
      <c r="CH29">
        <v>379.2</v>
      </c>
      <c r="CI29">
        <v>245.7</v>
      </c>
      <c r="CJ29">
        <v>648.70000000000005</v>
      </c>
      <c r="CK29">
        <v>424.7</v>
      </c>
      <c r="CL29">
        <v>661</v>
      </c>
    </row>
    <row r="30" spans="1:90" x14ac:dyDescent="0.35">
      <c r="A30">
        <v>27</v>
      </c>
      <c r="B30">
        <v>-253.3</v>
      </c>
      <c r="C30">
        <v>-230.8</v>
      </c>
      <c r="D30">
        <v>-130.19999999999999</v>
      </c>
      <c r="E30">
        <v>-263.39999999999998</v>
      </c>
      <c r="F30">
        <v>-419</v>
      </c>
      <c r="H30">
        <v>27</v>
      </c>
      <c r="I30">
        <v>22</v>
      </c>
      <c r="J30">
        <v>329.7</v>
      </c>
      <c r="K30">
        <v>431.1</v>
      </c>
      <c r="L30">
        <v>417.9</v>
      </c>
      <c r="M30">
        <v>202.7</v>
      </c>
      <c r="AB30">
        <v>27</v>
      </c>
      <c r="AC30">
        <v>-46.5</v>
      </c>
      <c r="AD30">
        <v>-242</v>
      </c>
      <c r="AE30">
        <v>-139.80000000000001</v>
      </c>
      <c r="AF30">
        <v>-146.4</v>
      </c>
      <c r="AG30">
        <v>-164</v>
      </c>
      <c r="AI30">
        <v>27</v>
      </c>
      <c r="AJ30">
        <v>280.7</v>
      </c>
      <c r="AK30">
        <v>555.6</v>
      </c>
      <c r="AL30">
        <v>31</v>
      </c>
      <c r="AM30">
        <v>41.1</v>
      </c>
      <c r="AN30">
        <v>53</v>
      </c>
      <c r="BB30">
        <v>27</v>
      </c>
      <c r="BC30">
        <v>-3.5</v>
      </c>
      <c r="BD30">
        <v>-197.9</v>
      </c>
      <c r="BE30">
        <v>-285.5</v>
      </c>
      <c r="BF30">
        <v>-269.7</v>
      </c>
      <c r="BG30">
        <v>-208.2</v>
      </c>
      <c r="BI30">
        <v>27</v>
      </c>
      <c r="BJ30">
        <v>338.3</v>
      </c>
      <c r="BK30">
        <v>250.7</v>
      </c>
      <c r="BL30">
        <v>613.29999999999995</v>
      </c>
      <c r="BM30">
        <v>749</v>
      </c>
      <c r="BN30">
        <v>713.4</v>
      </c>
      <c r="BZ30">
        <v>27</v>
      </c>
      <c r="CA30">
        <v>-444.3</v>
      </c>
      <c r="CB30">
        <v>-401.7</v>
      </c>
      <c r="CC30">
        <v>-369.4</v>
      </c>
      <c r="CD30">
        <v>-596.1</v>
      </c>
      <c r="CE30">
        <v>-361</v>
      </c>
      <c r="CG30">
        <v>27</v>
      </c>
      <c r="CH30">
        <v>414.7</v>
      </c>
      <c r="CI30">
        <v>306</v>
      </c>
      <c r="CJ30">
        <v>712.7</v>
      </c>
      <c r="CK30">
        <v>458.2</v>
      </c>
      <c r="CL30">
        <v>710.7</v>
      </c>
    </row>
    <row r="31" spans="1:90" x14ac:dyDescent="0.35">
      <c r="A31">
        <v>28</v>
      </c>
      <c r="B31">
        <v>-251.3</v>
      </c>
      <c r="C31">
        <v>-230.1</v>
      </c>
      <c r="D31">
        <v>-130</v>
      </c>
      <c r="E31">
        <v>-275.5</v>
      </c>
      <c r="F31">
        <v>-421.2</v>
      </c>
      <c r="H31">
        <v>28</v>
      </c>
      <c r="I31">
        <v>28.7</v>
      </c>
      <c r="J31">
        <v>351.8</v>
      </c>
      <c r="K31">
        <v>456</v>
      </c>
      <c r="L31">
        <v>427.4</v>
      </c>
      <c r="M31">
        <v>211.2</v>
      </c>
      <c r="AB31">
        <v>28</v>
      </c>
      <c r="AC31">
        <v>-53.7</v>
      </c>
      <c r="AD31">
        <v>-239.5</v>
      </c>
      <c r="AE31">
        <v>-141.30000000000001</v>
      </c>
      <c r="AF31">
        <v>-150.6</v>
      </c>
      <c r="AG31">
        <v>-168.2</v>
      </c>
      <c r="AI31">
        <v>28</v>
      </c>
      <c r="AJ31">
        <v>322.60000000000002</v>
      </c>
      <c r="AK31">
        <v>568.79999999999995</v>
      </c>
      <c r="AL31">
        <v>40.9</v>
      </c>
      <c r="AM31">
        <v>49</v>
      </c>
      <c r="AN31">
        <v>57.3</v>
      </c>
      <c r="BB31">
        <v>28</v>
      </c>
      <c r="BC31">
        <v>-4.8</v>
      </c>
      <c r="BD31">
        <v>-202.5</v>
      </c>
      <c r="BE31">
        <v>-290.10000000000002</v>
      </c>
      <c r="BF31">
        <v>-272.89999999999998</v>
      </c>
      <c r="BG31">
        <v>-215.5</v>
      </c>
      <c r="BI31">
        <v>28</v>
      </c>
      <c r="BJ31">
        <v>364.1</v>
      </c>
      <c r="BK31">
        <v>323.7</v>
      </c>
      <c r="BL31">
        <v>634.79999999999995</v>
      </c>
      <c r="BM31">
        <v>763.9</v>
      </c>
      <c r="BN31">
        <v>759</v>
      </c>
      <c r="BZ31">
        <v>28</v>
      </c>
      <c r="CA31">
        <v>-455.8</v>
      </c>
      <c r="CB31">
        <v>-411.9</v>
      </c>
      <c r="CC31">
        <v>-376.5</v>
      </c>
      <c r="CD31">
        <v>-594.29999999999995</v>
      </c>
      <c r="CE31">
        <v>-362.9</v>
      </c>
      <c r="CG31">
        <v>28</v>
      </c>
      <c r="CH31">
        <v>446.9</v>
      </c>
      <c r="CI31">
        <v>370.1</v>
      </c>
      <c r="CJ31">
        <v>764.9</v>
      </c>
      <c r="CK31">
        <v>491</v>
      </c>
      <c r="CL31">
        <v>752.5</v>
      </c>
    </row>
    <row r="32" spans="1:90" x14ac:dyDescent="0.35">
      <c r="A32">
        <v>29</v>
      </c>
      <c r="B32">
        <v>-248.5</v>
      </c>
      <c r="C32">
        <v>-229.7</v>
      </c>
      <c r="D32">
        <v>-129.80000000000001</v>
      </c>
      <c r="E32">
        <v>-284.89999999999998</v>
      </c>
      <c r="F32">
        <v>-422.4</v>
      </c>
      <c r="H32">
        <v>29</v>
      </c>
      <c r="I32">
        <v>37.5</v>
      </c>
      <c r="J32">
        <v>371.2</v>
      </c>
      <c r="K32">
        <v>467.9</v>
      </c>
      <c r="L32">
        <v>435.4</v>
      </c>
      <c r="M32">
        <v>219.2</v>
      </c>
      <c r="AB32">
        <v>29</v>
      </c>
      <c r="AC32">
        <v>-58.9</v>
      </c>
      <c r="AD32">
        <v>-237</v>
      </c>
      <c r="AE32">
        <v>-142.6</v>
      </c>
      <c r="AF32">
        <v>-154.9</v>
      </c>
      <c r="AG32">
        <v>-171.4</v>
      </c>
      <c r="AI32">
        <v>29</v>
      </c>
      <c r="AJ32">
        <v>364.4</v>
      </c>
      <c r="AK32">
        <v>580.9</v>
      </c>
      <c r="AL32">
        <v>58.3</v>
      </c>
      <c r="AM32">
        <v>63.5</v>
      </c>
      <c r="AN32">
        <v>61.1</v>
      </c>
      <c r="BB32">
        <v>29</v>
      </c>
      <c r="BC32">
        <v>-8.6</v>
      </c>
      <c r="BD32">
        <v>-204.9</v>
      </c>
      <c r="BE32">
        <v>-295</v>
      </c>
      <c r="BF32">
        <v>-274.60000000000002</v>
      </c>
      <c r="BG32">
        <v>-221.9</v>
      </c>
      <c r="BI32">
        <v>29</v>
      </c>
      <c r="BJ32">
        <v>389.9</v>
      </c>
      <c r="BK32">
        <v>394.7</v>
      </c>
      <c r="BL32">
        <v>656</v>
      </c>
      <c r="BM32">
        <v>781.9</v>
      </c>
      <c r="BN32">
        <v>800.5</v>
      </c>
      <c r="BZ32">
        <v>29</v>
      </c>
      <c r="CA32">
        <v>-469.5</v>
      </c>
      <c r="CB32">
        <v>-415</v>
      </c>
      <c r="CC32">
        <v>-378.7</v>
      </c>
      <c r="CD32">
        <v>-589.9</v>
      </c>
      <c r="CE32">
        <v>-362.1</v>
      </c>
      <c r="CG32">
        <v>29</v>
      </c>
      <c r="CH32">
        <v>473</v>
      </c>
      <c r="CI32">
        <v>428.8</v>
      </c>
      <c r="CJ32">
        <v>816.3</v>
      </c>
      <c r="CK32">
        <v>522.6</v>
      </c>
      <c r="CL32">
        <v>779.5</v>
      </c>
    </row>
    <row r="33" spans="1:94" x14ac:dyDescent="0.35">
      <c r="A33">
        <v>30</v>
      </c>
      <c r="B33">
        <v>-244.3</v>
      </c>
      <c r="C33">
        <v>-229.9</v>
      </c>
      <c r="D33">
        <v>-129</v>
      </c>
      <c r="E33">
        <v>-292.60000000000002</v>
      </c>
      <c r="F33">
        <v>-419.1</v>
      </c>
      <c r="H33">
        <v>30</v>
      </c>
      <c r="I33">
        <v>46.7</v>
      </c>
      <c r="J33">
        <v>390.2</v>
      </c>
      <c r="K33">
        <v>471.6</v>
      </c>
      <c r="L33">
        <v>442.9</v>
      </c>
      <c r="M33">
        <v>227.9</v>
      </c>
      <c r="AB33">
        <v>30</v>
      </c>
      <c r="AC33">
        <v>-62.2</v>
      </c>
      <c r="AD33">
        <v>-233.4</v>
      </c>
      <c r="AE33">
        <v>-143.30000000000001</v>
      </c>
      <c r="AF33">
        <v>-158.4</v>
      </c>
      <c r="AG33">
        <v>-173.6</v>
      </c>
      <c r="AI33">
        <v>30</v>
      </c>
      <c r="AJ33">
        <v>402.6</v>
      </c>
      <c r="AK33">
        <v>598.1</v>
      </c>
      <c r="AL33">
        <v>83.8</v>
      </c>
      <c r="AM33">
        <v>87.6</v>
      </c>
      <c r="AN33">
        <v>64.8</v>
      </c>
      <c r="BB33">
        <v>30</v>
      </c>
      <c r="BC33">
        <v>-16</v>
      </c>
      <c r="BD33">
        <v>-206.4</v>
      </c>
      <c r="BE33">
        <v>-299.39999999999998</v>
      </c>
      <c r="BF33">
        <v>-277.10000000000002</v>
      </c>
      <c r="BG33">
        <v>-228.3</v>
      </c>
      <c r="BI33">
        <v>30</v>
      </c>
      <c r="BJ33">
        <v>415.9</v>
      </c>
      <c r="BK33">
        <v>454.4</v>
      </c>
      <c r="BL33">
        <v>675.4</v>
      </c>
      <c r="BM33">
        <v>807.3</v>
      </c>
      <c r="BN33">
        <v>834.1</v>
      </c>
      <c r="BZ33">
        <v>30</v>
      </c>
      <c r="CA33">
        <v>-480.1</v>
      </c>
      <c r="CB33">
        <v>-415</v>
      </c>
      <c r="CC33">
        <v>-377.4</v>
      </c>
      <c r="CD33">
        <v>-585.29999999999995</v>
      </c>
      <c r="CE33">
        <v>-356.7</v>
      </c>
      <c r="CG33">
        <v>30</v>
      </c>
      <c r="CH33">
        <v>488.4</v>
      </c>
      <c r="CI33">
        <v>478.4</v>
      </c>
      <c r="CJ33">
        <v>861.7</v>
      </c>
      <c r="CK33">
        <v>548.6</v>
      </c>
      <c r="CL33">
        <v>800.3</v>
      </c>
    </row>
    <row r="34" spans="1:94" x14ac:dyDescent="0.35">
      <c r="A34">
        <v>31</v>
      </c>
      <c r="B34">
        <v>-240.4</v>
      </c>
      <c r="C34">
        <v>-230</v>
      </c>
      <c r="D34">
        <v>-127.6</v>
      </c>
      <c r="E34">
        <v>-301.2</v>
      </c>
      <c r="F34">
        <v>-411.8</v>
      </c>
      <c r="H34">
        <v>31</v>
      </c>
      <c r="I34">
        <v>56.9</v>
      </c>
      <c r="J34">
        <v>410.8</v>
      </c>
      <c r="K34">
        <v>480.3</v>
      </c>
      <c r="L34">
        <v>450.9</v>
      </c>
      <c r="M34">
        <v>235.5</v>
      </c>
      <c r="AB34">
        <v>31</v>
      </c>
      <c r="AC34">
        <v>-64.599999999999994</v>
      </c>
      <c r="AD34">
        <v>-227.9</v>
      </c>
      <c r="AE34">
        <v>-143.5</v>
      </c>
      <c r="AF34">
        <v>-160.80000000000001</v>
      </c>
      <c r="AG34">
        <v>-174.6</v>
      </c>
      <c r="AI34">
        <v>31</v>
      </c>
      <c r="AJ34">
        <v>437.1</v>
      </c>
      <c r="AK34">
        <v>618.29999999999995</v>
      </c>
      <c r="AL34">
        <v>120.7</v>
      </c>
      <c r="AM34">
        <v>114.1</v>
      </c>
      <c r="AN34">
        <v>68.7</v>
      </c>
      <c r="BB34">
        <v>31</v>
      </c>
      <c r="BC34">
        <v>-26.8</v>
      </c>
      <c r="BD34">
        <v>-208.9</v>
      </c>
      <c r="BE34">
        <v>-301.8</v>
      </c>
      <c r="BF34">
        <v>-282.89999999999998</v>
      </c>
      <c r="BG34">
        <v>-234.9</v>
      </c>
      <c r="BI34">
        <v>31</v>
      </c>
      <c r="BJ34">
        <v>441.6</v>
      </c>
      <c r="BK34">
        <v>506.2</v>
      </c>
      <c r="BL34">
        <v>694.5</v>
      </c>
      <c r="BM34">
        <v>839.9</v>
      </c>
      <c r="BN34">
        <v>862.8</v>
      </c>
      <c r="BZ34">
        <v>31</v>
      </c>
      <c r="CA34">
        <v>-484.7</v>
      </c>
      <c r="CB34">
        <v>-411.7</v>
      </c>
      <c r="CC34">
        <v>-374.7</v>
      </c>
      <c r="CD34">
        <v>-580.70000000000005</v>
      </c>
      <c r="CE34">
        <v>-348.4</v>
      </c>
      <c r="CG34">
        <v>31</v>
      </c>
      <c r="CH34">
        <v>496.2</v>
      </c>
      <c r="CI34">
        <v>518.9</v>
      </c>
      <c r="CJ34">
        <v>891.9</v>
      </c>
      <c r="CK34">
        <v>569.29999999999995</v>
      </c>
      <c r="CL34">
        <v>816</v>
      </c>
    </row>
    <row r="35" spans="1:94" x14ac:dyDescent="0.35">
      <c r="A35">
        <v>32</v>
      </c>
      <c r="B35">
        <v>-238.1</v>
      </c>
      <c r="C35">
        <v>-229.7</v>
      </c>
      <c r="D35">
        <v>-125.9</v>
      </c>
      <c r="E35">
        <v>-308.8</v>
      </c>
      <c r="F35">
        <v>-403.3</v>
      </c>
      <c r="H35">
        <v>32</v>
      </c>
      <c r="I35">
        <v>74.599999999999994</v>
      </c>
      <c r="J35">
        <v>432.3</v>
      </c>
      <c r="K35">
        <v>500.3</v>
      </c>
      <c r="L35">
        <v>458.5</v>
      </c>
      <c r="M35">
        <v>242.4</v>
      </c>
      <c r="AB35">
        <v>32</v>
      </c>
      <c r="AC35">
        <v>-67.7</v>
      </c>
      <c r="AD35">
        <v>-222.7</v>
      </c>
      <c r="AE35">
        <v>-143.80000000000001</v>
      </c>
      <c r="AF35">
        <v>-162.9</v>
      </c>
      <c r="AG35">
        <v>-175</v>
      </c>
      <c r="AI35">
        <v>32</v>
      </c>
      <c r="AJ35">
        <v>464</v>
      </c>
      <c r="AK35">
        <v>637.4</v>
      </c>
      <c r="AL35">
        <v>171.3</v>
      </c>
      <c r="AM35">
        <v>145.69999999999999</v>
      </c>
      <c r="AN35">
        <v>73.5</v>
      </c>
      <c r="BB35">
        <v>32</v>
      </c>
      <c r="BC35">
        <v>-47</v>
      </c>
      <c r="BD35">
        <v>-211.6</v>
      </c>
      <c r="BE35">
        <v>-302.2</v>
      </c>
      <c r="BF35">
        <v>-289.39999999999998</v>
      </c>
      <c r="BG35">
        <v>-239.1</v>
      </c>
      <c r="BI35">
        <v>32</v>
      </c>
      <c r="BJ35">
        <v>469.2</v>
      </c>
      <c r="BK35">
        <v>548.4</v>
      </c>
      <c r="BL35">
        <v>711.8</v>
      </c>
      <c r="BM35">
        <v>867</v>
      </c>
      <c r="BN35">
        <v>895.6</v>
      </c>
      <c r="BZ35">
        <v>32</v>
      </c>
      <c r="CA35">
        <v>-486.9</v>
      </c>
      <c r="CB35">
        <v>-404.3</v>
      </c>
      <c r="CC35">
        <v>-372.1</v>
      </c>
      <c r="CD35">
        <v>-572.70000000000005</v>
      </c>
      <c r="CE35">
        <v>-341.5</v>
      </c>
      <c r="CG35">
        <v>32</v>
      </c>
      <c r="CH35">
        <v>505.4</v>
      </c>
      <c r="CI35">
        <v>548.1</v>
      </c>
      <c r="CJ35">
        <v>906.6</v>
      </c>
      <c r="CK35">
        <v>583.20000000000005</v>
      </c>
      <c r="CL35">
        <v>828.4</v>
      </c>
    </row>
    <row r="36" spans="1:94" x14ac:dyDescent="0.35">
      <c r="A36">
        <v>33</v>
      </c>
      <c r="B36">
        <v>-236.5</v>
      </c>
      <c r="C36">
        <v>-229.6</v>
      </c>
      <c r="D36">
        <v>-124.6</v>
      </c>
      <c r="E36">
        <v>-313.39999999999998</v>
      </c>
      <c r="F36">
        <v>-395.4</v>
      </c>
      <c r="H36">
        <v>33</v>
      </c>
      <c r="I36">
        <v>110.4</v>
      </c>
      <c r="J36">
        <v>451</v>
      </c>
      <c r="K36">
        <v>511.3</v>
      </c>
      <c r="L36">
        <v>462.3</v>
      </c>
      <c r="M36">
        <v>249.2</v>
      </c>
      <c r="AB36">
        <v>33</v>
      </c>
      <c r="AC36">
        <v>-72.599999999999994</v>
      </c>
      <c r="AD36">
        <v>-219.3</v>
      </c>
      <c r="AE36">
        <v>-144.6</v>
      </c>
      <c r="AF36">
        <v>-164.7</v>
      </c>
      <c r="AG36">
        <v>-175.5</v>
      </c>
      <c r="AI36">
        <v>33</v>
      </c>
      <c r="AJ36">
        <v>485.8</v>
      </c>
      <c r="AK36">
        <v>652.9</v>
      </c>
      <c r="AL36">
        <v>227.3</v>
      </c>
      <c r="AM36">
        <v>188</v>
      </c>
      <c r="AN36">
        <v>81.8</v>
      </c>
      <c r="BB36">
        <v>33</v>
      </c>
      <c r="BC36">
        <v>-98.1</v>
      </c>
      <c r="BD36">
        <v>-214.2</v>
      </c>
      <c r="BE36">
        <v>-301.10000000000002</v>
      </c>
      <c r="BF36">
        <v>-294.7</v>
      </c>
      <c r="BG36">
        <v>-242.3</v>
      </c>
      <c r="BI36">
        <v>33</v>
      </c>
      <c r="BJ36">
        <v>495.4</v>
      </c>
      <c r="BK36">
        <v>578.6</v>
      </c>
      <c r="BL36">
        <v>724.8</v>
      </c>
      <c r="BM36">
        <v>895.4</v>
      </c>
      <c r="BN36">
        <v>921.3</v>
      </c>
      <c r="BZ36">
        <v>33</v>
      </c>
      <c r="CA36">
        <v>-489.1</v>
      </c>
      <c r="CB36">
        <v>-395.5</v>
      </c>
      <c r="CC36">
        <v>-369.7</v>
      </c>
      <c r="CD36">
        <v>-559.5</v>
      </c>
      <c r="CE36">
        <v>-336.8</v>
      </c>
      <c r="CG36">
        <v>33</v>
      </c>
      <c r="CH36">
        <v>521.5</v>
      </c>
      <c r="CI36">
        <v>567.70000000000005</v>
      </c>
      <c r="CJ36">
        <v>919.4</v>
      </c>
      <c r="CK36">
        <v>594.79999999999995</v>
      </c>
      <c r="CL36">
        <v>841.1</v>
      </c>
    </row>
    <row r="37" spans="1:94" x14ac:dyDescent="0.35">
      <c r="A37">
        <v>34</v>
      </c>
      <c r="B37">
        <v>-233.5</v>
      </c>
      <c r="C37">
        <v>-228.8</v>
      </c>
      <c r="D37">
        <v>-123.6</v>
      </c>
      <c r="E37">
        <v>-314.89999999999998</v>
      </c>
      <c r="F37">
        <v>-387.7</v>
      </c>
      <c r="H37">
        <v>34</v>
      </c>
      <c r="I37">
        <v>157.1</v>
      </c>
      <c r="J37">
        <v>462.8</v>
      </c>
      <c r="K37">
        <v>504.3</v>
      </c>
      <c r="L37">
        <v>465.7</v>
      </c>
      <c r="M37">
        <v>254.9</v>
      </c>
      <c r="AB37">
        <v>34</v>
      </c>
      <c r="AC37">
        <v>-79.599999999999994</v>
      </c>
      <c r="AD37">
        <v>-217.3</v>
      </c>
      <c r="AE37">
        <v>-146.69999999999999</v>
      </c>
      <c r="AF37">
        <v>-165.7</v>
      </c>
      <c r="AG37">
        <v>-176.3</v>
      </c>
      <c r="AI37">
        <v>34</v>
      </c>
      <c r="AJ37">
        <v>504.8</v>
      </c>
      <c r="AK37">
        <v>659.3</v>
      </c>
      <c r="AL37">
        <v>276.60000000000002</v>
      </c>
      <c r="AM37">
        <v>233.8</v>
      </c>
      <c r="AN37">
        <v>98.4</v>
      </c>
      <c r="BB37">
        <v>34</v>
      </c>
      <c r="BC37">
        <v>-131.30000000000001</v>
      </c>
      <c r="BD37">
        <v>-216.6</v>
      </c>
      <c r="BE37">
        <v>-298.5</v>
      </c>
      <c r="BF37">
        <v>-297.39999999999998</v>
      </c>
      <c r="BG37">
        <v>-247.5</v>
      </c>
      <c r="BI37">
        <v>34</v>
      </c>
      <c r="BJ37">
        <v>514.4</v>
      </c>
      <c r="BK37">
        <v>601.70000000000005</v>
      </c>
      <c r="BL37">
        <v>735.2</v>
      </c>
      <c r="BM37">
        <v>930.8</v>
      </c>
      <c r="BN37">
        <v>944.6</v>
      </c>
      <c r="BZ37">
        <v>34</v>
      </c>
      <c r="CA37">
        <v>-487.3</v>
      </c>
      <c r="CB37">
        <v>-386.8</v>
      </c>
      <c r="CC37">
        <v>-367.3</v>
      </c>
      <c r="CD37">
        <v>-550.5</v>
      </c>
      <c r="CE37">
        <v>-334.3</v>
      </c>
      <c r="CG37">
        <v>34</v>
      </c>
      <c r="CH37">
        <v>543.20000000000005</v>
      </c>
      <c r="CI37">
        <v>583.1</v>
      </c>
      <c r="CJ37">
        <v>937.2</v>
      </c>
      <c r="CK37">
        <v>610</v>
      </c>
      <c r="CL37">
        <v>851.1</v>
      </c>
    </row>
    <row r="38" spans="1:94" x14ac:dyDescent="0.35">
      <c r="A38">
        <v>35</v>
      </c>
      <c r="B38">
        <v>-230.4</v>
      </c>
      <c r="C38">
        <v>-226.9</v>
      </c>
      <c r="D38">
        <v>-122.7</v>
      </c>
      <c r="E38">
        <v>-314.8</v>
      </c>
      <c r="F38">
        <v>-380.4</v>
      </c>
      <c r="H38">
        <v>35</v>
      </c>
      <c r="I38">
        <v>196.2</v>
      </c>
      <c r="J38">
        <v>467.1</v>
      </c>
      <c r="K38">
        <v>486.8</v>
      </c>
      <c r="L38">
        <v>470</v>
      </c>
      <c r="M38">
        <v>259.39999999999998</v>
      </c>
      <c r="AB38">
        <v>35</v>
      </c>
      <c r="AC38">
        <v>-88.2</v>
      </c>
      <c r="AD38">
        <v>-216.7</v>
      </c>
      <c r="AE38">
        <v>-148.6</v>
      </c>
      <c r="AF38">
        <v>-164.9</v>
      </c>
      <c r="AG38">
        <v>-177.3</v>
      </c>
      <c r="AI38">
        <v>35</v>
      </c>
      <c r="AJ38">
        <v>520.29999999999995</v>
      </c>
      <c r="AK38">
        <v>660.5</v>
      </c>
      <c r="AL38">
        <v>316.8</v>
      </c>
      <c r="AM38">
        <v>273.2</v>
      </c>
      <c r="AN38">
        <v>122.1</v>
      </c>
      <c r="BB38">
        <v>35</v>
      </c>
      <c r="BC38">
        <v>-138</v>
      </c>
      <c r="BD38">
        <v>-218.2</v>
      </c>
      <c r="BE38">
        <v>-294.89999999999998</v>
      </c>
      <c r="BF38">
        <v>-298.60000000000002</v>
      </c>
      <c r="BG38">
        <v>-254.1</v>
      </c>
      <c r="BI38">
        <v>35</v>
      </c>
      <c r="BJ38">
        <v>524.79999999999995</v>
      </c>
      <c r="BK38">
        <v>621.20000000000005</v>
      </c>
      <c r="BL38">
        <v>746.7</v>
      </c>
      <c r="BM38">
        <v>957.3</v>
      </c>
      <c r="BN38">
        <v>968.4</v>
      </c>
      <c r="BZ38">
        <v>35</v>
      </c>
      <c r="CA38">
        <v>-481.6</v>
      </c>
      <c r="CB38">
        <v>-380.1</v>
      </c>
      <c r="CC38">
        <v>-366.4</v>
      </c>
      <c r="CD38">
        <v>-549.1</v>
      </c>
      <c r="CE38">
        <v>-334.5</v>
      </c>
      <c r="CG38">
        <v>35</v>
      </c>
      <c r="CH38">
        <v>561</v>
      </c>
      <c r="CI38">
        <v>593.20000000000005</v>
      </c>
      <c r="CJ38">
        <v>954.4</v>
      </c>
      <c r="CK38">
        <v>625.5</v>
      </c>
      <c r="CL38">
        <v>859.2</v>
      </c>
    </row>
    <row r="39" spans="1:94" x14ac:dyDescent="0.35">
      <c r="A39">
        <v>36</v>
      </c>
      <c r="B39">
        <v>-227.1</v>
      </c>
      <c r="C39">
        <v>-225.4</v>
      </c>
      <c r="D39">
        <v>-121.5</v>
      </c>
      <c r="E39">
        <v>-314.7</v>
      </c>
      <c r="F39">
        <v>-374.1</v>
      </c>
      <c r="H39">
        <v>36</v>
      </c>
      <c r="I39">
        <v>225.1</v>
      </c>
      <c r="J39">
        <v>472.4</v>
      </c>
      <c r="K39">
        <v>476.1</v>
      </c>
      <c r="L39">
        <v>472.4</v>
      </c>
      <c r="M39">
        <v>265.2</v>
      </c>
      <c r="AB39">
        <v>36</v>
      </c>
      <c r="AC39">
        <v>-98.6</v>
      </c>
      <c r="AD39">
        <v>-217</v>
      </c>
      <c r="AE39">
        <v>-149.30000000000001</v>
      </c>
      <c r="AF39">
        <v>-163</v>
      </c>
      <c r="AG39">
        <v>-178.1</v>
      </c>
      <c r="AI39">
        <v>36</v>
      </c>
      <c r="AJ39">
        <v>530.29999999999995</v>
      </c>
      <c r="AK39">
        <v>658.7</v>
      </c>
      <c r="AL39">
        <v>351.3</v>
      </c>
      <c r="AM39">
        <v>306.7</v>
      </c>
      <c r="AN39">
        <v>147.69999999999999</v>
      </c>
      <c r="BB39">
        <v>36</v>
      </c>
      <c r="BC39">
        <v>-143.80000000000001</v>
      </c>
      <c r="BD39">
        <v>-221.1</v>
      </c>
      <c r="BE39">
        <v>-291.10000000000002</v>
      </c>
      <c r="BF39">
        <v>-298.8</v>
      </c>
      <c r="BG39">
        <v>-261.3</v>
      </c>
      <c r="BI39">
        <v>36</v>
      </c>
      <c r="BJ39">
        <v>531.29999999999995</v>
      </c>
      <c r="BK39">
        <v>638.6</v>
      </c>
      <c r="BL39">
        <v>760</v>
      </c>
      <c r="BM39">
        <v>979.5</v>
      </c>
      <c r="BN39">
        <v>994.1</v>
      </c>
      <c r="BZ39">
        <v>36</v>
      </c>
      <c r="CA39">
        <v>-473.6</v>
      </c>
      <c r="CB39">
        <v>-375.4</v>
      </c>
      <c r="CC39">
        <v>-367.1</v>
      </c>
      <c r="CD39">
        <v>-551.4</v>
      </c>
      <c r="CE39">
        <v>-334.5</v>
      </c>
      <c r="CG39">
        <v>36</v>
      </c>
      <c r="CH39">
        <v>571.6</v>
      </c>
      <c r="CI39">
        <v>596.9</v>
      </c>
      <c r="CJ39">
        <v>965.7</v>
      </c>
      <c r="CK39">
        <v>641.4</v>
      </c>
      <c r="CL39">
        <v>870.6</v>
      </c>
    </row>
    <row r="40" spans="1:94" x14ac:dyDescent="0.35">
      <c r="A40">
        <v>37</v>
      </c>
      <c r="B40">
        <v>-223.5</v>
      </c>
      <c r="C40">
        <v>-225.2</v>
      </c>
      <c r="D40">
        <v>-120.1</v>
      </c>
      <c r="E40">
        <v>-315</v>
      </c>
      <c r="F40">
        <v>-368.8</v>
      </c>
      <c r="H40">
        <v>37</v>
      </c>
      <c r="I40">
        <v>251.8</v>
      </c>
      <c r="J40">
        <v>485.2</v>
      </c>
      <c r="K40">
        <v>473.3</v>
      </c>
      <c r="L40">
        <v>466.9</v>
      </c>
      <c r="M40">
        <v>273.3</v>
      </c>
      <c r="AB40">
        <v>37</v>
      </c>
      <c r="AC40">
        <v>-109.7</v>
      </c>
      <c r="AD40">
        <v>-217</v>
      </c>
      <c r="AE40">
        <v>-149.19999999999999</v>
      </c>
      <c r="AF40">
        <v>-161</v>
      </c>
      <c r="AG40">
        <v>-178</v>
      </c>
      <c r="AI40">
        <v>37</v>
      </c>
      <c r="AJ40">
        <v>538.5</v>
      </c>
      <c r="AK40">
        <v>653.70000000000005</v>
      </c>
      <c r="AL40">
        <v>387.6</v>
      </c>
      <c r="AM40">
        <v>337.5</v>
      </c>
      <c r="AN40">
        <v>171.4</v>
      </c>
      <c r="BB40">
        <v>37</v>
      </c>
      <c r="BC40">
        <v>-152.30000000000001</v>
      </c>
      <c r="BD40">
        <v>-225</v>
      </c>
      <c r="BE40">
        <v>-288.60000000000002</v>
      </c>
      <c r="BF40">
        <v>-299.5</v>
      </c>
      <c r="BG40">
        <v>-268</v>
      </c>
      <c r="BI40">
        <v>37</v>
      </c>
      <c r="BJ40">
        <v>535.5</v>
      </c>
      <c r="BK40">
        <v>657.3</v>
      </c>
      <c r="BL40">
        <v>770.4</v>
      </c>
      <c r="BM40">
        <v>1003.9</v>
      </c>
      <c r="BN40">
        <v>1018.8</v>
      </c>
      <c r="BZ40">
        <v>37</v>
      </c>
      <c r="CA40">
        <v>-462.2</v>
      </c>
      <c r="CB40">
        <v>-372.2</v>
      </c>
      <c r="CC40">
        <v>-368.3</v>
      </c>
      <c r="CD40">
        <v>-551.5</v>
      </c>
      <c r="CE40">
        <v>-334.4</v>
      </c>
      <c r="CG40">
        <v>37</v>
      </c>
      <c r="CH40">
        <v>578.4</v>
      </c>
      <c r="CI40">
        <v>598.79999999999995</v>
      </c>
      <c r="CJ40">
        <v>966.8</v>
      </c>
      <c r="CK40">
        <v>661</v>
      </c>
      <c r="CL40">
        <v>878.5</v>
      </c>
    </row>
    <row r="41" spans="1:94" x14ac:dyDescent="0.35">
      <c r="A41">
        <v>38</v>
      </c>
      <c r="B41">
        <v>-219.9</v>
      </c>
      <c r="C41">
        <v>-225.2</v>
      </c>
      <c r="D41">
        <v>-118.8</v>
      </c>
      <c r="E41">
        <v>-313.7</v>
      </c>
      <c r="F41">
        <v>-363.5</v>
      </c>
      <c r="H41">
        <v>38</v>
      </c>
      <c r="I41">
        <v>277.39999999999998</v>
      </c>
      <c r="J41">
        <v>504.7</v>
      </c>
      <c r="K41">
        <v>464</v>
      </c>
      <c r="L41">
        <v>453.1</v>
      </c>
      <c r="M41">
        <v>284</v>
      </c>
      <c r="AB41">
        <v>38</v>
      </c>
      <c r="AC41">
        <v>-118.4</v>
      </c>
      <c r="AD41">
        <v>-216.4</v>
      </c>
      <c r="AE41">
        <v>-148.9</v>
      </c>
      <c r="AF41">
        <v>-159.9</v>
      </c>
      <c r="AG41">
        <v>-177</v>
      </c>
      <c r="AI41">
        <v>38</v>
      </c>
      <c r="AJ41">
        <v>548.20000000000005</v>
      </c>
      <c r="AK41">
        <v>649.9</v>
      </c>
      <c r="AL41">
        <v>428.4</v>
      </c>
      <c r="AM41">
        <v>368.3</v>
      </c>
      <c r="AN41">
        <v>192.3</v>
      </c>
      <c r="BB41">
        <v>38</v>
      </c>
      <c r="BC41">
        <v>-162.6</v>
      </c>
      <c r="BD41">
        <v>-226.9</v>
      </c>
      <c r="BE41">
        <v>-287.8</v>
      </c>
      <c r="BF41">
        <v>-301.3</v>
      </c>
      <c r="BG41">
        <v>-273.10000000000002</v>
      </c>
      <c r="BI41">
        <v>38</v>
      </c>
      <c r="BJ41">
        <v>540.6</v>
      </c>
      <c r="BK41">
        <v>674.7</v>
      </c>
      <c r="BL41">
        <v>776.8</v>
      </c>
      <c r="BM41">
        <v>1021.6</v>
      </c>
      <c r="BN41">
        <v>1038.0999999999999</v>
      </c>
      <c r="BZ41">
        <v>38</v>
      </c>
      <c r="CA41">
        <v>-440.9</v>
      </c>
      <c r="CB41">
        <v>-369.7</v>
      </c>
      <c r="CC41">
        <v>-368</v>
      </c>
      <c r="CD41">
        <v>-546.6</v>
      </c>
      <c r="CE41">
        <v>-336.9</v>
      </c>
      <c r="CG41">
        <v>38</v>
      </c>
      <c r="CH41">
        <v>588.20000000000005</v>
      </c>
      <c r="CI41">
        <v>598.20000000000005</v>
      </c>
      <c r="CJ41">
        <v>957.6</v>
      </c>
      <c r="CK41">
        <v>677.3</v>
      </c>
      <c r="CL41">
        <v>886.4</v>
      </c>
    </row>
    <row r="42" spans="1:94" x14ac:dyDescent="0.35">
      <c r="A42">
        <v>39</v>
      </c>
      <c r="B42">
        <v>-217.7</v>
      </c>
      <c r="C42">
        <v>-224.8</v>
      </c>
      <c r="D42">
        <v>-117.8</v>
      </c>
      <c r="E42">
        <v>-312.3</v>
      </c>
      <c r="F42">
        <v>-357.6</v>
      </c>
      <c r="H42">
        <v>39</v>
      </c>
      <c r="I42">
        <v>298.89999999999998</v>
      </c>
      <c r="J42">
        <v>518.4</v>
      </c>
      <c r="K42">
        <v>438.6</v>
      </c>
      <c r="L42">
        <v>440.4</v>
      </c>
      <c r="M42">
        <v>294.7</v>
      </c>
      <c r="AB42">
        <v>39</v>
      </c>
      <c r="AC42">
        <v>-123.4</v>
      </c>
      <c r="AD42">
        <v>-214.7</v>
      </c>
      <c r="AE42">
        <v>-148.4</v>
      </c>
      <c r="AF42">
        <v>-160.6</v>
      </c>
      <c r="AG42">
        <v>-175.8</v>
      </c>
      <c r="AI42">
        <v>39</v>
      </c>
      <c r="AJ42">
        <v>563.79999999999995</v>
      </c>
      <c r="AK42">
        <v>645.1</v>
      </c>
      <c r="AL42">
        <v>468.3</v>
      </c>
      <c r="AM42">
        <v>403.4</v>
      </c>
      <c r="AN42">
        <v>213.4</v>
      </c>
      <c r="BB42">
        <v>39</v>
      </c>
      <c r="BC42">
        <v>-170.3</v>
      </c>
      <c r="BD42">
        <v>-227.9</v>
      </c>
      <c r="BE42">
        <v>-288.8</v>
      </c>
      <c r="BF42">
        <v>-302.2</v>
      </c>
      <c r="BG42">
        <v>-276.10000000000002</v>
      </c>
      <c r="BI42">
        <v>39</v>
      </c>
      <c r="BJ42">
        <v>555.4</v>
      </c>
      <c r="BK42">
        <v>689.8</v>
      </c>
      <c r="BL42">
        <v>775</v>
      </c>
      <c r="BM42">
        <v>1027.9000000000001</v>
      </c>
      <c r="BN42">
        <v>1047</v>
      </c>
      <c r="BZ42">
        <v>39</v>
      </c>
      <c r="CA42">
        <v>-411.5</v>
      </c>
      <c r="CB42">
        <v>-368.7</v>
      </c>
      <c r="CC42">
        <v>-366.6</v>
      </c>
      <c r="CD42">
        <v>-540.4</v>
      </c>
      <c r="CE42">
        <v>-342.8</v>
      </c>
      <c r="CG42">
        <v>39</v>
      </c>
      <c r="CH42">
        <v>605.1</v>
      </c>
      <c r="CI42">
        <v>596.4</v>
      </c>
      <c r="CJ42">
        <v>953.5</v>
      </c>
      <c r="CK42">
        <v>685.7</v>
      </c>
      <c r="CL42">
        <v>894.9</v>
      </c>
    </row>
    <row r="43" spans="1:94" x14ac:dyDescent="0.35">
      <c r="A43">
        <v>40</v>
      </c>
      <c r="B43">
        <v>-217.7</v>
      </c>
      <c r="C43">
        <v>-224.1</v>
      </c>
      <c r="D43">
        <v>-116.7</v>
      </c>
      <c r="E43">
        <v>-311.10000000000002</v>
      </c>
      <c r="F43">
        <v>-351.1</v>
      </c>
      <c r="H43">
        <v>40</v>
      </c>
      <c r="I43">
        <v>315.5</v>
      </c>
      <c r="J43">
        <v>525</v>
      </c>
      <c r="K43">
        <v>407.2</v>
      </c>
      <c r="L43">
        <v>441.2</v>
      </c>
      <c r="M43">
        <v>303.39999999999998</v>
      </c>
      <c r="AB43">
        <v>40</v>
      </c>
      <c r="AC43">
        <v>-127.9</v>
      </c>
      <c r="AD43">
        <v>-212.4</v>
      </c>
      <c r="AE43">
        <v>-147.69999999999999</v>
      </c>
      <c r="AF43">
        <v>-162.19999999999999</v>
      </c>
      <c r="AG43">
        <v>-174.4</v>
      </c>
      <c r="AI43">
        <v>40</v>
      </c>
      <c r="AJ43">
        <v>578.29999999999995</v>
      </c>
      <c r="AK43">
        <v>640</v>
      </c>
      <c r="AL43">
        <v>503.2</v>
      </c>
      <c r="AM43">
        <v>441.6</v>
      </c>
      <c r="AN43">
        <v>235.9</v>
      </c>
      <c r="BB43">
        <v>40</v>
      </c>
      <c r="BC43">
        <v>-176.1</v>
      </c>
      <c r="BD43">
        <v>-227.9</v>
      </c>
      <c r="BE43">
        <v>-290</v>
      </c>
      <c r="BF43">
        <v>-300.8</v>
      </c>
      <c r="BG43">
        <v>-277.10000000000002</v>
      </c>
      <c r="BI43">
        <v>40</v>
      </c>
      <c r="BJ43">
        <v>578.70000000000005</v>
      </c>
      <c r="BK43">
        <v>704.4</v>
      </c>
      <c r="BL43">
        <v>771.5</v>
      </c>
      <c r="BM43">
        <v>1043.5</v>
      </c>
      <c r="BN43">
        <v>1053.5</v>
      </c>
      <c r="BZ43">
        <v>40</v>
      </c>
      <c r="CA43">
        <v>-382</v>
      </c>
      <c r="CB43">
        <v>-368.4</v>
      </c>
      <c r="CC43">
        <v>-364.4</v>
      </c>
      <c r="CD43">
        <v>-535.79999999999995</v>
      </c>
      <c r="CE43">
        <v>-349.9</v>
      </c>
      <c r="CG43">
        <v>40</v>
      </c>
      <c r="CH43">
        <v>620.70000000000005</v>
      </c>
      <c r="CI43">
        <v>598.1</v>
      </c>
      <c r="CJ43">
        <v>972.4</v>
      </c>
      <c r="CK43">
        <v>690.6</v>
      </c>
      <c r="CL43">
        <v>895.1</v>
      </c>
      <c r="CO43" s="1" t="s">
        <v>40</v>
      </c>
    </row>
    <row r="44" spans="1:94" x14ac:dyDescent="0.35">
      <c r="A44">
        <v>41</v>
      </c>
      <c r="B44">
        <v>-218.4</v>
      </c>
      <c r="C44">
        <v>-223.3</v>
      </c>
      <c r="D44">
        <v>-115.7</v>
      </c>
      <c r="E44">
        <v>-310.2</v>
      </c>
      <c r="F44">
        <v>-344.8</v>
      </c>
      <c r="H44">
        <v>41</v>
      </c>
      <c r="I44">
        <v>328.9</v>
      </c>
      <c r="J44">
        <v>530.6</v>
      </c>
      <c r="K44">
        <v>384.9</v>
      </c>
      <c r="L44">
        <v>447.2</v>
      </c>
      <c r="M44">
        <v>314</v>
      </c>
      <c r="AB44">
        <v>41</v>
      </c>
      <c r="AC44">
        <v>-136.6</v>
      </c>
      <c r="AD44">
        <v>-209.8</v>
      </c>
      <c r="AE44">
        <v>-146.80000000000001</v>
      </c>
      <c r="AF44">
        <v>-162.9</v>
      </c>
      <c r="AG44">
        <v>-173.1</v>
      </c>
      <c r="AI44">
        <v>41</v>
      </c>
      <c r="AJ44">
        <v>589.5</v>
      </c>
      <c r="AK44">
        <v>639.6</v>
      </c>
      <c r="AL44">
        <v>531.79999999999995</v>
      </c>
      <c r="AM44">
        <v>480.3</v>
      </c>
      <c r="AN44">
        <v>257.60000000000002</v>
      </c>
      <c r="BB44">
        <v>41</v>
      </c>
      <c r="BC44">
        <v>-182.3</v>
      </c>
      <c r="BD44">
        <v>-227.5</v>
      </c>
      <c r="BE44">
        <v>-291.10000000000002</v>
      </c>
      <c r="BF44">
        <v>-299.39999999999998</v>
      </c>
      <c r="BG44">
        <v>-278.8</v>
      </c>
      <c r="BI44">
        <v>41</v>
      </c>
      <c r="BJ44">
        <v>600.29999999999995</v>
      </c>
      <c r="BK44">
        <v>720.2</v>
      </c>
      <c r="BL44">
        <v>772.7</v>
      </c>
      <c r="BM44">
        <v>1036.7</v>
      </c>
      <c r="BN44">
        <v>1058</v>
      </c>
      <c r="BZ44">
        <v>41</v>
      </c>
      <c r="CA44">
        <v>-356.9</v>
      </c>
      <c r="CB44">
        <v>-368.5</v>
      </c>
      <c r="CC44">
        <v>-362.5</v>
      </c>
      <c r="CD44">
        <v>-531.70000000000005</v>
      </c>
      <c r="CE44">
        <v>-351.9</v>
      </c>
      <c r="CG44">
        <v>41</v>
      </c>
      <c r="CH44">
        <v>632.70000000000005</v>
      </c>
      <c r="CI44">
        <v>603.4</v>
      </c>
      <c r="CJ44">
        <v>994.2</v>
      </c>
      <c r="CK44">
        <v>701.1</v>
      </c>
      <c r="CL44">
        <v>894</v>
      </c>
      <c r="CO44">
        <f>MAX(CA:CA)</f>
        <v>1003.5</v>
      </c>
      <c r="CP44">
        <f>CO44*0.1333333</f>
        <v>133.79996654999999</v>
      </c>
    </row>
    <row r="45" spans="1:94" x14ac:dyDescent="0.35">
      <c r="A45">
        <v>42</v>
      </c>
      <c r="B45">
        <v>-218.1</v>
      </c>
      <c r="C45">
        <v>-222.5</v>
      </c>
      <c r="D45">
        <v>-114.8</v>
      </c>
      <c r="E45">
        <v>-310.2</v>
      </c>
      <c r="F45">
        <v>-339.9</v>
      </c>
      <c r="H45">
        <v>42</v>
      </c>
      <c r="I45">
        <v>341.3</v>
      </c>
      <c r="J45">
        <v>536.6</v>
      </c>
      <c r="K45">
        <v>377.5</v>
      </c>
      <c r="L45">
        <v>446.6</v>
      </c>
      <c r="M45">
        <v>330.9</v>
      </c>
      <c r="AB45">
        <v>42</v>
      </c>
      <c r="AC45">
        <v>-141.69999999999999</v>
      </c>
      <c r="AD45">
        <v>-206.8</v>
      </c>
      <c r="AE45">
        <v>-145.80000000000001</v>
      </c>
      <c r="AF45">
        <v>-162.9</v>
      </c>
      <c r="AG45">
        <v>-171.7</v>
      </c>
      <c r="AI45">
        <v>42</v>
      </c>
      <c r="AJ45">
        <v>599.20000000000005</v>
      </c>
      <c r="AK45">
        <v>642.9</v>
      </c>
      <c r="AL45">
        <v>555.4</v>
      </c>
      <c r="AM45">
        <v>515.20000000000005</v>
      </c>
      <c r="AN45">
        <v>278</v>
      </c>
      <c r="BB45">
        <v>42</v>
      </c>
      <c r="BC45">
        <v>-188.7</v>
      </c>
      <c r="BD45">
        <v>-226.7</v>
      </c>
      <c r="BE45">
        <v>-291.8</v>
      </c>
      <c r="BF45">
        <v>-298.39999999999998</v>
      </c>
      <c r="BG45">
        <v>-280.8</v>
      </c>
      <c r="BI45">
        <v>42</v>
      </c>
      <c r="BJ45">
        <v>622.29999999999995</v>
      </c>
      <c r="BK45">
        <v>736.9</v>
      </c>
      <c r="BL45">
        <v>775</v>
      </c>
      <c r="BM45">
        <v>970.1</v>
      </c>
      <c r="BN45">
        <v>1059.0999999999999</v>
      </c>
      <c r="BZ45">
        <v>42</v>
      </c>
      <c r="CA45">
        <v>-342.1</v>
      </c>
      <c r="CB45">
        <v>-369.6</v>
      </c>
      <c r="CC45">
        <v>-361.4</v>
      </c>
      <c r="CD45">
        <v>-528.70000000000005</v>
      </c>
      <c r="CE45">
        <v>-348.2</v>
      </c>
      <c r="CG45">
        <v>42</v>
      </c>
      <c r="CH45">
        <v>641.5</v>
      </c>
      <c r="CI45">
        <v>605.9</v>
      </c>
      <c r="CJ45">
        <v>1003.7</v>
      </c>
      <c r="CK45">
        <v>713.5</v>
      </c>
      <c r="CL45">
        <v>889.2</v>
      </c>
      <c r="CO45">
        <f>MAX(CB:CB)</f>
        <v>920.9</v>
      </c>
      <c r="CP45">
        <f t="shared" ref="CP45:CP54" si="0">CO45*0.1333333</f>
        <v>122.78663596999999</v>
      </c>
    </row>
    <row r="46" spans="1:94" x14ac:dyDescent="0.35">
      <c r="A46">
        <v>43</v>
      </c>
      <c r="B46">
        <v>-217.1</v>
      </c>
      <c r="C46">
        <v>-221.4</v>
      </c>
      <c r="D46">
        <v>-113.6</v>
      </c>
      <c r="E46">
        <v>-311</v>
      </c>
      <c r="F46">
        <v>-336.7</v>
      </c>
      <c r="H46">
        <v>43</v>
      </c>
      <c r="I46">
        <v>354.6</v>
      </c>
      <c r="J46">
        <v>549.79999999999995</v>
      </c>
      <c r="K46">
        <v>383.7</v>
      </c>
      <c r="L46">
        <v>442.6</v>
      </c>
      <c r="M46">
        <v>348</v>
      </c>
      <c r="AB46">
        <v>43</v>
      </c>
      <c r="AC46">
        <v>-143.19999999999999</v>
      </c>
      <c r="AD46">
        <v>-203</v>
      </c>
      <c r="AE46">
        <v>-144.9</v>
      </c>
      <c r="AF46">
        <v>-162.4</v>
      </c>
      <c r="AG46">
        <v>-169.7</v>
      </c>
      <c r="AI46">
        <v>43</v>
      </c>
      <c r="AJ46">
        <v>608.5</v>
      </c>
      <c r="AK46">
        <v>643.29999999999995</v>
      </c>
      <c r="AL46">
        <v>576.20000000000005</v>
      </c>
      <c r="AM46">
        <v>545.29999999999995</v>
      </c>
      <c r="AN46">
        <v>298.5</v>
      </c>
      <c r="BB46">
        <v>43</v>
      </c>
      <c r="BC46">
        <v>-194.8</v>
      </c>
      <c r="BD46">
        <v>-225</v>
      </c>
      <c r="BE46">
        <v>-291.89999999999998</v>
      </c>
      <c r="BF46">
        <v>-297.7</v>
      </c>
      <c r="BG46">
        <v>-282.7</v>
      </c>
      <c r="BI46">
        <v>43</v>
      </c>
      <c r="BJ46">
        <v>643.29999999999995</v>
      </c>
      <c r="BK46">
        <v>750.9</v>
      </c>
      <c r="BL46">
        <v>774.3</v>
      </c>
      <c r="BM46">
        <v>876.3</v>
      </c>
      <c r="BN46">
        <v>1069.5</v>
      </c>
      <c r="BZ46">
        <v>43</v>
      </c>
      <c r="CA46">
        <v>-342.5</v>
      </c>
      <c r="CB46">
        <v>-370.5</v>
      </c>
      <c r="CC46">
        <v>-358.8</v>
      </c>
      <c r="CD46">
        <v>-525.79999999999995</v>
      </c>
      <c r="CE46">
        <v>-342.6</v>
      </c>
      <c r="CG46">
        <v>43</v>
      </c>
      <c r="CH46">
        <v>647</v>
      </c>
      <c r="CI46">
        <v>603</v>
      </c>
      <c r="CJ46">
        <v>999.6</v>
      </c>
      <c r="CK46">
        <v>725.5</v>
      </c>
      <c r="CL46">
        <v>873.4</v>
      </c>
      <c r="CO46">
        <f>MAX(CC:CC)</f>
        <v>1055</v>
      </c>
      <c r="CP46">
        <f t="shared" si="0"/>
        <v>140.66663149999999</v>
      </c>
    </row>
    <row r="47" spans="1:94" x14ac:dyDescent="0.35">
      <c r="A47">
        <v>44</v>
      </c>
      <c r="B47">
        <v>-216.5</v>
      </c>
      <c r="C47">
        <v>-220.2</v>
      </c>
      <c r="D47">
        <v>-111.5</v>
      </c>
      <c r="E47">
        <v>-313</v>
      </c>
      <c r="F47">
        <v>-334.5</v>
      </c>
      <c r="H47">
        <v>44</v>
      </c>
      <c r="I47">
        <v>366.9</v>
      </c>
      <c r="J47">
        <v>567</v>
      </c>
      <c r="K47">
        <v>425.3</v>
      </c>
      <c r="L47">
        <v>443.5</v>
      </c>
      <c r="M47">
        <v>362</v>
      </c>
      <c r="AB47">
        <v>44</v>
      </c>
      <c r="AC47">
        <v>-144</v>
      </c>
      <c r="AD47">
        <v>-199.4</v>
      </c>
      <c r="AE47">
        <v>-144.30000000000001</v>
      </c>
      <c r="AF47">
        <v>-161.4</v>
      </c>
      <c r="AG47">
        <v>-166.9</v>
      </c>
      <c r="AI47">
        <v>44</v>
      </c>
      <c r="AJ47">
        <v>617.20000000000005</v>
      </c>
      <c r="AK47">
        <v>640.20000000000005</v>
      </c>
      <c r="AL47">
        <v>596</v>
      </c>
      <c r="AM47">
        <v>569.9</v>
      </c>
      <c r="AN47">
        <v>320.8</v>
      </c>
      <c r="BB47">
        <v>44</v>
      </c>
      <c r="BC47">
        <v>-199.5</v>
      </c>
      <c r="BD47">
        <v>-222.8</v>
      </c>
      <c r="BE47">
        <v>-291.3</v>
      </c>
      <c r="BF47">
        <v>-295.3</v>
      </c>
      <c r="BG47">
        <v>-284.60000000000002</v>
      </c>
      <c r="BI47">
        <v>44</v>
      </c>
      <c r="BJ47">
        <v>664.9</v>
      </c>
      <c r="BK47">
        <v>764.9</v>
      </c>
      <c r="BL47">
        <v>771.6</v>
      </c>
      <c r="BM47">
        <v>792.9</v>
      </c>
      <c r="BN47">
        <v>1073.2</v>
      </c>
      <c r="BQ47" s="1" t="s">
        <v>40</v>
      </c>
      <c r="BZ47">
        <v>44</v>
      </c>
      <c r="CA47">
        <v>-348.2</v>
      </c>
      <c r="CB47">
        <v>-371.2</v>
      </c>
      <c r="CC47">
        <v>-352.7</v>
      </c>
      <c r="CD47">
        <v>-521</v>
      </c>
      <c r="CE47">
        <v>-338.3</v>
      </c>
      <c r="CG47">
        <v>44</v>
      </c>
      <c r="CH47">
        <v>651.1</v>
      </c>
      <c r="CI47">
        <v>601.6</v>
      </c>
      <c r="CJ47">
        <v>992</v>
      </c>
      <c r="CK47">
        <v>737.2</v>
      </c>
      <c r="CL47">
        <v>855.8</v>
      </c>
      <c r="CO47">
        <f>MAX(CD:CD)</f>
        <v>923.3</v>
      </c>
      <c r="CP47">
        <f t="shared" si="0"/>
        <v>123.10663588999998</v>
      </c>
    </row>
    <row r="48" spans="1:94" x14ac:dyDescent="0.35">
      <c r="A48">
        <v>45</v>
      </c>
      <c r="B48">
        <v>-215.5</v>
      </c>
      <c r="C48">
        <v>-218.6</v>
      </c>
      <c r="D48">
        <v>-109.2</v>
      </c>
      <c r="E48">
        <v>-315.5</v>
      </c>
      <c r="F48">
        <v>-331.5</v>
      </c>
      <c r="H48">
        <v>45</v>
      </c>
      <c r="I48">
        <v>378.1</v>
      </c>
      <c r="J48">
        <v>589.4</v>
      </c>
      <c r="K48">
        <v>509.3</v>
      </c>
      <c r="L48">
        <v>450.1</v>
      </c>
      <c r="M48">
        <v>371.3</v>
      </c>
      <c r="AB48">
        <v>45</v>
      </c>
      <c r="AC48">
        <v>-144</v>
      </c>
      <c r="AD48">
        <v>-196.6</v>
      </c>
      <c r="AE48">
        <v>-143.80000000000001</v>
      </c>
      <c r="AF48">
        <v>-160.19999999999999</v>
      </c>
      <c r="AG48">
        <v>-163.6</v>
      </c>
      <c r="AI48">
        <v>45</v>
      </c>
      <c r="AJ48">
        <v>624.20000000000005</v>
      </c>
      <c r="AK48">
        <v>632.79999999999995</v>
      </c>
      <c r="AL48">
        <v>613.6</v>
      </c>
      <c r="AM48">
        <v>588.70000000000005</v>
      </c>
      <c r="AN48">
        <v>344.3</v>
      </c>
      <c r="BB48">
        <v>45</v>
      </c>
      <c r="BC48">
        <v>-206.1</v>
      </c>
      <c r="BD48">
        <v>-221</v>
      </c>
      <c r="BE48">
        <v>-290.60000000000002</v>
      </c>
      <c r="BF48">
        <v>-290.39999999999998</v>
      </c>
      <c r="BG48">
        <v>-286.2</v>
      </c>
      <c r="BI48">
        <v>45</v>
      </c>
      <c r="BJ48">
        <v>687.4</v>
      </c>
      <c r="BK48">
        <v>782</v>
      </c>
      <c r="BL48">
        <v>771.5</v>
      </c>
      <c r="BM48">
        <v>717</v>
      </c>
      <c r="BN48">
        <v>1029.5999999999999</v>
      </c>
      <c r="BQ48">
        <f>MAX(BC:BC)</f>
        <v>792.6</v>
      </c>
      <c r="BR48">
        <f>BQ48*0.13333333</f>
        <v>105.67999735800001</v>
      </c>
      <c r="BZ48">
        <v>45</v>
      </c>
      <c r="CA48">
        <v>-353.8</v>
      </c>
      <c r="CB48">
        <v>-372</v>
      </c>
      <c r="CC48">
        <v>-344.1</v>
      </c>
      <c r="CD48">
        <v>-514</v>
      </c>
      <c r="CE48">
        <v>-336.2</v>
      </c>
      <c r="CG48">
        <v>45</v>
      </c>
      <c r="CH48">
        <v>655.8</v>
      </c>
      <c r="CI48">
        <v>604.5</v>
      </c>
      <c r="CJ48">
        <v>992</v>
      </c>
      <c r="CK48">
        <v>743.2</v>
      </c>
      <c r="CL48">
        <v>840.3</v>
      </c>
      <c r="CO48">
        <f>MAX(CE:CE)</f>
        <v>957.2</v>
      </c>
      <c r="CP48">
        <f t="shared" si="0"/>
        <v>127.62663475999999</v>
      </c>
    </row>
    <row r="49" spans="1:94" x14ac:dyDescent="0.35">
      <c r="A49">
        <v>46</v>
      </c>
      <c r="B49">
        <v>-214.4</v>
      </c>
      <c r="C49">
        <v>-217.3</v>
      </c>
      <c r="D49">
        <v>-107.4</v>
      </c>
      <c r="E49">
        <v>-318.89999999999998</v>
      </c>
      <c r="F49">
        <v>-327.3</v>
      </c>
      <c r="H49">
        <v>46</v>
      </c>
      <c r="I49">
        <v>389.2</v>
      </c>
      <c r="J49">
        <v>611.20000000000005</v>
      </c>
      <c r="K49">
        <v>582.9</v>
      </c>
      <c r="L49">
        <v>450.6</v>
      </c>
      <c r="M49">
        <v>379</v>
      </c>
      <c r="Q49" s="1" t="s">
        <v>40</v>
      </c>
      <c r="AB49">
        <v>46</v>
      </c>
      <c r="AC49">
        <v>-143</v>
      </c>
      <c r="AD49">
        <v>-195.3</v>
      </c>
      <c r="AE49">
        <v>-143.4</v>
      </c>
      <c r="AF49">
        <v>-159.19999999999999</v>
      </c>
      <c r="AG49">
        <v>-161</v>
      </c>
      <c r="AI49">
        <v>46</v>
      </c>
      <c r="AJ49">
        <v>631.5</v>
      </c>
      <c r="AK49">
        <v>621.79999999999995</v>
      </c>
      <c r="AL49">
        <v>628</v>
      </c>
      <c r="AM49">
        <v>607</v>
      </c>
      <c r="AN49">
        <v>366.5</v>
      </c>
      <c r="BB49">
        <v>46</v>
      </c>
      <c r="BC49">
        <v>-217.9</v>
      </c>
      <c r="BD49">
        <v>-220.5</v>
      </c>
      <c r="BE49">
        <v>-290.60000000000002</v>
      </c>
      <c r="BF49">
        <v>-284.3</v>
      </c>
      <c r="BG49">
        <v>-286.89999999999998</v>
      </c>
      <c r="BI49">
        <v>46</v>
      </c>
      <c r="BJ49">
        <v>703.2</v>
      </c>
      <c r="BK49">
        <v>795.8</v>
      </c>
      <c r="BL49">
        <v>774.1</v>
      </c>
      <c r="BM49">
        <v>643.5</v>
      </c>
      <c r="BN49">
        <v>940.2</v>
      </c>
      <c r="BQ49">
        <f>MAX(BD:BD)</f>
        <v>704</v>
      </c>
      <c r="BR49">
        <f t="shared" ref="BR49:BR58" si="1">BQ49*0.13333333</f>
        <v>93.866664319999998</v>
      </c>
      <c r="BZ49">
        <v>46</v>
      </c>
      <c r="CA49">
        <v>-360.8</v>
      </c>
      <c r="CB49">
        <v>-372.1</v>
      </c>
      <c r="CC49">
        <v>-332.6</v>
      </c>
      <c r="CD49">
        <v>-506.6</v>
      </c>
      <c r="CE49">
        <v>-336</v>
      </c>
      <c r="CG49">
        <v>46</v>
      </c>
      <c r="CH49">
        <v>657.2</v>
      </c>
      <c r="CI49">
        <v>612.6</v>
      </c>
      <c r="CJ49">
        <v>1006.2</v>
      </c>
      <c r="CK49">
        <v>742.9</v>
      </c>
      <c r="CL49">
        <v>824.8</v>
      </c>
    </row>
    <row r="50" spans="1:94" x14ac:dyDescent="0.35">
      <c r="A50">
        <v>47</v>
      </c>
      <c r="B50">
        <v>-213.4</v>
      </c>
      <c r="C50">
        <v>-217.2</v>
      </c>
      <c r="D50">
        <v>-105.9</v>
      </c>
      <c r="E50">
        <v>-323.3</v>
      </c>
      <c r="F50">
        <v>-322.39999999999998</v>
      </c>
      <c r="H50">
        <v>47</v>
      </c>
      <c r="I50">
        <v>401.4</v>
      </c>
      <c r="J50">
        <v>628.5</v>
      </c>
      <c r="K50">
        <v>631.29999999999995</v>
      </c>
      <c r="L50">
        <v>446.4</v>
      </c>
      <c r="M50">
        <v>390.4</v>
      </c>
      <c r="Q50">
        <f>MAX(B:B)</f>
        <v>446.8</v>
      </c>
      <c r="R50">
        <f>Q50*0.133333</f>
        <v>59.573184400000002</v>
      </c>
      <c r="AB50">
        <v>47</v>
      </c>
      <c r="AC50">
        <v>-141.5</v>
      </c>
      <c r="AD50">
        <v>-194.7</v>
      </c>
      <c r="AE50">
        <v>-143.30000000000001</v>
      </c>
      <c r="AF50">
        <v>-158.4</v>
      </c>
      <c r="AG50">
        <v>-159.30000000000001</v>
      </c>
      <c r="AI50">
        <v>47</v>
      </c>
      <c r="AJ50">
        <v>636.70000000000005</v>
      </c>
      <c r="AK50">
        <v>610.70000000000005</v>
      </c>
      <c r="AL50">
        <v>641.6</v>
      </c>
      <c r="AM50">
        <v>626.6</v>
      </c>
      <c r="AN50">
        <v>387.5</v>
      </c>
      <c r="BB50">
        <v>47</v>
      </c>
      <c r="BC50">
        <v>-223.7</v>
      </c>
      <c r="BD50">
        <v>-221</v>
      </c>
      <c r="BE50">
        <v>-291.10000000000002</v>
      </c>
      <c r="BF50">
        <v>-278.89999999999998</v>
      </c>
      <c r="BG50">
        <v>-288</v>
      </c>
      <c r="BI50">
        <v>47</v>
      </c>
      <c r="BJ50">
        <v>712.1</v>
      </c>
      <c r="BK50">
        <v>796.9</v>
      </c>
      <c r="BL50">
        <v>779.8</v>
      </c>
      <c r="BM50">
        <v>569.9</v>
      </c>
      <c r="BN50">
        <v>852.8</v>
      </c>
      <c r="BQ50">
        <f>MAX(BE:BE)</f>
        <v>905.7</v>
      </c>
      <c r="BR50">
        <f t="shared" si="1"/>
        <v>120.759996981</v>
      </c>
      <c r="BZ50">
        <v>47</v>
      </c>
      <c r="CA50">
        <v>-367.1</v>
      </c>
      <c r="CB50">
        <v>-372.3</v>
      </c>
      <c r="CC50">
        <v>-319</v>
      </c>
      <c r="CD50">
        <v>-499.4</v>
      </c>
      <c r="CE50">
        <v>-334.4</v>
      </c>
      <c r="CG50">
        <v>47</v>
      </c>
      <c r="CH50">
        <v>653.70000000000005</v>
      </c>
      <c r="CI50">
        <v>621.79999999999995</v>
      </c>
      <c r="CJ50">
        <v>1021.8</v>
      </c>
      <c r="CK50">
        <v>734.8</v>
      </c>
      <c r="CL50">
        <v>808.4</v>
      </c>
      <c r="CO50">
        <f>MAX(CH:CH)</f>
        <v>745.7</v>
      </c>
      <c r="CP50">
        <f t="shared" si="0"/>
        <v>99.426641809999992</v>
      </c>
    </row>
    <row r="51" spans="1:94" x14ac:dyDescent="0.35">
      <c r="A51">
        <v>48</v>
      </c>
      <c r="B51">
        <v>-212.4</v>
      </c>
      <c r="C51">
        <v>-217.1</v>
      </c>
      <c r="D51">
        <v>-104.6</v>
      </c>
      <c r="E51">
        <v>-326.5</v>
      </c>
      <c r="F51">
        <v>-318.10000000000002</v>
      </c>
      <c r="H51">
        <v>48</v>
      </c>
      <c r="I51">
        <v>413.7</v>
      </c>
      <c r="J51">
        <v>641.20000000000005</v>
      </c>
      <c r="K51">
        <v>675.6</v>
      </c>
      <c r="L51">
        <v>443.6</v>
      </c>
      <c r="M51">
        <v>404.5</v>
      </c>
      <c r="Q51">
        <f>MAX(C:C)</f>
        <v>448.1</v>
      </c>
      <c r="R51">
        <f t="shared" ref="R51:R60" si="2">Q51*0.133333</f>
        <v>59.746517300000008</v>
      </c>
      <c r="AB51">
        <v>48</v>
      </c>
      <c r="AC51">
        <v>-139.80000000000001</v>
      </c>
      <c r="AD51">
        <v>-193.6</v>
      </c>
      <c r="AE51">
        <v>-143.6</v>
      </c>
      <c r="AF51">
        <v>-158.4</v>
      </c>
      <c r="AG51">
        <v>-158</v>
      </c>
      <c r="AI51">
        <v>48</v>
      </c>
      <c r="AJ51">
        <v>638.6</v>
      </c>
      <c r="AK51">
        <v>603.1</v>
      </c>
      <c r="AL51">
        <v>651.70000000000005</v>
      </c>
      <c r="AM51">
        <v>646.29999999999995</v>
      </c>
      <c r="AN51">
        <v>406.1</v>
      </c>
      <c r="BB51">
        <v>48</v>
      </c>
      <c r="BC51">
        <v>-225.5</v>
      </c>
      <c r="BD51">
        <v>-222</v>
      </c>
      <c r="BE51">
        <v>-291.2</v>
      </c>
      <c r="BF51">
        <v>-274.60000000000002</v>
      </c>
      <c r="BG51">
        <v>-290.10000000000002</v>
      </c>
      <c r="BI51">
        <v>48</v>
      </c>
      <c r="BJ51">
        <v>716.1</v>
      </c>
      <c r="BK51">
        <v>795</v>
      </c>
      <c r="BL51">
        <v>786.2</v>
      </c>
      <c r="BM51">
        <v>495.9</v>
      </c>
      <c r="BN51">
        <v>776.2</v>
      </c>
      <c r="BQ51">
        <f>MAX(BF:BF)</f>
        <v>972.1</v>
      </c>
      <c r="BR51">
        <f t="shared" si="1"/>
        <v>129.613330093</v>
      </c>
      <c r="BZ51">
        <v>48</v>
      </c>
      <c r="CA51">
        <v>-370.9</v>
      </c>
      <c r="CB51">
        <v>-372.8</v>
      </c>
      <c r="CC51">
        <v>-307.3</v>
      </c>
      <c r="CD51">
        <v>-491.8</v>
      </c>
      <c r="CE51">
        <v>-330.9</v>
      </c>
      <c r="CG51">
        <v>48</v>
      </c>
      <c r="CH51">
        <v>653.1</v>
      </c>
      <c r="CI51">
        <v>630</v>
      </c>
      <c r="CJ51">
        <v>980.5</v>
      </c>
      <c r="CK51">
        <v>723</v>
      </c>
      <c r="CL51">
        <v>796.8</v>
      </c>
      <c r="CO51">
        <f>MAX(CI:CI)</f>
        <v>986.7</v>
      </c>
      <c r="CP51">
        <f t="shared" si="0"/>
        <v>131.55996711</v>
      </c>
    </row>
    <row r="52" spans="1:94" x14ac:dyDescent="0.35">
      <c r="A52">
        <v>49</v>
      </c>
      <c r="B52">
        <v>-210.7</v>
      </c>
      <c r="C52">
        <v>-216.3</v>
      </c>
      <c r="D52">
        <v>-103.1</v>
      </c>
      <c r="E52">
        <v>-328</v>
      </c>
      <c r="F52">
        <v>-314.7</v>
      </c>
      <c r="H52">
        <v>49</v>
      </c>
      <c r="I52">
        <v>425.8</v>
      </c>
      <c r="J52">
        <v>652.20000000000005</v>
      </c>
      <c r="K52">
        <v>664</v>
      </c>
      <c r="L52">
        <v>441.5</v>
      </c>
      <c r="M52">
        <v>418.2</v>
      </c>
      <c r="Q52">
        <f>MAX(D:D)</f>
        <v>491.4</v>
      </c>
      <c r="R52">
        <f t="shared" si="2"/>
        <v>65.5198362</v>
      </c>
      <c r="AB52">
        <v>49</v>
      </c>
      <c r="AC52">
        <v>-137.80000000000001</v>
      </c>
      <c r="AD52">
        <v>-191.5</v>
      </c>
      <c r="AE52">
        <v>-144</v>
      </c>
      <c r="AF52">
        <v>-158.9</v>
      </c>
      <c r="AG52">
        <v>-157.19999999999999</v>
      </c>
      <c r="AI52">
        <v>49</v>
      </c>
      <c r="AJ52">
        <v>639.6</v>
      </c>
      <c r="AK52">
        <v>595.1</v>
      </c>
      <c r="AL52">
        <v>657.5</v>
      </c>
      <c r="AM52">
        <v>664.4</v>
      </c>
      <c r="AN52">
        <v>422.5</v>
      </c>
      <c r="AQ52" s="1" t="s">
        <v>40</v>
      </c>
      <c r="BB52">
        <v>49</v>
      </c>
      <c r="BC52">
        <v>-227.6</v>
      </c>
      <c r="BD52">
        <v>-222.2</v>
      </c>
      <c r="BE52">
        <v>-290.3</v>
      </c>
      <c r="BF52">
        <v>-272.3</v>
      </c>
      <c r="BG52">
        <v>-292.5</v>
      </c>
      <c r="BI52">
        <v>49</v>
      </c>
      <c r="BJ52">
        <v>718</v>
      </c>
      <c r="BK52">
        <v>799.8</v>
      </c>
      <c r="BL52">
        <v>793.2</v>
      </c>
      <c r="BM52">
        <v>423.8</v>
      </c>
      <c r="BN52">
        <v>703.6</v>
      </c>
      <c r="BQ52">
        <f>MAX(BG:BG)</f>
        <v>932.8</v>
      </c>
      <c r="BR52">
        <f t="shared" si="1"/>
        <v>124.373330224</v>
      </c>
      <c r="BZ52">
        <v>49</v>
      </c>
      <c r="CA52">
        <v>-371.9</v>
      </c>
      <c r="CB52">
        <v>-372.9</v>
      </c>
      <c r="CC52">
        <v>-299.10000000000002</v>
      </c>
      <c r="CD52">
        <v>-486</v>
      </c>
      <c r="CE52">
        <v>-329.1</v>
      </c>
      <c r="CG52">
        <v>49</v>
      </c>
      <c r="CH52">
        <v>656.7</v>
      </c>
      <c r="CI52">
        <v>638.9</v>
      </c>
      <c r="CJ52">
        <v>902.5</v>
      </c>
      <c r="CK52">
        <v>708.9</v>
      </c>
      <c r="CL52">
        <v>789.2</v>
      </c>
      <c r="CO52">
        <f>MAX(CJ:CJ)</f>
        <v>1021.8</v>
      </c>
      <c r="CP52">
        <f t="shared" si="0"/>
        <v>136.23996593999999</v>
      </c>
    </row>
    <row r="53" spans="1:94" x14ac:dyDescent="0.35">
      <c r="A53">
        <v>50</v>
      </c>
      <c r="B53">
        <v>-208.8</v>
      </c>
      <c r="C53">
        <v>-214.9</v>
      </c>
      <c r="D53">
        <v>-101.5</v>
      </c>
      <c r="E53">
        <v>-328.7</v>
      </c>
      <c r="F53">
        <v>-312</v>
      </c>
      <c r="H53">
        <v>50</v>
      </c>
      <c r="I53">
        <v>438.9</v>
      </c>
      <c r="J53">
        <v>628.9</v>
      </c>
      <c r="K53">
        <v>550.29999999999995</v>
      </c>
      <c r="L53">
        <v>438.1</v>
      </c>
      <c r="M53">
        <v>429.2</v>
      </c>
      <c r="Q53">
        <f>MAX(E:E)</f>
        <v>605.70000000000005</v>
      </c>
      <c r="R53">
        <f t="shared" si="2"/>
        <v>80.759798100000012</v>
      </c>
      <c r="AB53">
        <v>50</v>
      </c>
      <c r="AC53">
        <v>-135.6</v>
      </c>
      <c r="AD53">
        <v>-189.2</v>
      </c>
      <c r="AE53">
        <v>-144.5</v>
      </c>
      <c r="AF53">
        <v>-159.69999999999999</v>
      </c>
      <c r="AG53">
        <v>-156.6</v>
      </c>
      <c r="AI53">
        <v>50</v>
      </c>
      <c r="AJ53">
        <v>642.20000000000005</v>
      </c>
      <c r="AK53">
        <v>583.6</v>
      </c>
      <c r="AL53">
        <v>662.9</v>
      </c>
      <c r="AM53">
        <v>680.5</v>
      </c>
      <c r="AN53">
        <v>436.7</v>
      </c>
      <c r="AQ53">
        <f>MAX(AC:AC)</f>
        <v>594.9</v>
      </c>
      <c r="AR53">
        <f>AQ53*0.133333</f>
        <v>79.319801699999999</v>
      </c>
      <c r="BB53">
        <v>50</v>
      </c>
      <c r="BC53">
        <v>-231.7</v>
      </c>
      <c r="BD53">
        <v>-222.3</v>
      </c>
      <c r="BE53">
        <v>-288.39999999999998</v>
      </c>
      <c r="BF53">
        <v>-271.5</v>
      </c>
      <c r="BG53">
        <v>-294.60000000000002</v>
      </c>
      <c r="BI53">
        <v>50</v>
      </c>
      <c r="BJ53">
        <v>714.1</v>
      </c>
      <c r="BK53">
        <v>814.1</v>
      </c>
      <c r="BL53">
        <v>798.5</v>
      </c>
      <c r="BM53">
        <v>354.7</v>
      </c>
      <c r="BN53">
        <v>632</v>
      </c>
      <c r="BZ53">
        <v>50</v>
      </c>
      <c r="CA53">
        <v>-369.9</v>
      </c>
      <c r="CB53">
        <v>-372.9</v>
      </c>
      <c r="CC53">
        <v>-293.8</v>
      </c>
      <c r="CD53">
        <v>-482.9</v>
      </c>
      <c r="CE53">
        <v>-329.6</v>
      </c>
      <c r="CG53">
        <v>50</v>
      </c>
      <c r="CH53">
        <v>660.5</v>
      </c>
      <c r="CI53">
        <v>647.70000000000005</v>
      </c>
      <c r="CJ53">
        <v>831.3</v>
      </c>
      <c r="CK53">
        <v>701</v>
      </c>
      <c r="CL53">
        <v>777.6</v>
      </c>
      <c r="CO53">
        <f>MAX(CK:CK)</f>
        <v>743.2</v>
      </c>
      <c r="CP53">
        <f t="shared" si="0"/>
        <v>99.093308559999997</v>
      </c>
    </row>
    <row r="54" spans="1:94" x14ac:dyDescent="0.35">
      <c r="A54">
        <v>51</v>
      </c>
      <c r="B54">
        <v>-207.5</v>
      </c>
      <c r="C54">
        <v>-213.6</v>
      </c>
      <c r="D54">
        <v>-100.1</v>
      </c>
      <c r="E54">
        <v>-329.7</v>
      </c>
      <c r="F54">
        <v>-309.10000000000002</v>
      </c>
      <c r="H54">
        <v>51</v>
      </c>
      <c r="I54">
        <v>447.8</v>
      </c>
      <c r="J54">
        <v>545.5</v>
      </c>
      <c r="K54">
        <v>428.4</v>
      </c>
      <c r="L54">
        <v>436.1</v>
      </c>
      <c r="M54">
        <v>440</v>
      </c>
      <c r="Q54">
        <f>MAX(F:F)</f>
        <v>619.29999999999995</v>
      </c>
      <c r="R54">
        <f t="shared" si="2"/>
        <v>82.573126899999991</v>
      </c>
      <c r="AB54">
        <v>51</v>
      </c>
      <c r="AC54">
        <v>-133.5</v>
      </c>
      <c r="AD54">
        <v>-187.2</v>
      </c>
      <c r="AE54">
        <v>-144.30000000000001</v>
      </c>
      <c r="AF54">
        <v>-160.80000000000001</v>
      </c>
      <c r="AG54">
        <v>-156.30000000000001</v>
      </c>
      <c r="AI54">
        <v>51</v>
      </c>
      <c r="AJ54">
        <v>642.9</v>
      </c>
      <c r="AK54">
        <v>574.5</v>
      </c>
      <c r="AL54">
        <v>668.3</v>
      </c>
      <c r="AM54">
        <v>692.5</v>
      </c>
      <c r="AN54">
        <v>449.2</v>
      </c>
      <c r="AQ54">
        <f>MAX(AD:AD)</f>
        <v>719.9</v>
      </c>
      <c r="AR54">
        <f t="shared" ref="AR54:AR63" si="3">AQ54*0.133333</f>
        <v>95.986426699999996</v>
      </c>
      <c r="BB54">
        <v>51</v>
      </c>
      <c r="BC54">
        <v>-235.5</v>
      </c>
      <c r="BD54">
        <v>-222.2</v>
      </c>
      <c r="BE54">
        <v>-285.89999999999998</v>
      </c>
      <c r="BF54">
        <v>-271.7</v>
      </c>
      <c r="BG54">
        <v>-296.5</v>
      </c>
      <c r="BI54">
        <v>51</v>
      </c>
      <c r="BJ54">
        <v>706.3</v>
      </c>
      <c r="BK54">
        <v>827.6</v>
      </c>
      <c r="BL54">
        <v>789.1</v>
      </c>
      <c r="BM54">
        <v>286.7</v>
      </c>
      <c r="BN54">
        <v>560.29999999999995</v>
      </c>
      <c r="BQ54">
        <f>MAX(BJ:BJ)</f>
        <v>807.6</v>
      </c>
      <c r="BR54">
        <f t="shared" si="1"/>
        <v>107.679997308</v>
      </c>
      <c r="BZ54">
        <v>51</v>
      </c>
      <c r="CA54">
        <v>-366</v>
      </c>
      <c r="CB54">
        <v>-372.9</v>
      </c>
      <c r="CC54">
        <v>-290.7</v>
      </c>
      <c r="CD54">
        <v>-479.2</v>
      </c>
      <c r="CE54">
        <v>-331.8</v>
      </c>
      <c r="CG54">
        <v>51</v>
      </c>
      <c r="CH54">
        <v>666.4</v>
      </c>
      <c r="CI54">
        <v>657.7</v>
      </c>
      <c r="CJ54">
        <v>767</v>
      </c>
      <c r="CK54">
        <v>702.6</v>
      </c>
      <c r="CL54">
        <v>760.5</v>
      </c>
      <c r="CO54">
        <f>MAX(CL:CL)</f>
        <v>895.1</v>
      </c>
      <c r="CP54">
        <f t="shared" si="0"/>
        <v>119.34663682999999</v>
      </c>
    </row>
    <row r="55" spans="1:94" x14ac:dyDescent="0.35">
      <c r="A55">
        <v>52</v>
      </c>
      <c r="B55">
        <v>-205.8</v>
      </c>
      <c r="C55">
        <v>-212.2</v>
      </c>
      <c r="D55">
        <v>-98.5</v>
      </c>
      <c r="E55">
        <v>-330.6</v>
      </c>
      <c r="F55">
        <v>-305.39999999999998</v>
      </c>
      <c r="H55">
        <v>52</v>
      </c>
      <c r="I55">
        <v>452.5</v>
      </c>
      <c r="J55">
        <v>430.6</v>
      </c>
      <c r="K55">
        <v>329.6</v>
      </c>
      <c r="L55">
        <v>433.9</v>
      </c>
      <c r="M55">
        <v>449.9</v>
      </c>
      <c r="AB55">
        <v>52</v>
      </c>
      <c r="AC55">
        <v>-131.80000000000001</v>
      </c>
      <c r="AD55">
        <v>-185.8</v>
      </c>
      <c r="AE55">
        <v>-143.1</v>
      </c>
      <c r="AF55">
        <v>-161.6</v>
      </c>
      <c r="AG55">
        <v>-156</v>
      </c>
      <c r="AI55">
        <v>52</v>
      </c>
      <c r="AJ55">
        <v>644.70000000000005</v>
      </c>
      <c r="AK55">
        <v>571.4</v>
      </c>
      <c r="AL55">
        <v>679.2</v>
      </c>
      <c r="AM55">
        <v>699.5</v>
      </c>
      <c r="AN55">
        <v>462.6</v>
      </c>
      <c r="AQ55">
        <f>MAX(AE:AE)</f>
        <v>671.4</v>
      </c>
      <c r="AR55">
        <f t="shared" si="3"/>
        <v>89.519776199999995</v>
      </c>
      <c r="BB55">
        <v>52</v>
      </c>
      <c r="BC55">
        <v>-236.5</v>
      </c>
      <c r="BD55">
        <v>-222</v>
      </c>
      <c r="BE55">
        <v>-283.39999999999998</v>
      </c>
      <c r="BF55">
        <v>-271.60000000000002</v>
      </c>
      <c r="BG55">
        <v>-298</v>
      </c>
      <c r="BI55">
        <v>52</v>
      </c>
      <c r="BJ55">
        <v>701.8</v>
      </c>
      <c r="BK55">
        <v>830.1</v>
      </c>
      <c r="BL55">
        <v>763.2</v>
      </c>
      <c r="BM55">
        <v>227.8</v>
      </c>
      <c r="BN55">
        <v>489.6</v>
      </c>
      <c r="BQ55">
        <f>MAX(BK:BK)</f>
        <v>909.3</v>
      </c>
      <c r="BR55">
        <f t="shared" si="1"/>
        <v>121.23999696899999</v>
      </c>
      <c r="BZ55">
        <v>52</v>
      </c>
      <c r="CA55">
        <v>-362.1</v>
      </c>
      <c r="CB55">
        <v>-372.3</v>
      </c>
      <c r="CC55">
        <v>-288.3</v>
      </c>
      <c r="CD55">
        <v>-473.5</v>
      </c>
      <c r="CE55">
        <v>-334.9</v>
      </c>
      <c r="CG55">
        <v>52</v>
      </c>
      <c r="CH55">
        <v>671.3</v>
      </c>
      <c r="CI55">
        <v>673.1</v>
      </c>
      <c r="CJ55">
        <v>700.3</v>
      </c>
      <c r="CK55">
        <v>705.3</v>
      </c>
      <c r="CL55">
        <v>751.5</v>
      </c>
    </row>
    <row r="56" spans="1:94" x14ac:dyDescent="0.35">
      <c r="A56">
        <v>53</v>
      </c>
      <c r="B56">
        <v>-203.3</v>
      </c>
      <c r="C56">
        <v>-211</v>
      </c>
      <c r="D56">
        <v>-97</v>
      </c>
      <c r="E56">
        <v>-331.4</v>
      </c>
      <c r="F56">
        <v>-301.2</v>
      </c>
      <c r="H56">
        <v>53</v>
      </c>
      <c r="I56">
        <v>453.8</v>
      </c>
      <c r="J56">
        <v>334.3</v>
      </c>
      <c r="K56">
        <v>235.5</v>
      </c>
      <c r="L56">
        <v>429</v>
      </c>
      <c r="M56">
        <v>458.7</v>
      </c>
      <c r="Q56">
        <f>MAX(I:I)</f>
        <v>625.6</v>
      </c>
      <c r="R56">
        <f t="shared" si="2"/>
        <v>83.413124800000006</v>
      </c>
      <c r="AB56">
        <v>53</v>
      </c>
      <c r="AC56">
        <v>-130.5</v>
      </c>
      <c r="AD56">
        <v>-184.8</v>
      </c>
      <c r="AE56">
        <v>-142.19999999999999</v>
      </c>
      <c r="AF56">
        <v>-162.1</v>
      </c>
      <c r="AG56">
        <v>-155.4</v>
      </c>
      <c r="AI56">
        <v>53</v>
      </c>
      <c r="AJ56">
        <v>646.20000000000005</v>
      </c>
      <c r="AK56">
        <v>566.1</v>
      </c>
      <c r="AL56">
        <v>694.1</v>
      </c>
      <c r="AM56">
        <v>705.5</v>
      </c>
      <c r="AN56">
        <v>481.6</v>
      </c>
      <c r="AQ56">
        <f>MAX(AF:AF)</f>
        <v>682.1</v>
      </c>
      <c r="AR56">
        <f t="shared" si="3"/>
        <v>90.946439300000009</v>
      </c>
      <c r="BB56">
        <v>53</v>
      </c>
      <c r="BC56">
        <v>-236.6</v>
      </c>
      <c r="BD56">
        <v>-222.2</v>
      </c>
      <c r="BE56">
        <v>-280.5</v>
      </c>
      <c r="BF56">
        <v>-269.8</v>
      </c>
      <c r="BG56">
        <v>-299.8</v>
      </c>
      <c r="BI56">
        <v>53</v>
      </c>
      <c r="BJ56">
        <v>696</v>
      </c>
      <c r="BK56">
        <v>832</v>
      </c>
      <c r="BL56">
        <v>734.3</v>
      </c>
      <c r="BM56">
        <v>193.8</v>
      </c>
      <c r="BN56">
        <v>422.2</v>
      </c>
      <c r="BQ56">
        <f>MAX(BL:BL)</f>
        <v>798.5</v>
      </c>
      <c r="BR56">
        <f t="shared" si="1"/>
        <v>106.466664005</v>
      </c>
      <c r="BZ56">
        <v>53</v>
      </c>
      <c r="CA56">
        <v>-358.8</v>
      </c>
      <c r="CB56">
        <v>-370.8</v>
      </c>
      <c r="CC56">
        <v>-285.2</v>
      </c>
      <c r="CD56">
        <v>-467.8</v>
      </c>
      <c r="CE56">
        <v>-337.2</v>
      </c>
      <c r="CG56">
        <v>53</v>
      </c>
      <c r="CH56">
        <v>676.9</v>
      </c>
      <c r="CI56">
        <v>694.9</v>
      </c>
      <c r="CJ56">
        <v>602.9</v>
      </c>
      <c r="CK56">
        <v>707.2</v>
      </c>
      <c r="CL56">
        <v>756.5</v>
      </c>
    </row>
    <row r="57" spans="1:94" x14ac:dyDescent="0.35">
      <c r="A57">
        <v>54</v>
      </c>
      <c r="B57">
        <v>-200.4</v>
      </c>
      <c r="C57">
        <v>-209.8</v>
      </c>
      <c r="D57">
        <v>-95.8</v>
      </c>
      <c r="E57">
        <v>-331.8</v>
      </c>
      <c r="F57">
        <v>-296.89999999999998</v>
      </c>
      <c r="H57">
        <v>54</v>
      </c>
      <c r="I57">
        <v>461.4</v>
      </c>
      <c r="J57">
        <v>254.7</v>
      </c>
      <c r="K57">
        <v>150.69999999999999</v>
      </c>
      <c r="L57">
        <v>427.5</v>
      </c>
      <c r="M57">
        <v>466.8</v>
      </c>
      <c r="Q57">
        <f>MAX(J:J)</f>
        <v>652.20000000000005</v>
      </c>
      <c r="R57">
        <f t="shared" si="2"/>
        <v>86.959782600000011</v>
      </c>
      <c r="AB57">
        <v>54</v>
      </c>
      <c r="AC57">
        <v>-129.19999999999999</v>
      </c>
      <c r="AD57">
        <v>-183.9</v>
      </c>
      <c r="AE57">
        <v>-142.4</v>
      </c>
      <c r="AF57">
        <v>-162.19999999999999</v>
      </c>
      <c r="AG57">
        <v>-154.69999999999999</v>
      </c>
      <c r="AI57">
        <v>54</v>
      </c>
      <c r="AJ57">
        <v>641.29999999999995</v>
      </c>
      <c r="AK57">
        <v>554.1</v>
      </c>
      <c r="AL57">
        <v>709.1</v>
      </c>
      <c r="AM57">
        <v>709.6</v>
      </c>
      <c r="AN57">
        <v>505.3</v>
      </c>
      <c r="AQ57">
        <f>MAX(AG:AG)</f>
        <v>779</v>
      </c>
      <c r="AR57">
        <f t="shared" si="3"/>
        <v>103.86640700000001</v>
      </c>
      <c r="BB57">
        <v>54</v>
      </c>
      <c r="BC57">
        <v>-238.2</v>
      </c>
      <c r="BD57">
        <v>-222.8</v>
      </c>
      <c r="BE57">
        <v>-277.10000000000002</v>
      </c>
      <c r="BF57">
        <v>-266.2</v>
      </c>
      <c r="BG57">
        <v>-301.7</v>
      </c>
      <c r="BI57">
        <v>54</v>
      </c>
      <c r="BJ57">
        <v>696.6</v>
      </c>
      <c r="BK57">
        <v>840.1</v>
      </c>
      <c r="BL57">
        <v>701.5</v>
      </c>
      <c r="BM57">
        <v>177.2</v>
      </c>
      <c r="BN57">
        <v>360.3</v>
      </c>
      <c r="BQ57">
        <f>MAX(BM:BM)</f>
        <v>1043.5</v>
      </c>
      <c r="BR57">
        <f t="shared" si="1"/>
        <v>139.133329855</v>
      </c>
      <c r="BZ57">
        <v>54</v>
      </c>
      <c r="CA57">
        <v>-356</v>
      </c>
      <c r="CB57">
        <v>-368.5</v>
      </c>
      <c r="CC57">
        <v>-281.2</v>
      </c>
      <c r="CD57">
        <v>-463.3</v>
      </c>
      <c r="CE57">
        <v>-338.3</v>
      </c>
      <c r="CG57">
        <v>54</v>
      </c>
      <c r="CH57">
        <v>681.4</v>
      </c>
      <c r="CI57">
        <v>716.4</v>
      </c>
      <c r="CJ57">
        <v>458.9</v>
      </c>
      <c r="CK57">
        <v>710.6</v>
      </c>
      <c r="CL57">
        <v>763</v>
      </c>
    </row>
    <row r="58" spans="1:94" x14ac:dyDescent="0.35">
      <c r="A58">
        <v>55</v>
      </c>
      <c r="B58">
        <v>-198</v>
      </c>
      <c r="C58">
        <v>-207.1</v>
      </c>
      <c r="D58">
        <v>-94.6</v>
      </c>
      <c r="E58">
        <v>-331.7</v>
      </c>
      <c r="F58">
        <v>-293.3</v>
      </c>
      <c r="H58">
        <v>55</v>
      </c>
      <c r="I58">
        <v>482.4</v>
      </c>
      <c r="J58">
        <v>180.1</v>
      </c>
      <c r="K58">
        <v>98.3</v>
      </c>
      <c r="L58">
        <v>424.7</v>
      </c>
      <c r="M58">
        <v>472</v>
      </c>
      <c r="Q58">
        <f>MAX(K:K)</f>
        <v>675.6</v>
      </c>
      <c r="R58">
        <f t="shared" si="2"/>
        <v>90.07977480000001</v>
      </c>
      <c r="AB58">
        <v>55</v>
      </c>
      <c r="AC58">
        <v>-127.6</v>
      </c>
      <c r="AD58">
        <v>-183.3</v>
      </c>
      <c r="AE58">
        <v>-143.6</v>
      </c>
      <c r="AF58">
        <v>-162.4</v>
      </c>
      <c r="AG58">
        <v>-154.4</v>
      </c>
      <c r="AI58">
        <v>55</v>
      </c>
      <c r="AJ58">
        <v>634</v>
      </c>
      <c r="AK58">
        <v>547.9</v>
      </c>
      <c r="AL58">
        <v>724.3</v>
      </c>
      <c r="AM58">
        <v>712.7</v>
      </c>
      <c r="AN58">
        <v>525.70000000000005</v>
      </c>
      <c r="BB58">
        <v>55</v>
      </c>
      <c r="BC58">
        <v>-239.8</v>
      </c>
      <c r="BD58">
        <v>-222.9</v>
      </c>
      <c r="BE58">
        <v>-274.39999999999998</v>
      </c>
      <c r="BF58">
        <v>-262.3</v>
      </c>
      <c r="BG58">
        <v>-302.5</v>
      </c>
      <c r="BI58">
        <v>55</v>
      </c>
      <c r="BJ58">
        <v>703.9</v>
      </c>
      <c r="BK58">
        <v>853.7</v>
      </c>
      <c r="BL58">
        <v>657</v>
      </c>
      <c r="BM58">
        <v>163.5</v>
      </c>
      <c r="BN58">
        <v>305.5</v>
      </c>
      <c r="BQ58">
        <f>MAX(BN:BN)</f>
        <v>1073.2</v>
      </c>
      <c r="BR58">
        <f t="shared" si="1"/>
        <v>143.093329756</v>
      </c>
      <c r="BZ58">
        <v>55</v>
      </c>
      <c r="CA58">
        <v>-353</v>
      </c>
      <c r="CB58">
        <v>-365.6</v>
      </c>
      <c r="CC58">
        <v>-277.39999999999998</v>
      </c>
      <c r="CD58">
        <v>-459.9</v>
      </c>
      <c r="CE58">
        <v>-338.2</v>
      </c>
      <c r="CG58">
        <v>55</v>
      </c>
      <c r="CH58">
        <v>686.6</v>
      </c>
      <c r="CI58">
        <v>735.5</v>
      </c>
      <c r="CJ58">
        <v>313.60000000000002</v>
      </c>
      <c r="CK58">
        <v>713.1</v>
      </c>
      <c r="CL58">
        <v>756.3</v>
      </c>
    </row>
    <row r="59" spans="1:94" x14ac:dyDescent="0.35">
      <c r="A59">
        <v>56</v>
      </c>
      <c r="B59">
        <v>-196.3</v>
      </c>
      <c r="C59">
        <v>-203.4</v>
      </c>
      <c r="D59">
        <v>-93.5</v>
      </c>
      <c r="E59">
        <v>-332</v>
      </c>
      <c r="F59">
        <v>-289.39999999999998</v>
      </c>
      <c r="H59">
        <v>56</v>
      </c>
      <c r="I59">
        <v>516.9</v>
      </c>
      <c r="J59">
        <v>113.9</v>
      </c>
      <c r="K59">
        <v>72.599999999999994</v>
      </c>
      <c r="L59">
        <v>406.3</v>
      </c>
      <c r="M59">
        <v>476</v>
      </c>
      <c r="Q59">
        <f>MAX(L:L)</f>
        <v>472.4</v>
      </c>
      <c r="R59">
        <f t="shared" si="2"/>
        <v>62.9865092</v>
      </c>
      <c r="AB59">
        <v>56</v>
      </c>
      <c r="AC59">
        <v>-125.8</v>
      </c>
      <c r="AD59">
        <v>-182.6</v>
      </c>
      <c r="AE59">
        <v>-145.5</v>
      </c>
      <c r="AF59">
        <v>-162.9</v>
      </c>
      <c r="AG59">
        <v>-154.1</v>
      </c>
      <c r="AI59">
        <v>56</v>
      </c>
      <c r="AJ59">
        <v>637.79999999999995</v>
      </c>
      <c r="AK59">
        <v>557.29999999999995</v>
      </c>
      <c r="AL59">
        <v>735.9</v>
      </c>
      <c r="AM59">
        <v>718.4</v>
      </c>
      <c r="AN59">
        <v>538.70000000000005</v>
      </c>
      <c r="AQ59">
        <f>MAX(AJ:AJ)</f>
        <v>781.9</v>
      </c>
      <c r="AR59">
        <f t="shared" si="3"/>
        <v>104.2530727</v>
      </c>
      <c r="BB59">
        <v>56</v>
      </c>
      <c r="BC59">
        <v>-240.4</v>
      </c>
      <c r="BD59">
        <v>-222.6</v>
      </c>
      <c r="BE59">
        <v>-272.89999999999998</v>
      </c>
      <c r="BF59">
        <v>-259.3</v>
      </c>
      <c r="BG59">
        <v>-302</v>
      </c>
      <c r="BI59">
        <v>56</v>
      </c>
      <c r="BJ59">
        <v>719.1</v>
      </c>
      <c r="BK59">
        <v>865.9</v>
      </c>
      <c r="BL59">
        <v>579.1</v>
      </c>
      <c r="BM59">
        <v>153.30000000000001</v>
      </c>
      <c r="BN59">
        <v>258.60000000000002</v>
      </c>
      <c r="BZ59">
        <v>56</v>
      </c>
      <c r="CA59">
        <v>-349.3</v>
      </c>
      <c r="CB59">
        <v>-361.6</v>
      </c>
      <c r="CC59">
        <v>-274.10000000000002</v>
      </c>
      <c r="CD59">
        <v>-456.7</v>
      </c>
      <c r="CE59">
        <v>-337.6</v>
      </c>
      <c r="CG59">
        <v>56</v>
      </c>
      <c r="CH59">
        <v>689.9</v>
      </c>
      <c r="CI59">
        <v>764.9</v>
      </c>
      <c r="CJ59">
        <v>207.8</v>
      </c>
      <c r="CK59">
        <v>707.5</v>
      </c>
      <c r="CL59">
        <v>730.6</v>
      </c>
    </row>
    <row r="60" spans="1:94" x14ac:dyDescent="0.35">
      <c r="A60">
        <v>57</v>
      </c>
      <c r="B60">
        <v>-195.1</v>
      </c>
      <c r="C60">
        <v>-199.8</v>
      </c>
      <c r="D60">
        <v>-92.2</v>
      </c>
      <c r="E60">
        <v>-332.4</v>
      </c>
      <c r="F60">
        <v>-284.89999999999998</v>
      </c>
      <c r="H60">
        <v>57</v>
      </c>
      <c r="I60">
        <v>549.20000000000005</v>
      </c>
      <c r="J60">
        <v>74.8</v>
      </c>
      <c r="K60">
        <v>58.6</v>
      </c>
      <c r="L60">
        <v>382.4</v>
      </c>
      <c r="M60">
        <v>479.5</v>
      </c>
      <c r="Q60">
        <f>MAX(M:M)</f>
        <v>597.70000000000005</v>
      </c>
      <c r="R60">
        <f t="shared" si="2"/>
        <v>79.693134100000009</v>
      </c>
      <c r="AB60">
        <v>57</v>
      </c>
      <c r="AC60">
        <v>-124.2</v>
      </c>
      <c r="AD60">
        <v>-182</v>
      </c>
      <c r="AE60">
        <v>-147.69999999999999</v>
      </c>
      <c r="AF60">
        <v>-163.19999999999999</v>
      </c>
      <c r="AG60">
        <v>-153.4</v>
      </c>
      <c r="AI60">
        <v>57</v>
      </c>
      <c r="AJ60">
        <v>653.20000000000005</v>
      </c>
      <c r="AK60">
        <v>569.20000000000005</v>
      </c>
      <c r="AL60">
        <v>740.3</v>
      </c>
      <c r="AM60">
        <v>725.2</v>
      </c>
      <c r="AN60">
        <v>545.20000000000005</v>
      </c>
      <c r="AQ60">
        <f>MAX(AK:AK)</f>
        <v>660.5</v>
      </c>
      <c r="AR60">
        <f t="shared" si="3"/>
        <v>88.066446499999998</v>
      </c>
      <c r="BB60">
        <v>57</v>
      </c>
      <c r="BC60">
        <v>-241.1</v>
      </c>
      <c r="BD60">
        <v>-222.2</v>
      </c>
      <c r="BE60">
        <v>-271.7</v>
      </c>
      <c r="BF60">
        <v>-256.39999999999998</v>
      </c>
      <c r="BG60">
        <v>-300.8</v>
      </c>
      <c r="BI60">
        <v>57</v>
      </c>
      <c r="BJ60">
        <v>744.8</v>
      </c>
      <c r="BK60">
        <v>885.7</v>
      </c>
      <c r="BL60">
        <v>484.5</v>
      </c>
      <c r="BM60">
        <v>146.19999999999999</v>
      </c>
      <c r="BN60">
        <v>219.4</v>
      </c>
      <c r="BZ60">
        <v>57</v>
      </c>
      <c r="CA60">
        <v>-345.3</v>
      </c>
      <c r="CB60">
        <v>-356.9</v>
      </c>
      <c r="CC60">
        <v>-271.39999999999998</v>
      </c>
      <c r="CD60">
        <v>-454.1</v>
      </c>
      <c r="CE60">
        <v>-337.5</v>
      </c>
      <c r="CG60">
        <v>57</v>
      </c>
      <c r="CH60">
        <v>688.5</v>
      </c>
      <c r="CI60">
        <v>798.9</v>
      </c>
      <c r="CJ60">
        <v>148.4</v>
      </c>
      <c r="CK60">
        <v>697.6</v>
      </c>
      <c r="CL60">
        <v>675.5</v>
      </c>
    </row>
    <row r="61" spans="1:94" x14ac:dyDescent="0.35">
      <c r="A61">
        <v>58</v>
      </c>
      <c r="B61">
        <v>-194.2</v>
      </c>
      <c r="C61">
        <v>-197</v>
      </c>
      <c r="D61">
        <v>-90.6</v>
      </c>
      <c r="E61">
        <v>-333.1</v>
      </c>
      <c r="F61">
        <v>-279.89999999999998</v>
      </c>
      <c r="H61">
        <v>58</v>
      </c>
      <c r="I61">
        <v>571.5</v>
      </c>
      <c r="J61">
        <v>56.2</v>
      </c>
      <c r="K61">
        <v>49.3</v>
      </c>
      <c r="L61">
        <v>355.9</v>
      </c>
      <c r="M61">
        <v>480.5</v>
      </c>
      <c r="AB61">
        <v>58</v>
      </c>
      <c r="AC61">
        <v>-123.1</v>
      </c>
      <c r="AD61">
        <v>-181.3</v>
      </c>
      <c r="AE61">
        <v>-149.9</v>
      </c>
      <c r="AF61">
        <v>-162.80000000000001</v>
      </c>
      <c r="AG61">
        <v>-152.6</v>
      </c>
      <c r="AI61">
        <v>58</v>
      </c>
      <c r="AJ61">
        <v>671.3</v>
      </c>
      <c r="AK61">
        <v>571.1</v>
      </c>
      <c r="AL61">
        <v>743.7</v>
      </c>
      <c r="AM61">
        <v>726.3</v>
      </c>
      <c r="AN61">
        <v>551.1</v>
      </c>
      <c r="AQ61">
        <f>MAX(AL:AL)</f>
        <v>777.9</v>
      </c>
      <c r="AR61">
        <f t="shared" si="3"/>
        <v>103.7197407</v>
      </c>
      <c r="BB61">
        <v>58</v>
      </c>
      <c r="BC61">
        <v>-241.4</v>
      </c>
      <c r="BD61">
        <v>-221.6</v>
      </c>
      <c r="BE61">
        <v>-270.2</v>
      </c>
      <c r="BF61">
        <v>-253</v>
      </c>
      <c r="BG61">
        <v>-299.89999999999998</v>
      </c>
      <c r="BI61">
        <v>58</v>
      </c>
      <c r="BJ61">
        <v>771.9</v>
      </c>
      <c r="BK61">
        <v>909.3</v>
      </c>
      <c r="BL61">
        <v>433.4</v>
      </c>
      <c r="BM61">
        <v>140.80000000000001</v>
      </c>
      <c r="BN61">
        <v>186.9</v>
      </c>
      <c r="BZ61">
        <v>58</v>
      </c>
      <c r="CA61">
        <v>-341.6</v>
      </c>
      <c r="CB61">
        <v>-352.3</v>
      </c>
      <c r="CC61">
        <v>-268.8</v>
      </c>
      <c r="CD61">
        <v>-452.4</v>
      </c>
      <c r="CE61">
        <v>-338.2</v>
      </c>
      <c r="CG61">
        <v>58</v>
      </c>
      <c r="CH61">
        <v>687.5</v>
      </c>
      <c r="CI61">
        <v>831.1</v>
      </c>
      <c r="CJ61">
        <v>117.4</v>
      </c>
      <c r="CK61">
        <v>689.6</v>
      </c>
      <c r="CL61">
        <v>611.70000000000005</v>
      </c>
    </row>
    <row r="62" spans="1:94" x14ac:dyDescent="0.35">
      <c r="A62">
        <v>59</v>
      </c>
      <c r="B62">
        <v>-192.4</v>
      </c>
      <c r="C62">
        <v>-195.1</v>
      </c>
      <c r="D62">
        <v>-89.1</v>
      </c>
      <c r="E62">
        <v>-333.1</v>
      </c>
      <c r="F62">
        <v>-274.7</v>
      </c>
      <c r="H62">
        <v>59</v>
      </c>
      <c r="I62">
        <v>590</v>
      </c>
      <c r="J62">
        <v>46.4</v>
      </c>
      <c r="K62">
        <v>42.8</v>
      </c>
      <c r="L62">
        <v>300.2</v>
      </c>
      <c r="M62">
        <v>482.9</v>
      </c>
      <c r="AB62">
        <v>59</v>
      </c>
      <c r="AC62">
        <v>-122.6</v>
      </c>
      <c r="AD62">
        <v>-180.4</v>
      </c>
      <c r="AE62">
        <v>-151.9</v>
      </c>
      <c r="AF62">
        <v>-161.6</v>
      </c>
      <c r="AG62">
        <v>-151.6</v>
      </c>
      <c r="AI62">
        <v>59</v>
      </c>
      <c r="AJ62">
        <v>688.8</v>
      </c>
      <c r="AK62">
        <v>568.29999999999995</v>
      </c>
      <c r="AL62">
        <v>750.8</v>
      </c>
      <c r="AM62">
        <v>725.6</v>
      </c>
      <c r="AN62">
        <v>556.6</v>
      </c>
      <c r="AQ62">
        <f>MAX(AM:AM)</f>
        <v>770.2</v>
      </c>
      <c r="AR62">
        <f t="shared" si="3"/>
        <v>102.69307660000001</v>
      </c>
      <c r="BB62">
        <v>59</v>
      </c>
      <c r="BC62">
        <v>-240.4</v>
      </c>
      <c r="BD62">
        <v>-220.7</v>
      </c>
      <c r="BE62">
        <v>-268.60000000000002</v>
      </c>
      <c r="BF62">
        <v>-249.4</v>
      </c>
      <c r="BG62">
        <v>-299.2</v>
      </c>
      <c r="BI62">
        <v>59</v>
      </c>
      <c r="BJ62">
        <v>787</v>
      </c>
      <c r="BK62">
        <v>864.5</v>
      </c>
      <c r="BL62">
        <v>354.1</v>
      </c>
      <c r="BM62">
        <v>136.4</v>
      </c>
      <c r="BN62">
        <v>159.4</v>
      </c>
      <c r="BZ62">
        <v>59</v>
      </c>
      <c r="CA62">
        <v>-338.7</v>
      </c>
      <c r="CB62">
        <v>-348</v>
      </c>
      <c r="CC62">
        <v>-265.8</v>
      </c>
      <c r="CD62">
        <v>-451</v>
      </c>
      <c r="CE62">
        <v>-338.2</v>
      </c>
      <c r="CG62">
        <v>59</v>
      </c>
      <c r="CH62">
        <v>690.5</v>
      </c>
      <c r="CI62">
        <v>863.1</v>
      </c>
      <c r="CJ62">
        <v>99.5</v>
      </c>
      <c r="CK62">
        <v>680.4</v>
      </c>
      <c r="CL62">
        <v>548.9</v>
      </c>
    </row>
    <row r="63" spans="1:94" x14ac:dyDescent="0.35">
      <c r="A63">
        <v>60</v>
      </c>
      <c r="B63">
        <v>-189.7</v>
      </c>
      <c r="C63">
        <v>-193.8</v>
      </c>
      <c r="D63">
        <v>-87.7</v>
      </c>
      <c r="E63">
        <v>-332.7</v>
      </c>
      <c r="F63">
        <v>-270.10000000000002</v>
      </c>
      <c r="H63">
        <v>60</v>
      </c>
      <c r="I63">
        <v>604.9</v>
      </c>
      <c r="J63">
        <v>40.6</v>
      </c>
      <c r="K63">
        <v>38.299999999999997</v>
      </c>
      <c r="L63">
        <v>239.2</v>
      </c>
      <c r="M63">
        <v>489.5</v>
      </c>
      <c r="AB63">
        <v>60</v>
      </c>
      <c r="AC63">
        <v>-122.2</v>
      </c>
      <c r="AD63">
        <v>-179.3</v>
      </c>
      <c r="AE63">
        <v>-152.9</v>
      </c>
      <c r="AF63">
        <v>-160.1</v>
      </c>
      <c r="AG63">
        <v>-150.9</v>
      </c>
      <c r="AI63">
        <v>60</v>
      </c>
      <c r="AJ63">
        <v>703.1</v>
      </c>
      <c r="AK63">
        <v>565.4</v>
      </c>
      <c r="AL63">
        <v>753.8</v>
      </c>
      <c r="AM63">
        <v>729.2</v>
      </c>
      <c r="AN63">
        <v>562.9</v>
      </c>
      <c r="AQ63">
        <f>MAX(AN:AN)</f>
        <v>723.4</v>
      </c>
      <c r="AR63">
        <f t="shared" si="3"/>
        <v>96.4530922</v>
      </c>
      <c r="BB63">
        <v>60</v>
      </c>
      <c r="BC63">
        <v>-238.6</v>
      </c>
      <c r="BD63">
        <v>-219.5</v>
      </c>
      <c r="BE63">
        <v>-267.3</v>
      </c>
      <c r="BF63">
        <v>-246.1</v>
      </c>
      <c r="BG63">
        <v>-298.2</v>
      </c>
      <c r="BI63">
        <v>60</v>
      </c>
      <c r="BJ63">
        <v>789.4</v>
      </c>
      <c r="BK63">
        <v>775.8</v>
      </c>
      <c r="BL63">
        <v>280</v>
      </c>
      <c r="BM63">
        <v>132.9</v>
      </c>
      <c r="BN63">
        <v>135.80000000000001</v>
      </c>
      <c r="BZ63">
        <v>60</v>
      </c>
      <c r="CA63">
        <v>-336</v>
      </c>
      <c r="CB63">
        <v>-343.5</v>
      </c>
      <c r="CC63">
        <v>-263.3</v>
      </c>
      <c r="CD63">
        <v>-448.4</v>
      </c>
      <c r="CE63">
        <v>-337</v>
      </c>
      <c r="CG63">
        <v>60</v>
      </c>
      <c r="CH63">
        <v>690.3</v>
      </c>
      <c r="CI63">
        <v>891.3</v>
      </c>
      <c r="CJ63">
        <v>87.9</v>
      </c>
      <c r="CK63">
        <v>675.5</v>
      </c>
      <c r="CL63">
        <v>482.1</v>
      </c>
    </row>
    <row r="64" spans="1:94" x14ac:dyDescent="0.35">
      <c r="A64">
        <v>61</v>
      </c>
      <c r="B64">
        <v>-186.6</v>
      </c>
      <c r="C64">
        <v>-192.7</v>
      </c>
      <c r="D64">
        <v>-86.7</v>
      </c>
      <c r="E64">
        <v>-333</v>
      </c>
      <c r="F64">
        <v>-266.3</v>
      </c>
      <c r="H64">
        <v>61</v>
      </c>
      <c r="I64">
        <v>612.29999999999995</v>
      </c>
      <c r="J64">
        <v>36.6</v>
      </c>
      <c r="K64">
        <v>35.1</v>
      </c>
      <c r="L64">
        <v>190.2</v>
      </c>
      <c r="M64">
        <v>504.7</v>
      </c>
      <c r="AB64">
        <v>61</v>
      </c>
      <c r="AC64">
        <v>-121.5</v>
      </c>
      <c r="AD64">
        <v>-178</v>
      </c>
      <c r="AE64">
        <v>-152.9</v>
      </c>
      <c r="AF64">
        <v>-158.80000000000001</v>
      </c>
      <c r="AG64">
        <v>-149.69999999999999</v>
      </c>
      <c r="AI64">
        <v>61</v>
      </c>
      <c r="AJ64">
        <v>713.9</v>
      </c>
      <c r="AK64">
        <v>562.1</v>
      </c>
      <c r="AL64">
        <v>755.5</v>
      </c>
      <c r="AM64">
        <v>735.4</v>
      </c>
      <c r="AN64">
        <v>569.9</v>
      </c>
      <c r="BB64">
        <v>61</v>
      </c>
      <c r="BC64">
        <v>-237.2</v>
      </c>
      <c r="BD64">
        <v>-218.4</v>
      </c>
      <c r="BE64">
        <v>-266.89999999999998</v>
      </c>
      <c r="BF64">
        <v>-243.1</v>
      </c>
      <c r="BG64">
        <v>-296.89999999999998</v>
      </c>
      <c r="BI64">
        <v>61</v>
      </c>
      <c r="BJ64">
        <v>794</v>
      </c>
      <c r="BK64">
        <v>692.4</v>
      </c>
      <c r="BL64">
        <v>251.1</v>
      </c>
      <c r="BM64">
        <v>129.9</v>
      </c>
      <c r="BN64">
        <v>117.5</v>
      </c>
      <c r="BZ64">
        <v>61</v>
      </c>
      <c r="CA64">
        <v>-333.2</v>
      </c>
      <c r="CB64">
        <v>-339.1</v>
      </c>
      <c r="CC64">
        <v>-261.7</v>
      </c>
      <c r="CD64">
        <v>-443.8</v>
      </c>
      <c r="CE64">
        <v>-334.2</v>
      </c>
      <c r="CG64">
        <v>61</v>
      </c>
      <c r="CH64">
        <v>689.3</v>
      </c>
      <c r="CI64">
        <v>929.4</v>
      </c>
      <c r="CJ64">
        <v>79.8</v>
      </c>
      <c r="CK64">
        <v>670.2</v>
      </c>
      <c r="CL64">
        <v>392.9</v>
      </c>
    </row>
    <row r="65" spans="1:90" x14ac:dyDescent="0.35">
      <c r="A65">
        <v>62</v>
      </c>
      <c r="B65">
        <v>-184.2</v>
      </c>
      <c r="C65">
        <v>-191.2</v>
      </c>
      <c r="D65">
        <v>-86.2</v>
      </c>
      <c r="E65">
        <v>-332.4</v>
      </c>
      <c r="F65">
        <v>-262.60000000000002</v>
      </c>
      <c r="H65">
        <v>62</v>
      </c>
      <c r="I65">
        <v>610.9</v>
      </c>
      <c r="J65">
        <v>33.4</v>
      </c>
      <c r="K65">
        <v>33.1</v>
      </c>
      <c r="L65">
        <v>148</v>
      </c>
      <c r="M65">
        <v>526.1</v>
      </c>
      <c r="AB65">
        <v>62</v>
      </c>
      <c r="AC65">
        <v>-120.7</v>
      </c>
      <c r="AD65">
        <v>-176.7</v>
      </c>
      <c r="AE65">
        <v>-152.5</v>
      </c>
      <c r="AF65">
        <v>-157.6</v>
      </c>
      <c r="AG65">
        <v>-147.80000000000001</v>
      </c>
      <c r="AI65">
        <v>62</v>
      </c>
      <c r="AJ65">
        <v>721.3</v>
      </c>
      <c r="AK65">
        <v>562.4</v>
      </c>
      <c r="AL65">
        <v>762</v>
      </c>
      <c r="AM65">
        <v>742.7</v>
      </c>
      <c r="AN65">
        <v>577.5</v>
      </c>
      <c r="BB65">
        <v>62</v>
      </c>
      <c r="BC65">
        <v>-236.1</v>
      </c>
      <c r="BD65">
        <v>-217.5</v>
      </c>
      <c r="BE65">
        <v>-268</v>
      </c>
      <c r="BF65">
        <v>-240.2</v>
      </c>
      <c r="BG65">
        <v>-294.8</v>
      </c>
      <c r="BI65">
        <v>62</v>
      </c>
      <c r="BJ65">
        <v>807.6</v>
      </c>
      <c r="BK65">
        <v>613.4</v>
      </c>
      <c r="BL65">
        <v>224.4</v>
      </c>
      <c r="BM65">
        <v>127.2</v>
      </c>
      <c r="BN65">
        <v>106.3</v>
      </c>
      <c r="BZ65">
        <v>62</v>
      </c>
      <c r="CA65">
        <v>-330.6</v>
      </c>
      <c r="CB65">
        <v>-335.2</v>
      </c>
      <c r="CC65">
        <v>-261.2</v>
      </c>
      <c r="CD65">
        <v>-438.8</v>
      </c>
      <c r="CE65">
        <v>-329.7</v>
      </c>
      <c r="CG65">
        <v>62</v>
      </c>
      <c r="CH65">
        <v>692.7</v>
      </c>
      <c r="CI65">
        <v>975</v>
      </c>
      <c r="CJ65">
        <v>74.2</v>
      </c>
      <c r="CK65">
        <v>655.1</v>
      </c>
      <c r="CL65">
        <v>287.7</v>
      </c>
    </row>
    <row r="66" spans="1:90" x14ac:dyDescent="0.35">
      <c r="A66">
        <v>63</v>
      </c>
      <c r="B66">
        <v>-181.9</v>
      </c>
      <c r="C66">
        <v>-189.1</v>
      </c>
      <c r="D66">
        <v>-85.9</v>
      </c>
      <c r="E66">
        <v>-329</v>
      </c>
      <c r="F66">
        <v>-259</v>
      </c>
      <c r="H66">
        <v>63</v>
      </c>
      <c r="I66">
        <v>614.20000000000005</v>
      </c>
      <c r="J66">
        <v>31.2</v>
      </c>
      <c r="K66">
        <v>32.200000000000003</v>
      </c>
      <c r="L66">
        <v>106.2</v>
      </c>
      <c r="M66">
        <v>538.4</v>
      </c>
      <c r="AB66">
        <v>63</v>
      </c>
      <c r="AC66">
        <v>-119.7</v>
      </c>
      <c r="AD66">
        <v>-175.6</v>
      </c>
      <c r="AE66">
        <v>-151.69999999999999</v>
      </c>
      <c r="AF66">
        <v>-156.80000000000001</v>
      </c>
      <c r="AG66">
        <v>-145.5</v>
      </c>
      <c r="AI66">
        <v>63</v>
      </c>
      <c r="AJ66">
        <v>731.4</v>
      </c>
      <c r="AK66">
        <v>564</v>
      </c>
      <c r="AL66">
        <v>766.4</v>
      </c>
      <c r="AM66">
        <v>747.8</v>
      </c>
      <c r="AN66">
        <v>584.6</v>
      </c>
      <c r="BB66">
        <v>63</v>
      </c>
      <c r="BC66">
        <v>-234.7</v>
      </c>
      <c r="BD66">
        <v>-217</v>
      </c>
      <c r="BE66">
        <v>-269.89999999999998</v>
      </c>
      <c r="BF66">
        <v>-237.8</v>
      </c>
      <c r="BG66">
        <v>-291.5</v>
      </c>
      <c r="BI66">
        <v>63</v>
      </c>
      <c r="BJ66">
        <v>802.7</v>
      </c>
      <c r="BK66">
        <v>537.5</v>
      </c>
      <c r="BL66">
        <v>172.1</v>
      </c>
      <c r="BM66">
        <v>124.7</v>
      </c>
      <c r="BN66">
        <v>101</v>
      </c>
      <c r="BZ66">
        <v>63</v>
      </c>
      <c r="CA66">
        <v>-327.9</v>
      </c>
      <c r="CB66">
        <v>-331.6</v>
      </c>
      <c r="CC66">
        <v>-262</v>
      </c>
      <c r="CD66">
        <v>-434.5</v>
      </c>
      <c r="CE66">
        <v>-325.39999999999998</v>
      </c>
      <c r="CG66">
        <v>63</v>
      </c>
      <c r="CH66">
        <v>700.8</v>
      </c>
      <c r="CI66">
        <v>986.7</v>
      </c>
      <c r="CJ66">
        <v>70.8</v>
      </c>
      <c r="CK66">
        <v>639.9</v>
      </c>
      <c r="CL66">
        <v>203.8</v>
      </c>
    </row>
    <row r="67" spans="1:90" x14ac:dyDescent="0.35">
      <c r="A67">
        <v>64</v>
      </c>
      <c r="B67">
        <v>-179.9</v>
      </c>
      <c r="C67">
        <v>-186.2</v>
      </c>
      <c r="D67">
        <v>-85.6</v>
      </c>
      <c r="E67">
        <v>-324.60000000000002</v>
      </c>
      <c r="F67">
        <v>-255.8</v>
      </c>
      <c r="H67">
        <v>64</v>
      </c>
      <c r="I67">
        <v>619.79999999999995</v>
      </c>
      <c r="J67">
        <v>29.8</v>
      </c>
      <c r="K67">
        <v>31.6</v>
      </c>
      <c r="L67">
        <v>72.7</v>
      </c>
      <c r="M67">
        <v>548.1</v>
      </c>
      <c r="AB67">
        <v>64</v>
      </c>
      <c r="AC67">
        <v>-118.3</v>
      </c>
      <c r="AD67">
        <v>-174.8</v>
      </c>
      <c r="AE67">
        <v>-150.9</v>
      </c>
      <c r="AF67">
        <v>-155.69999999999999</v>
      </c>
      <c r="AG67">
        <v>-143.6</v>
      </c>
      <c r="AI67">
        <v>64</v>
      </c>
      <c r="AJ67">
        <v>741.5</v>
      </c>
      <c r="AK67">
        <v>550.4</v>
      </c>
      <c r="AL67">
        <v>772.3</v>
      </c>
      <c r="AM67">
        <v>749</v>
      </c>
      <c r="AN67">
        <v>591.9</v>
      </c>
      <c r="BB67">
        <v>64</v>
      </c>
      <c r="BC67">
        <v>-233.2</v>
      </c>
      <c r="BD67">
        <v>-216.8</v>
      </c>
      <c r="BE67">
        <v>-271</v>
      </c>
      <c r="BF67">
        <v>-235.7</v>
      </c>
      <c r="BG67">
        <v>-287.60000000000002</v>
      </c>
      <c r="BI67">
        <v>64</v>
      </c>
      <c r="BJ67">
        <v>735.2</v>
      </c>
      <c r="BK67">
        <v>465</v>
      </c>
      <c r="BL67">
        <v>140.6</v>
      </c>
      <c r="BM67">
        <v>122.4</v>
      </c>
      <c r="BN67">
        <v>97.6</v>
      </c>
      <c r="BZ67">
        <v>64</v>
      </c>
      <c r="CA67">
        <v>-324.8</v>
      </c>
      <c r="CB67">
        <v>-328.4</v>
      </c>
      <c r="CC67">
        <v>-262.60000000000002</v>
      </c>
      <c r="CD67">
        <v>-430</v>
      </c>
      <c r="CE67">
        <v>-322.10000000000002</v>
      </c>
      <c r="CG67">
        <v>64</v>
      </c>
      <c r="CH67">
        <v>709.3</v>
      </c>
      <c r="CI67">
        <v>918.2</v>
      </c>
      <c r="CJ67">
        <v>69</v>
      </c>
      <c r="CK67">
        <v>629.5</v>
      </c>
      <c r="CL67">
        <v>149.80000000000001</v>
      </c>
    </row>
    <row r="68" spans="1:90" x14ac:dyDescent="0.35">
      <c r="A68">
        <v>65</v>
      </c>
      <c r="B68">
        <v>-178.8</v>
      </c>
      <c r="C68">
        <v>-182.9</v>
      </c>
      <c r="D68">
        <v>-85</v>
      </c>
      <c r="E68">
        <v>-322</v>
      </c>
      <c r="F68">
        <v>-252.7</v>
      </c>
      <c r="H68">
        <v>65</v>
      </c>
      <c r="I68">
        <v>625.6</v>
      </c>
      <c r="J68">
        <v>28.8</v>
      </c>
      <c r="K68">
        <v>31.1</v>
      </c>
      <c r="L68">
        <v>54.2</v>
      </c>
      <c r="M68">
        <v>564.1</v>
      </c>
      <c r="AB68">
        <v>65</v>
      </c>
      <c r="AC68">
        <v>-116.5</v>
      </c>
      <c r="AD68">
        <v>-174.3</v>
      </c>
      <c r="AE68">
        <v>-150.4</v>
      </c>
      <c r="AF68">
        <v>-154.30000000000001</v>
      </c>
      <c r="AG68">
        <v>-142.4</v>
      </c>
      <c r="AI68">
        <v>65</v>
      </c>
      <c r="AJ68">
        <v>748.8</v>
      </c>
      <c r="AK68">
        <v>537.79999999999995</v>
      </c>
      <c r="AL68">
        <v>777.9</v>
      </c>
      <c r="AM68">
        <v>748.2</v>
      </c>
      <c r="AN68">
        <v>601.20000000000005</v>
      </c>
      <c r="BB68">
        <v>65</v>
      </c>
      <c r="BC68">
        <v>-232.2</v>
      </c>
      <c r="BD68">
        <v>-216.7</v>
      </c>
      <c r="BE68">
        <v>-270.8</v>
      </c>
      <c r="BF68">
        <v>-234.2</v>
      </c>
      <c r="BG68">
        <v>-284.3</v>
      </c>
      <c r="BI68">
        <v>65</v>
      </c>
      <c r="BJ68">
        <v>650</v>
      </c>
      <c r="BK68">
        <v>397.4</v>
      </c>
      <c r="BL68">
        <v>134.6</v>
      </c>
      <c r="BM68">
        <v>120.4</v>
      </c>
      <c r="BN68">
        <v>94.8</v>
      </c>
      <c r="BZ68">
        <v>65</v>
      </c>
      <c r="CA68">
        <v>-321.3</v>
      </c>
      <c r="CB68">
        <v>-325.5</v>
      </c>
      <c r="CC68">
        <v>-262.7</v>
      </c>
      <c r="CD68">
        <v>-425.2</v>
      </c>
      <c r="CE68">
        <v>-319.7</v>
      </c>
      <c r="CG68">
        <v>65</v>
      </c>
      <c r="CH68">
        <v>707.5</v>
      </c>
      <c r="CI68">
        <v>839.3</v>
      </c>
      <c r="CJ68">
        <v>67.5</v>
      </c>
      <c r="CK68">
        <v>622.70000000000005</v>
      </c>
      <c r="CL68">
        <v>119.4</v>
      </c>
    </row>
    <row r="69" spans="1:90" x14ac:dyDescent="0.35">
      <c r="A69">
        <v>66</v>
      </c>
      <c r="B69">
        <v>-178.2</v>
      </c>
      <c r="C69">
        <v>-180.2</v>
      </c>
      <c r="D69">
        <v>-84.1</v>
      </c>
      <c r="E69">
        <v>-321.2</v>
      </c>
      <c r="F69">
        <v>-249.6</v>
      </c>
      <c r="H69">
        <v>66</v>
      </c>
      <c r="I69">
        <v>583.9</v>
      </c>
      <c r="J69">
        <v>27.9</v>
      </c>
      <c r="K69">
        <v>30.7</v>
      </c>
      <c r="L69">
        <v>44.4</v>
      </c>
      <c r="M69">
        <v>597.70000000000005</v>
      </c>
      <c r="AB69">
        <v>66</v>
      </c>
      <c r="AC69">
        <v>-114.8</v>
      </c>
      <c r="AD69">
        <v>-174.1</v>
      </c>
      <c r="AE69">
        <v>-150.30000000000001</v>
      </c>
      <c r="AF69">
        <v>-152.1</v>
      </c>
      <c r="AG69">
        <v>-141.19999999999999</v>
      </c>
      <c r="AI69">
        <v>66</v>
      </c>
      <c r="AJ69">
        <v>753.7</v>
      </c>
      <c r="AK69">
        <v>551.4</v>
      </c>
      <c r="AL69">
        <v>775.7</v>
      </c>
      <c r="AM69">
        <v>745.7</v>
      </c>
      <c r="AN69">
        <v>609.20000000000005</v>
      </c>
      <c r="BB69">
        <v>66</v>
      </c>
      <c r="BC69">
        <v>-231.8</v>
      </c>
      <c r="BD69">
        <v>-216.9</v>
      </c>
      <c r="BE69">
        <v>-269.5</v>
      </c>
      <c r="BF69">
        <v>-232.9</v>
      </c>
      <c r="BG69">
        <v>-281.5</v>
      </c>
      <c r="BI69">
        <v>66</v>
      </c>
      <c r="BJ69">
        <v>567.4</v>
      </c>
      <c r="BK69">
        <v>336.5</v>
      </c>
      <c r="BL69">
        <v>130.5</v>
      </c>
      <c r="BM69">
        <v>118.8</v>
      </c>
      <c r="BN69">
        <v>92.4</v>
      </c>
      <c r="BZ69">
        <v>66</v>
      </c>
      <c r="CA69">
        <v>-316.8</v>
      </c>
      <c r="CB69">
        <v>-322.89999999999998</v>
      </c>
      <c r="CC69">
        <v>-262.7</v>
      </c>
      <c r="CD69">
        <v>-420.4</v>
      </c>
      <c r="CE69">
        <v>-317.60000000000002</v>
      </c>
      <c r="CG69">
        <v>66</v>
      </c>
      <c r="CH69">
        <v>708.2</v>
      </c>
      <c r="CI69">
        <v>767.2</v>
      </c>
      <c r="CJ69">
        <v>66</v>
      </c>
      <c r="CK69">
        <v>616.9</v>
      </c>
      <c r="CL69">
        <v>102.7</v>
      </c>
    </row>
    <row r="70" spans="1:90" x14ac:dyDescent="0.35">
      <c r="A70">
        <v>67</v>
      </c>
      <c r="B70">
        <v>-177.9</v>
      </c>
      <c r="C70">
        <v>-178</v>
      </c>
      <c r="D70">
        <v>-82.6</v>
      </c>
      <c r="E70">
        <v>-320.8</v>
      </c>
      <c r="F70">
        <v>-245.6</v>
      </c>
      <c r="H70">
        <v>67</v>
      </c>
      <c r="I70">
        <v>482.8</v>
      </c>
      <c r="J70">
        <v>27.4</v>
      </c>
      <c r="K70">
        <v>30.4</v>
      </c>
      <c r="L70">
        <v>38.299999999999997</v>
      </c>
      <c r="M70">
        <v>566.4</v>
      </c>
      <c r="AB70">
        <v>67</v>
      </c>
      <c r="AC70">
        <v>-113.1</v>
      </c>
      <c r="AD70">
        <v>-174</v>
      </c>
      <c r="AE70">
        <v>-150.9</v>
      </c>
      <c r="AF70">
        <v>-149.6</v>
      </c>
      <c r="AG70">
        <v>-139.6</v>
      </c>
      <c r="AI70">
        <v>67</v>
      </c>
      <c r="AJ70">
        <v>760.6</v>
      </c>
      <c r="AK70">
        <v>587.4</v>
      </c>
      <c r="AL70">
        <v>771</v>
      </c>
      <c r="AM70">
        <v>745.8</v>
      </c>
      <c r="AN70">
        <v>614.9</v>
      </c>
      <c r="BB70">
        <v>67</v>
      </c>
      <c r="BC70">
        <v>-231.9</v>
      </c>
      <c r="BD70">
        <v>-217.3</v>
      </c>
      <c r="BE70">
        <v>-268.60000000000002</v>
      </c>
      <c r="BF70">
        <v>-231</v>
      </c>
      <c r="BG70">
        <v>-278.60000000000002</v>
      </c>
      <c r="BI70">
        <v>67</v>
      </c>
      <c r="BJ70">
        <v>476.4</v>
      </c>
      <c r="BK70">
        <v>283.3</v>
      </c>
      <c r="BL70">
        <v>127</v>
      </c>
      <c r="BM70">
        <v>117.5</v>
      </c>
      <c r="BN70">
        <v>90.4</v>
      </c>
      <c r="BZ70">
        <v>67</v>
      </c>
      <c r="CA70">
        <v>-311.60000000000002</v>
      </c>
      <c r="CB70">
        <v>-320.3</v>
      </c>
      <c r="CC70">
        <v>-262.60000000000002</v>
      </c>
      <c r="CD70">
        <v>-414.8</v>
      </c>
      <c r="CE70">
        <v>-316</v>
      </c>
      <c r="CG70">
        <v>67</v>
      </c>
      <c r="CH70">
        <v>724.8</v>
      </c>
      <c r="CI70">
        <v>669.1</v>
      </c>
      <c r="CJ70">
        <v>64.5</v>
      </c>
      <c r="CK70">
        <v>610.6</v>
      </c>
      <c r="CL70">
        <v>95.1</v>
      </c>
    </row>
    <row r="71" spans="1:90" x14ac:dyDescent="0.35">
      <c r="A71">
        <v>68</v>
      </c>
      <c r="B71">
        <v>-177.6</v>
      </c>
      <c r="C71">
        <v>-176.5</v>
      </c>
      <c r="D71">
        <v>-81.099999999999994</v>
      </c>
      <c r="E71">
        <v>-319.60000000000002</v>
      </c>
      <c r="F71">
        <v>-240.9</v>
      </c>
      <c r="H71">
        <v>68</v>
      </c>
      <c r="I71">
        <v>387.3</v>
      </c>
      <c r="J71">
        <v>27</v>
      </c>
      <c r="K71">
        <v>30.2</v>
      </c>
      <c r="L71">
        <v>34.299999999999997</v>
      </c>
      <c r="M71">
        <v>460.3</v>
      </c>
      <c r="AB71">
        <v>68</v>
      </c>
      <c r="AC71">
        <v>-111.6</v>
      </c>
      <c r="AD71">
        <v>-174.1</v>
      </c>
      <c r="AE71">
        <v>-151.4</v>
      </c>
      <c r="AF71">
        <v>-148.19999999999999</v>
      </c>
      <c r="AG71">
        <v>-138.1</v>
      </c>
      <c r="AI71">
        <v>68</v>
      </c>
      <c r="AJ71">
        <v>761.9</v>
      </c>
      <c r="AK71">
        <v>625.79999999999995</v>
      </c>
      <c r="AL71">
        <v>769.1</v>
      </c>
      <c r="AM71">
        <v>754.5</v>
      </c>
      <c r="AN71">
        <v>621.5</v>
      </c>
      <c r="BB71">
        <v>68</v>
      </c>
      <c r="BC71">
        <v>-231.6</v>
      </c>
      <c r="BD71">
        <v>-217.3</v>
      </c>
      <c r="BE71">
        <v>-269</v>
      </c>
      <c r="BF71">
        <v>-228.4</v>
      </c>
      <c r="BG71">
        <v>-275.2</v>
      </c>
      <c r="BI71">
        <v>68</v>
      </c>
      <c r="BJ71">
        <v>352.7</v>
      </c>
      <c r="BK71">
        <v>238.4</v>
      </c>
      <c r="BL71">
        <v>123.9</v>
      </c>
      <c r="BM71">
        <v>116.6</v>
      </c>
      <c r="BN71">
        <v>88.5</v>
      </c>
      <c r="BZ71">
        <v>68</v>
      </c>
      <c r="CA71">
        <v>-306.39999999999998</v>
      </c>
      <c r="CB71">
        <v>-316.8</v>
      </c>
      <c r="CC71">
        <v>-262.60000000000002</v>
      </c>
      <c r="CD71">
        <v>-409.7</v>
      </c>
      <c r="CE71">
        <v>-314.2</v>
      </c>
      <c r="CG71">
        <v>68</v>
      </c>
      <c r="CH71">
        <v>745.7</v>
      </c>
      <c r="CI71">
        <v>507.5</v>
      </c>
      <c r="CJ71">
        <v>63.1</v>
      </c>
      <c r="CK71">
        <v>597.4</v>
      </c>
      <c r="CL71">
        <v>91.6</v>
      </c>
    </row>
    <row r="72" spans="1:90" x14ac:dyDescent="0.35">
      <c r="A72">
        <v>69</v>
      </c>
      <c r="B72">
        <v>-177.5</v>
      </c>
      <c r="C72">
        <v>-175.9</v>
      </c>
      <c r="D72">
        <v>-79.900000000000006</v>
      </c>
      <c r="E72">
        <v>-317.60000000000002</v>
      </c>
      <c r="F72">
        <v>-236.7</v>
      </c>
      <c r="H72">
        <v>69</v>
      </c>
      <c r="I72">
        <v>303</v>
      </c>
      <c r="J72">
        <v>26.8</v>
      </c>
      <c r="K72">
        <v>30</v>
      </c>
      <c r="L72">
        <v>31.5</v>
      </c>
      <c r="M72">
        <v>359.3</v>
      </c>
      <c r="AB72">
        <v>69</v>
      </c>
      <c r="AC72">
        <v>-110.4</v>
      </c>
      <c r="AD72">
        <v>-174.2</v>
      </c>
      <c r="AE72">
        <v>-151.80000000000001</v>
      </c>
      <c r="AF72">
        <v>-147.69999999999999</v>
      </c>
      <c r="AG72">
        <v>-136.69999999999999</v>
      </c>
      <c r="AI72">
        <v>69</v>
      </c>
      <c r="AJ72">
        <v>774.8</v>
      </c>
      <c r="AK72">
        <v>613.79999999999995</v>
      </c>
      <c r="AL72">
        <v>768.2</v>
      </c>
      <c r="AM72">
        <v>765.1</v>
      </c>
      <c r="AN72">
        <v>627.4</v>
      </c>
      <c r="BB72">
        <v>69</v>
      </c>
      <c r="BC72">
        <v>-230.8</v>
      </c>
      <c r="BD72">
        <v>-217</v>
      </c>
      <c r="BE72">
        <v>-271.39999999999998</v>
      </c>
      <c r="BF72">
        <v>-225.9</v>
      </c>
      <c r="BG72">
        <v>-271.60000000000002</v>
      </c>
      <c r="BI72">
        <v>69</v>
      </c>
      <c r="BJ72">
        <v>223.2</v>
      </c>
      <c r="BK72">
        <v>200.9</v>
      </c>
      <c r="BL72">
        <v>121.2</v>
      </c>
      <c r="BM72">
        <v>115.9</v>
      </c>
      <c r="BN72">
        <v>86.8</v>
      </c>
      <c r="BZ72">
        <v>69</v>
      </c>
      <c r="CA72">
        <v>-302</v>
      </c>
      <c r="CB72">
        <v>-313</v>
      </c>
      <c r="CC72">
        <v>-262.89999999999998</v>
      </c>
      <c r="CD72">
        <v>-406.4</v>
      </c>
      <c r="CE72">
        <v>-312.89999999999998</v>
      </c>
      <c r="CG72">
        <v>69</v>
      </c>
      <c r="CH72">
        <v>725.5</v>
      </c>
      <c r="CI72">
        <v>358.7</v>
      </c>
      <c r="CJ72">
        <v>62</v>
      </c>
      <c r="CK72">
        <v>576.9</v>
      </c>
      <c r="CL72">
        <v>89</v>
      </c>
    </row>
    <row r="73" spans="1:90" x14ac:dyDescent="0.35">
      <c r="A73">
        <v>70</v>
      </c>
      <c r="B73">
        <v>-177.6</v>
      </c>
      <c r="C73">
        <v>-175.6</v>
      </c>
      <c r="D73">
        <v>-79.099999999999994</v>
      </c>
      <c r="E73">
        <v>-316.10000000000002</v>
      </c>
      <c r="F73">
        <v>-234</v>
      </c>
      <c r="H73">
        <v>70</v>
      </c>
      <c r="I73">
        <v>212.6</v>
      </c>
      <c r="J73">
        <v>26.7</v>
      </c>
      <c r="K73">
        <v>29.9</v>
      </c>
      <c r="L73">
        <v>29.6</v>
      </c>
      <c r="M73">
        <v>270.2</v>
      </c>
      <c r="AB73">
        <v>70</v>
      </c>
      <c r="AC73">
        <v>-109.5</v>
      </c>
      <c r="AD73">
        <v>-174.2</v>
      </c>
      <c r="AE73">
        <v>-152.1</v>
      </c>
      <c r="AF73">
        <v>-147.69999999999999</v>
      </c>
      <c r="AG73">
        <v>-135.6</v>
      </c>
      <c r="AI73">
        <v>70</v>
      </c>
      <c r="AJ73">
        <v>781.9</v>
      </c>
      <c r="AK73">
        <v>562.70000000000005</v>
      </c>
      <c r="AL73">
        <v>763.2</v>
      </c>
      <c r="AM73">
        <v>767.9</v>
      </c>
      <c r="AN73">
        <v>632.29999999999995</v>
      </c>
      <c r="BB73">
        <v>70</v>
      </c>
      <c r="BC73">
        <v>-229.6</v>
      </c>
      <c r="BD73">
        <v>-216.3</v>
      </c>
      <c r="BE73">
        <v>-273.39999999999998</v>
      </c>
      <c r="BF73">
        <v>-224.4</v>
      </c>
      <c r="BG73">
        <v>-268.39999999999998</v>
      </c>
      <c r="BI73">
        <v>70</v>
      </c>
      <c r="BJ73">
        <v>154.30000000000001</v>
      </c>
      <c r="BK73">
        <v>170</v>
      </c>
      <c r="BL73">
        <v>118.6</v>
      </c>
      <c r="BM73">
        <v>115.3</v>
      </c>
      <c r="BN73">
        <v>85.2</v>
      </c>
      <c r="BZ73">
        <v>70</v>
      </c>
      <c r="CA73">
        <v>-298.7</v>
      </c>
      <c r="CB73">
        <v>-309.60000000000002</v>
      </c>
      <c r="CC73">
        <v>-263.39999999999998</v>
      </c>
      <c r="CD73">
        <v>-405.3</v>
      </c>
      <c r="CE73">
        <v>-312.3</v>
      </c>
      <c r="CG73">
        <v>70</v>
      </c>
      <c r="CH73">
        <v>659.5</v>
      </c>
      <c r="CI73">
        <v>254.7</v>
      </c>
      <c r="CJ73">
        <v>61.1</v>
      </c>
      <c r="CK73">
        <v>536.6</v>
      </c>
      <c r="CL73">
        <v>86.6</v>
      </c>
    </row>
    <row r="74" spans="1:90" x14ac:dyDescent="0.35">
      <c r="A74">
        <v>71</v>
      </c>
      <c r="B74">
        <v>-177.6</v>
      </c>
      <c r="C74">
        <v>-174.9</v>
      </c>
      <c r="D74">
        <v>-78.599999999999994</v>
      </c>
      <c r="E74">
        <v>-314.89999999999998</v>
      </c>
      <c r="F74">
        <v>-232.7</v>
      </c>
      <c r="H74">
        <v>71</v>
      </c>
      <c r="I74">
        <v>132.69999999999999</v>
      </c>
      <c r="J74">
        <v>26.6</v>
      </c>
      <c r="K74">
        <v>29.8</v>
      </c>
      <c r="L74">
        <v>28.6</v>
      </c>
      <c r="M74">
        <v>179.6</v>
      </c>
      <c r="AB74">
        <v>71</v>
      </c>
      <c r="AC74">
        <v>-108.9</v>
      </c>
      <c r="AD74">
        <v>-174.3</v>
      </c>
      <c r="AE74">
        <v>-151.80000000000001</v>
      </c>
      <c r="AF74">
        <v>-147.6</v>
      </c>
      <c r="AG74">
        <v>-134.80000000000001</v>
      </c>
      <c r="AI74">
        <v>71</v>
      </c>
      <c r="AJ74">
        <v>739.9</v>
      </c>
      <c r="AK74">
        <v>509.8</v>
      </c>
      <c r="AL74">
        <v>762.7</v>
      </c>
      <c r="AM74">
        <v>769</v>
      </c>
      <c r="AN74">
        <v>637.20000000000005</v>
      </c>
      <c r="BB74">
        <v>71</v>
      </c>
      <c r="BC74">
        <v>-228.8</v>
      </c>
      <c r="BD74">
        <v>-215.4</v>
      </c>
      <c r="BE74">
        <v>-270.7</v>
      </c>
      <c r="BF74">
        <v>-223.2</v>
      </c>
      <c r="BG74">
        <v>-266.2</v>
      </c>
      <c r="BI74">
        <v>71</v>
      </c>
      <c r="BJ74">
        <v>134</v>
      </c>
      <c r="BK74">
        <v>149</v>
      </c>
      <c r="BL74">
        <v>116</v>
      </c>
      <c r="BM74">
        <v>114.8</v>
      </c>
      <c r="BN74">
        <v>83.9</v>
      </c>
      <c r="BZ74">
        <v>71</v>
      </c>
      <c r="CA74">
        <v>-296.60000000000002</v>
      </c>
      <c r="CB74">
        <v>-306.8</v>
      </c>
      <c r="CC74">
        <v>-263.60000000000002</v>
      </c>
      <c r="CD74">
        <v>-405.5</v>
      </c>
      <c r="CE74">
        <v>-311.10000000000002</v>
      </c>
      <c r="CG74">
        <v>71</v>
      </c>
      <c r="CH74">
        <v>589</v>
      </c>
      <c r="CI74">
        <v>183.8</v>
      </c>
      <c r="CJ74">
        <v>60.3</v>
      </c>
      <c r="CK74">
        <v>478.2</v>
      </c>
      <c r="CL74">
        <v>84.4</v>
      </c>
    </row>
    <row r="75" spans="1:90" x14ac:dyDescent="0.35">
      <c r="A75">
        <v>72</v>
      </c>
      <c r="B75">
        <v>-176.7</v>
      </c>
      <c r="C75">
        <v>-173.8</v>
      </c>
      <c r="D75">
        <v>-78.3</v>
      </c>
      <c r="E75">
        <v>-312.89999999999998</v>
      </c>
      <c r="F75">
        <v>-232.3</v>
      </c>
      <c r="H75">
        <v>72</v>
      </c>
      <c r="I75">
        <v>85.8</v>
      </c>
      <c r="J75">
        <v>26.6</v>
      </c>
      <c r="K75">
        <v>29.7</v>
      </c>
      <c r="L75">
        <v>28.1</v>
      </c>
      <c r="M75">
        <v>113.9</v>
      </c>
      <c r="AB75">
        <v>72</v>
      </c>
      <c r="AC75">
        <v>-108.4</v>
      </c>
      <c r="AD75">
        <v>-174.2</v>
      </c>
      <c r="AE75">
        <v>-151</v>
      </c>
      <c r="AF75">
        <v>-146.9</v>
      </c>
      <c r="AG75">
        <v>-134.19999999999999</v>
      </c>
      <c r="AI75">
        <v>72</v>
      </c>
      <c r="AJ75">
        <v>687.8</v>
      </c>
      <c r="AK75">
        <v>459.4</v>
      </c>
      <c r="AL75">
        <v>767.1</v>
      </c>
      <c r="AM75">
        <v>770.2</v>
      </c>
      <c r="AN75">
        <v>646.1</v>
      </c>
      <c r="BB75">
        <v>72</v>
      </c>
      <c r="BC75">
        <v>-228.7</v>
      </c>
      <c r="BD75">
        <v>-214.4</v>
      </c>
      <c r="BE75">
        <v>-265.10000000000002</v>
      </c>
      <c r="BF75">
        <v>-221.4</v>
      </c>
      <c r="BG75">
        <v>-264.5</v>
      </c>
      <c r="BI75">
        <v>72</v>
      </c>
      <c r="BJ75">
        <v>125.2</v>
      </c>
      <c r="BK75">
        <v>137.19999999999999</v>
      </c>
      <c r="BL75">
        <v>113.6</v>
      </c>
      <c r="BM75">
        <v>114.3</v>
      </c>
      <c r="BN75">
        <v>82.6</v>
      </c>
      <c r="BZ75">
        <v>72</v>
      </c>
      <c r="CA75">
        <v>-294.8</v>
      </c>
      <c r="CB75">
        <v>-304.8</v>
      </c>
      <c r="CC75">
        <v>-263.7</v>
      </c>
      <c r="CD75">
        <v>-405.6</v>
      </c>
      <c r="CE75">
        <v>-308.89999999999998</v>
      </c>
      <c r="CG75">
        <v>72</v>
      </c>
      <c r="CH75">
        <v>521.4</v>
      </c>
      <c r="CI75">
        <v>137.19999999999999</v>
      </c>
      <c r="CJ75">
        <v>59.6</v>
      </c>
      <c r="CK75">
        <v>421</v>
      </c>
      <c r="CL75">
        <v>82.2</v>
      </c>
    </row>
    <row r="76" spans="1:90" x14ac:dyDescent="0.35">
      <c r="A76">
        <v>73</v>
      </c>
      <c r="B76">
        <v>-175.2</v>
      </c>
      <c r="C76">
        <v>-173</v>
      </c>
      <c r="D76">
        <v>-78</v>
      </c>
      <c r="E76">
        <v>-310</v>
      </c>
      <c r="F76">
        <v>-232</v>
      </c>
      <c r="H76">
        <v>73</v>
      </c>
      <c r="I76">
        <v>63.2</v>
      </c>
      <c r="J76">
        <v>26.6</v>
      </c>
      <c r="K76">
        <v>29.7</v>
      </c>
      <c r="L76">
        <v>27.9</v>
      </c>
      <c r="M76">
        <v>80.3</v>
      </c>
      <c r="AB76">
        <v>73</v>
      </c>
      <c r="AC76">
        <v>-108.2</v>
      </c>
      <c r="AD76">
        <v>-174.1</v>
      </c>
      <c r="AE76">
        <v>-150</v>
      </c>
      <c r="AF76">
        <v>-146.1</v>
      </c>
      <c r="AG76">
        <v>-133.6</v>
      </c>
      <c r="AI76">
        <v>73</v>
      </c>
      <c r="AJ76">
        <v>640</v>
      </c>
      <c r="AK76">
        <v>411.1</v>
      </c>
      <c r="AL76">
        <v>772.6</v>
      </c>
      <c r="AM76">
        <v>766.6</v>
      </c>
      <c r="AN76">
        <v>650.79999999999995</v>
      </c>
      <c r="BB76">
        <v>73</v>
      </c>
      <c r="BC76">
        <v>-229.3</v>
      </c>
      <c r="BD76">
        <v>-213.1</v>
      </c>
      <c r="BE76">
        <v>-263.2</v>
      </c>
      <c r="BF76">
        <v>-218.8</v>
      </c>
      <c r="BG76">
        <v>-262.89999999999998</v>
      </c>
      <c r="BI76">
        <v>73</v>
      </c>
      <c r="BJ76">
        <v>119.4</v>
      </c>
      <c r="BK76">
        <v>127.8</v>
      </c>
      <c r="BL76">
        <v>111.7</v>
      </c>
      <c r="BM76">
        <v>113.9</v>
      </c>
      <c r="BN76">
        <v>81.7</v>
      </c>
      <c r="BZ76">
        <v>73</v>
      </c>
      <c r="CA76">
        <v>-292</v>
      </c>
      <c r="CB76">
        <v>-303</v>
      </c>
      <c r="CC76">
        <v>-263.7</v>
      </c>
      <c r="CD76">
        <v>-405.8</v>
      </c>
      <c r="CE76">
        <v>-306.60000000000002</v>
      </c>
      <c r="CG76">
        <v>73</v>
      </c>
      <c r="CH76">
        <v>456.6</v>
      </c>
      <c r="CI76">
        <v>110.5</v>
      </c>
      <c r="CJ76">
        <v>59.2</v>
      </c>
      <c r="CK76">
        <v>368.4</v>
      </c>
      <c r="CL76">
        <v>80.3</v>
      </c>
    </row>
    <row r="77" spans="1:90" x14ac:dyDescent="0.35">
      <c r="A77">
        <v>74</v>
      </c>
      <c r="B77">
        <v>-173.7</v>
      </c>
      <c r="C77">
        <v>-172.2</v>
      </c>
      <c r="D77">
        <v>-77.400000000000006</v>
      </c>
      <c r="E77">
        <v>-306.8</v>
      </c>
      <c r="F77">
        <v>-231.5</v>
      </c>
      <c r="H77">
        <v>74</v>
      </c>
      <c r="I77">
        <v>50.8</v>
      </c>
      <c r="J77">
        <v>26.6</v>
      </c>
      <c r="K77">
        <v>29.7</v>
      </c>
      <c r="L77">
        <v>27.8</v>
      </c>
      <c r="M77">
        <v>62.8</v>
      </c>
      <c r="AB77">
        <v>74</v>
      </c>
      <c r="AC77">
        <v>-108.1</v>
      </c>
      <c r="AD77">
        <v>-174</v>
      </c>
      <c r="AE77">
        <v>-148.9</v>
      </c>
      <c r="AF77">
        <v>-145.4</v>
      </c>
      <c r="AG77">
        <v>-133.1</v>
      </c>
      <c r="AI77">
        <v>74</v>
      </c>
      <c r="AJ77">
        <v>588</v>
      </c>
      <c r="AK77">
        <v>365.3</v>
      </c>
      <c r="AL77">
        <v>756.4</v>
      </c>
      <c r="AM77">
        <v>758.3</v>
      </c>
      <c r="AN77">
        <v>648.1</v>
      </c>
      <c r="BB77">
        <v>74</v>
      </c>
      <c r="BC77">
        <v>-229.8</v>
      </c>
      <c r="BD77">
        <v>-211.6</v>
      </c>
      <c r="BE77">
        <v>-264.3</v>
      </c>
      <c r="BF77">
        <v>-215.5</v>
      </c>
      <c r="BG77">
        <v>-261.39999999999998</v>
      </c>
      <c r="BI77">
        <v>74</v>
      </c>
      <c r="BJ77">
        <v>115.6</v>
      </c>
      <c r="BK77">
        <v>120.2</v>
      </c>
      <c r="BL77">
        <v>110.4</v>
      </c>
      <c r="BM77">
        <v>113.5</v>
      </c>
      <c r="BN77">
        <v>81.099999999999994</v>
      </c>
      <c r="BZ77">
        <v>74</v>
      </c>
      <c r="CA77">
        <v>-287.89999999999998</v>
      </c>
      <c r="CB77">
        <v>-301.10000000000002</v>
      </c>
      <c r="CC77">
        <v>-263.7</v>
      </c>
      <c r="CD77">
        <v>-406</v>
      </c>
      <c r="CE77">
        <v>-304.60000000000002</v>
      </c>
      <c r="CG77">
        <v>74</v>
      </c>
      <c r="CH77">
        <v>386.6</v>
      </c>
      <c r="CI77">
        <v>98.4</v>
      </c>
      <c r="CJ77">
        <v>58.8</v>
      </c>
      <c r="CK77">
        <v>320.7</v>
      </c>
      <c r="CL77">
        <v>78.8</v>
      </c>
    </row>
    <row r="78" spans="1:90" x14ac:dyDescent="0.35">
      <c r="A78">
        <v>75</v>
      </c>
      <c r="B78">
        <v>-172.6</v>
      </c>
      <c r="C78">
        <v>-171.4</v>
      </c>
      <c r="D78">
        <v>-76.7</v>
      </c>
      <c r="E78">
        <v>-303</v>
      </c>
      <c r="F78">
        <v>-231</v>
      </c>
      <c r="H78">
        <v>75</v>
      </c>
      <c r="I78">
        <v>43.2</v>
      </c>
      <c r="J78">
        <v>26.6</v>
      </c>
      <c r="K78">
        <v>29.7</v>
      </c>
      <c r="L78">
        <v>27.7</v>
      </c>
      <c r="M78">
        <v>52.2</v>
      </c>
      <c r="AB78">
        <v>75</v>
      </c>
      <c r="AC78">
        <v>-107.9</v>
      </c>
      <c r="AD78">
        <v>-173.9</v>
      </c>
      <c r="AE78">
        <v>-148</v>
      </c>
      <c r="AF78">
        <v>-144.9</v>
      </c>
      <c r="AG78">
        <v>-132.6</v>
      </c>
      <c r="AI78">
        <v>75</v>
      </c>
      <c r="AJ78">
        <v>502.8</v>
      </c>
      <c r="AK78">
        <v>322.5</v>
      </c>
      <c r="AL78">
        <v>714.6</v>
      </c>
      <c r="AM78">
        <v>761.9</v>
      </c>
      <c r="AN78">
        <v>642.4</v>
      </c>
      <c r="BB78">
        <v>75</v>
      </c>
      <c r="BC78">
        <v>-230.1</v>
      </c>
      <c r="BD78">
        <v>-210.8</v>
      </c>
      <c r="BE78">
        <v>-266.5</v>
      </c>
      <c r="BF78">
        <v>-211.9</v>
      </c>
      <c r="BG78">
        <v>-260</v>
      </c>
      <c r="BI78">
        <v>75</v>
      </c>
      <c r="BJ78">
        <v>112.9</v>
      </c>
      <c r="BK78">
        <v>115</v>
      </c>
      <c r="BL78">
        <v>109.5</v>
      </c>
      <c r="BM78">
        <v>113.2</v>
      </c>
      <c r="BN78">
        <v>80.900000000000006</v>
      </c>
      <c r="BZ78">
        <v>75</v>
      </c>
      <c r="CA78">
        <v>-283.39999999999998</v>
      </c>
      <c r="CB78">
        <v>-299.3</v>
      </c>
      <c r="CC78">
        <v>-263.3</v>
      </c>
      <c r="CD78">
        <v>-405.8</v>
      </c>
      <c r="CE78">
        <v>-303.5</v>
      </c>
      <c r="CG78">
        <v>75</v>
      </c>
      <c r="CH78">
        <v>293.39999999999998</v>
      </c>
      <c r="CI78">
        <v>92.3</v>
      </c>
      <c r="CJ78">
        <v>58.5</v>
      </c>
      <c r="CK78">
        <v>277.39999999999998</v>
      </c>
      <c r="CL78">
        <v>77.599999999999994</v>
      </c>
    </row>
    <row r="79" spans="1:90" x14ac:dyDescent="0.35">
      <c r="A79">
        <v>76</v>
      </c>
      <c r="B79">
        <v>-172.9</v>
      </c>
      <c r="C79">
        <v>-170.6</v>
      </c>
      <c r="D79">
        <v>-75.8</v>
      </c>
      <c r="E79">
        <v>-299.3</v>
      </c>
      <c r="F79">
        <v>-230</v>
      </c>
      <c r="H79">
        <v>76</v>
      </c>
      <c r="I79">
        <v>42.5</v>
      </c>
      <c r="J79">
        <v>26.7</v>
      </c>
      <c r="K79">
        <v>29.7</v>
      </c>
      <c r="L79">
        <v>27.6</v>
      </c>
      <c r="M79">
        <v>45.2</v>
      </c>
      <c r="AB79">
        <v>76</v>
      </c>
      <c r="AC79">
        <v>-107.4</v>
      </c>
      <c r="AD79">
        <v>-173.9</v>
      </c>
      <c r="AE79">
        <v>-147.4</v>
      </c>
      <c r="AF79">
        <v>-144.19999999999999</v>
      </c>
      <c r="AG79">
        <v>-132.4</v>
      </c>
      <c r="AI79">
        <v>76</v>
      </c>
      <c r="AJ79">
        <v>376.7</v>
      </c>
      <c r="AK79">
        <v>283.3</v>
      </c>
      <c r="AL79">
        <v>666.2</v>
      </c>
      <c r="AM79">
        <v>763.4</v>
      </c>
      <c r="AN79">
        <v>634.1</v>
      </c>
      <c r="BB79">
        <v>76</v>
      </c>
      <c r="BC79">
        <v>-230.2</v>
      </c>
      <c r="BD79">
        <v>-210.5</v>
      </c>
      <c r="BE79">
        <v>-268.2</v>
      </c>
      <c r="BF79">
        <v>-208.4</v>
      </c>
      <c r="BG79">
        <v>-259.2</v>
      </c>
      <c r="BI79">
        <v>76</v>
      </c>
      <c r="BJ79">
        <v>110.9</v>
      </c>
      <c r="BK79">
        <v>111.6</v>
      </c>
      <c r="BL79">
        <v>108.7</v>
      </c>
      <c r="BM79">
        <v>112.9</v>
      </c>
      <c r="BN79">
        <v>80.7</v>
      </c>
      <c r="BZ79">
        <v>76</v>
      </c>
      <c r="CA79">
        <v>-279.89999999999998</v>
      </c>
      <c r="CB79">
        <v>-297.3</v>
      </c>
      <c r="CC79">
        <v>-262.8</v>
      </c>
      <c r="CD79">
        <v>-404.9</v>
      </c>
      <c r="CE79">
        <v>-303.7</v>
      </c>
      <c r="CG79">
        <v>76</v>
      </c>
      <c r="CH79">
        <v>199.1</v>
      </c>
      <c r="CI79">
        <v>88.2</v>
      </c>
      <c r="CJ79">
        <v>58.3</v>
      </c>
      <c r="CK79">
        <v>236.5</v>
      </c>
      <c r="CL79">
        <v>76.7</v>
      </c>
    </row>
    <row r="80" spans="1:90" x14ac:dyDescent="0.35">
      <c r="A80">
        <v>77</v>
      </c>
      <c r="B80">
        <v>-174.9</v>
      </c>
      <c r="C80">
        <v>-170.1</v>
      </c>
      <c r="D80">
        <v>-75</v>
      </c>
      <c r="E80">
        <v>-295.5</v>
      </c>
      <c r="F80">
        <v>-228.6</v>
      </c>
      <c r="H80">
        <v>77</v>
      </c>
      <c r="I80">
        <v>40.200000000000003</v>
      </c>
      <c r="J80">
        <v>26.8</v>
      </c>
      <c r="K80">
        <v>29.8</v>
      </c>
      <c r="L80">
        <v>27.5</v>
      </c>
      <c r="M80">
        <v>40.4</v>
      </c>
      <c r="AB80">
        <v>77</v>
      </c>
      <c r="AC80">
        <v>-106.7</v>
      </c>
      <c r="AD80">
        <v>-173.9</v>
      </c>
      <c r="AE80">
        <v>-147.19999999999999</v>
      </c>
      <c r="AF80">
        <v>-143.19999999999999</v>
      </c>
      <c r="AG80">
        <v>-132.4</v>
      </c>
      <c r="AI80">
        <v>77</v>
      </c>
      <c r="AJ80">
        <v>268.10000000000002</v>
      </c>
      <c r="AK80">
        <v>248.1</v>
      </c>
      <c r="AL80">
        <v>620.70000000000005</v>
      </c>
      <c r="AM80">
        <v>733.2</v>
      </c>
      <c r="AN80">
        <v>627.1</v>
      </c>
      <c r="BB80">
        <v>77</v>
      </c>
      <c r="BC80">
        <v>-230.2</v>
      </c>
      <c r="BD80">
        <v>-210.3</v>
      </c>
      <c r="BE80">
        <v>-269.39999999999998</v>
      </c>
      <c r="BF80">
        <v>-204.7</v>
      </c>
      <c r="BG80">
        <v>-259.39999999999998</v>
      </c>
      <c r="BI80">
        <v>77</v>
      </c>
      <c r="BJ80">
        <v>109.3</v>
      </c>
      <c r="BK80">
        <v>109.2</v>
      </c>
      <c r="BL80">
        <v>108.1</v>
      </c>
      <c r="BM80">
        <v>112.7</v>
      </c>
      <c r="BN80">
        <v>80.599999999999994</v>
      </c>
      <c r="BZ80">
        <v>77</v>
      </c>
      <c r="CA80">
        <v>-277.5</v>
      </c>
      <c r="CB80">
        <v>-295.10000000000002</v>
      </c>
      <c r="CC80">
        <v>-262</v>
      </c>
      <c r="CD80">
        <v>-403.3</v>
      </c>
      <c r="CE80">
        <v>-304.89999999999998</v>
      </c>
      <c r="CG80">
        <v>77</v>
      </c>
      <c r="CH80">
        <v>150.19999999999999</v>
      </c>
      <c r="CI80">
        <v>85.4</v>
      </c>
      <c r="CJ80">
        <v>58.1</v>
      </c>
      <c r="CK80">
        <v>193.9</v>
      </c>
      <c r="CL80">
        <v>76</v>
      </c>
    </row>
    <row r="81" spans="1:90" x14ac:dyDescent="0.35">
      <c r="A81">
        <v>78</v>
      </c>
      <c r="B81">
        <v>-177.5</v>
      </c>
      <c r="C81">
        <v>-169.9</v>
      </c>
      <c r="D81">
        <v>-74.2</v>
      </c>
      <c r="E81">
        <v>-291.39999999999998</v>
      </c>
      <c r="F81">
        <v>-226.3</v>
      </c>
      <c r="H81">
        <v>78</v>
      </c>
      <c r="I81">
        <v>32.200000000000003</v>
      </c>
      <c r="J81">
        <v>26.8</v>
      </c>
      <c r="K81">
        <v>30</v>
      </c>
      <c r="L81">
        <v>27.4</v>
      </c>
      <c r="M81">
        <v>37.1</v>
      </c>
      <c r="AB81">
        <v>78</v>
      </c>
      <c r="AC81">
        <v>-105.9</v>
      </c>
      <c r="AD81">
        <v>-173.8</v>
      </c>
      <c r="AE81">
        <v>-146.69999999999999</v>
      </c>
      <c r="AF81">
        <v>-142.1</v>
      </c>
      <c r="AG81">
        <v>-132.5</v>
      </c>
      <c r="AI81">
        <v>78</v>
      </c>
      <c r="AJ81">
        <v>192.2</v>
      </c>
      <c r="AK81">
        <v>217</v>
      </c>
      <c r="AL81">
        <v>576.29999999999995</v>
      </c>
      <c r="AM81">
        <v>683.8</v>
      </c>
      <c r="AN81">
        <v>628.5</v>
      </c>
      <c r="BB81">
        <v>78</v>
      </c>
      <c r="BC81">
        <v>-230.4</v>
      </c>
      <c r="BD81">
        <v>-210.4</v>
      </c>
      <c r="BE81">
        <v>-270.39999999999998</v>
      </c>
      <c r="BF81">
        <v>-201.6</v>
      </c>
      <c r="BG81">
        <v>-260.89999999999998</v>
      </c>
      <c r="BI81">
        <v>78</v>
      </c>
      <c r="BJ81">
        <v>108.1</v>
      </c>
      <c r="BK81">
        <v>107.6</v>
      </c>
      <c r="BL81">
        <v>107.5</v>
      </c>
      <c r="BM81">
        <v>112.5</v>
      </c>
      <c r="BN81">
        <v>80.599999999999994</v>
      </c>
      <c r="BZ81">
        <v>78</v>
      </c>
      <c r="CA81">
        <v>-275.7</v>
      </c>
      <c r="CB81">
        <v>-292.89999999999998</v>
      </c>
      <c r="CC81">
        <v>-260.89999999999998</v>
      </c>
      <c r="CD81">
        <v>-401.3</v>
      </c>
      <c r="CE81">
        <v>-305.89999999999998</v>
      </c>
      <c r="CG81">
        <v>78</v>
      </c>
      <c r="CH81">
        <v>131.69999999999999</v>
      </c>
      <c r="CI81">
        <v>82.8</v>
      </c>
      <c r="CJ81">
        <v>57.8</v>
      </c>
      <c r="CK81">
        <v>152.30000000000001</v>
      </c>
      <c r="CL81">
        <v>75.400000000000006</v>
      </c>
    </row>
    <row r="82" spans="1:90" x14ac:dyDescent="0.35">
      <c r="A82">
        <v>79</v>
      </c>
      <c r="B82">
        <v>-179.4</v>
      </c>
      <c r="C82">
        <v>-169.6</v>
      </c>
      <c r="D82">
        <v>-73.5</v>
      </c>
      <c r="E82">
        <v>-286.10000000000002</v>
      </c>
      <c r="F82">
        <v>-222.7</v>
      </c>
      <c r="H82">
        <v>79</v>
      </c>
      <c r="I82">
        <v>28.8</v>
      </c>
      <c r="J82">
        <v>26.8</v>
      </c>
      <c r="K82">
        <v>30.2</v>
      </c>
      <c r="L82">
        <v>27.4</v>
      </c>
      <c r="M82">
        <v>35.5</v>
      </c>
      <c r="AB82">
        <v>79</v>
      </c>
      <c r="AC82">
        <v>-105.2</v>
      </c>
      <c r="AD82">
        <v>-173.6</v>
      </c>
      <c r="AE82">
        <v>-145.80000000000001</v>
      </c>
      <c r="AF82">
        <v>-141.4</v>
      </c>
      <c r="AG82">
        <v>-132.80000000000001</v>
      </c>
      <c r="AI82">
        <v>79</v>
      </c>
      <c r="AJ82">
        <v>140.1</v>
      </c>
      <c r="AK82">
        <v>189.7</v>
      </c>
      <c r="AL82">
        <v>531.70000000000005</v>
      </c>
      <c r="AM82">
        <v>634.4</v>
      </c>
      <c r="AN82">
        <v>639.1</v>
      </c>
      <c r="BB82">
        <v>79</v>
      </c>
      <c r="BC82">
        <v>-230.7</v>
      </c>
      <c r="BD82">
        <v>-210.7</v>
      </c>
      <c r="BE82">
        <v>-270.8</v>
      </c>
      <c r="BF82">
        <v>-199</v>
      </c>
      <c r="BG82">
        <v>-262.89999999999998</v>
      </c>
      <c r="BI82">
        <v>79</v>
      </c>
      <c r="BJ82">
        <v>107.2</v>
      </c>
      <c r="BK82">
        <v>106.3</v>
      </c>
      <c r="BL82">
        <v>107</v>
      </c>
      <c r="BM82">
        <v>112.3</v>
      </c>
      <c r="BN82">
        <v>80.599999999999994</v>
      </c>
      <c r="BZ82">
        <v>79</v>
      </c>
      <c r="CA82">
        <v>-273.5</v>
      </c>
      <c r="CB82">
        <v>-289.8</v>
      </c>
      <c r="CC82">
        <v>-260</v>
      </c>
      <c r="CD82">
        <v>-398.8</v>
      </c>
      <c r="CE82">
        <v>-306.10000000000002</v>
      </c>
      <c r="CG82">
        <v>79</v>
      </c>
      <c r="CH82">
        <v>121.1</v>
      </c>
      <c r="CI82">
        <v>80.3</v>
      </c>
      <c r="CJ82">
        <v>57.7</v>
      </c>
      <c r="CK82">
        <v>121.6</v>
      </c>
      <c r="CL82">
        <v>75</v>
      </c>
    </row>
    <row r="83" spans="1:90" x14ac:dyDescent="0.35">
      <c r="A83">
        <v>80</v>
      </c>
      <c r="B83">
        <v>-180.1</v>
      </c>
      <c r="C83">
        <v>-169.7</v>
      </c>
      <c r="D83">
        <v>-73.099999999999994</v>
      </c>
      <c r="E83">
        <v>-279.7</v>
      </c>
      <c r="F83">
        <v>-218.8</v>
      </c>
      <c r="H83">
        <v>80</v>
      </c>
      <c r="I83">
        <v>27.2</v>
      </c>
      <c r="J83">
        <v>26.9</v>
      </c>
      <c r="K83">
        <v>30.2</v>
      </c>
      <c r="L83">
        <v>27.4</v>
      </c>
      <c r="M83">
        <v>34.799999999999997</v>
      </c>
      <c r="AB83">
        <v>80</v>
      </c>
      <c r="AC83">
        <v>-104.6</v>
      </c>
      <c r="AD83">
        <v>-173.1</v>
      </c>
      <c r="AE83">
        <v>-145</v>
      </c>
      <c r="AF83">
        <v>-141</v>
      </c>
      <c r="AG83">
        <v>-132.80000000000001</v>
      </c>
      <c r="AI83">
        <v>80</v>
      </c>
      <c r="AJ83">
        <v>114.1</v>
      </c>
      <c r="AK83">
        <v>165.4</v>
      </c>
      <c r="AL83">
        <v>486.4</v>
      </c>
      <c r="AM83">
        <v>560.79999999999995</v>
      </c>
      <c r="AN83">
        <v>647.5</v>
      </c>
      <c r="BB83">
        <v>80</v>
      </c>
      <c r="BC83">
        <v>-230.7</v>
      </c>
      <c r="BD83">
        <v>-211.3</v>
      </c>
      <c r="BE83">
        <v>-270.5</v>
      </c>
      <c r="BF83">
        <v>-196.6</v>
      </c>
      <c r="BG83">
        <v>-263.7</v>
      </c>
      <c r="BI83">
        <v>80</v>
      </c>
      <c r="BJ83">
        <v>106.4</v>
      </c>
      <c r="BK83">
        <v>105.4</v>
      </c>
      <c r="BL83">
        <v>106.6</v>
      </c>
      <c r="BM83">
        <v>112.2</v>
      </c>
      <c r="BN83">
        <v>80.599999999999994</v>
      </c>
      <c r="BZ83">
        <v>80</v>
      </c>
      <c r="CA83">
        <v>-270.39999999999998</v>
      </c>
      <c r="CB83">
        <v>-285.60000000000002</v>
      </c>
      <c r="CC83">
        <v>-259.10000000000002</v>
      </c>
      <c r="CD83">
        <v>-396.6</v>
      </c>
      <c r="CE83">
        <v>-305.7</v>
      </c>
      <c r="CG83">
        <v>80</v>
      </c>
      <c r="CH83">
        <v>114.8</v>
      </c>
      <c r="CI83">
        <v>77.7</v>
      </c>
      <c r="CJ83">
        <v>57.5</v>
      </c>
      <c r="CK83">
        <v>101.8</v>
      </c>
      <c r="CL83">
        <v>74.5</v>
      </c>
    </row>
    <row r="84" spans="1:90" x14ac:dyDescent="0.35">
      <c r="A84">
        <v>81</v>
      </c>
      <c r="B84">
        <v>-179.6</v>
      </c>
      <c r="C84">
        <v>-170.4</v>
      </c>
      <c r="D84">
        <v>-72.900000000000006</v>
      </c>
      <c r="E84">
        <v>-272.60000000000002</v>
      </c>
      <c r="F84">
        <v>-215.3</v>
      </c>
      <c r="H84">
        <v>81</v>
      </c>
      <c r="I84">
        <v>26</v>
      </c>
      <c r="J84">
        <v>26.9</v>
      </c>
      <c r="K84">
        <v>30.4</v>
      </c>
      <c r="L84">
        <v>27.4</v>
      </c>
      <c r="M84">
        <v>34.299999999999997</v>
      </c>
      <c r="AB84">
        <v>81</v>
      </c>
      <c r="AC84">
        <v>-104</v>
      </c>
      <c r="AD84">
        <v>-172.2</v>
      </c>
      <c r="AE84">
        <v>-144.4</v>
      </c>
      <c r="AF84">
        <v>-141.1</v>
      </c>
      <c r="AG84">
        <v>-132.6</v>
      </c>
      <c r="AI84">
        <v>81</v>
      </c>
      <c r="AJ84">
        <v>104.1</v>
      </c>
      <c r="AK84">
        <v>143.6</v>
      </c>
      <c r="AL84">
        <v>436.9</v>
      </c>
      <c r="AM84">
        <v>421.2</v>
      </c>
      <c r="AN84">
        <v>650.6</v>
      </c>
      <c r="BB84">
        <v>81</v>
      </c>
      <c r="BC84">
        <v>-230.3</v>
      </c>
      <c r="BD84">
        <v>-212.2</v>
      </c>
      <c r="BE84">
        <v>-269.10000000000002</v>
      </c>
      <c r="BF84">
        <v>-193.9</v>
      </c>
      <c r="BG84">
        <v>-263</v>
      </c>
      <c r="BI84">
        <v>81</v>
      </c>
      <c r="BJ84">
        <v>105.8</v>
      </c>
      <c r="BK84">
        <v>104.6</v>
      </c>
      <c r="BL84">
        <v>106.2</v>
      </c>
      <c r="BM84">
        <v>112.1</v>
      </c>
      <c r="BN84">
        <v>80.599999999999994</v>
      </c>
      <c r="BZ84">
        <v>81</v>
      </c>
      <c r="CA84">
        <v>-267.10000000000002</v>
      </c>
      <c r="CB84">
        <v>-281</v>
      </c>
      <c r="CC84">
        <v>-258.10000000000002</v>
      </c>
      <c r="CD84">
        <v>-394.9</v>
      </c>
      <c r="CE84">
        <v>-304.8</v>
      </c>
      <c r="CG84">
        <v>81</v>
      </c>
      <c r="CH84">
        <v>110.5</v>
      </c>
      <c r="CI84">
        <v>75.400000000000006</v>
      </c>
      <c r="CJ84">
        <v>57.3</v>
      </c>
      <c r="CK84">
        <v>88.5</v>
      </c>
      <c r="CL84">
        <v>74.2</v>
      </c>
    </row>
    <row r="85" spans="1:90" x14ac:dyDescent="0.35">
      <c r="A85">
        <v>82</v>
      </c>
      <c r="B85">
        <v>-178.7</v>
      </c>
      <c r="C85">
        <v>-171.8</v>
      </c>
      <c r="D85">
        <v>-72.8</v>
      </c>
      <c r="E85">
        <v>-264.7</v>
      </c>
      <c r="F85">
        <v>-212.4</v>
      </c>
      <c r="H85">
        <v>82</v>
      </c>
      <c r="I85">
        <v>25.1</v>
      </c>
      <c r="J85">
        <v>26.9</v>
      </c>
      <c r="K85">
        <v>30.5</v>
      </c>
      <c r="L85">
        <v>27.4</v>
      </c>
      <c r="M85">
        <v>33.799999999999997</v>
      </c>
      <c r="AB85">
        <v>82</v>
      </c>
      <c r="AC85">
        <v>-103.6</v>
      </c>
      <c r="AD85">
        <v>-171</v>
      </c>
      <c r="AE85">
        <v>-143.69999999999999</v>
      </c>
      <c r="AF85">
        <v>-141.4</v>
      </c>
      <c r="AG85">
        <v>-132.30000000000001</v>
      </c>
      <c r="AI85">
        <v>82</v>
      </c>
      <c r="AJ85">
        <v>99.1</v>
      </c>
      <c r="AK85">
        <v>124.7</v>
      </c>
      <c r="AL85">
        <v>365.5</v>
      </c>
      <c r="AM85">
        <v>276.8</v>
      </c>
      <c r="AN85">
        <v>657.7</v>
      </c>
      <c r="BB85">
        <v>82</v>
      </c>
      <c r="BC85">
        <v>-230</v>
      </c>
      <c r="BD85">
        <v>-212.9</v>
      </c>
      <c r="BE85">
        <v>-265.89999999999998</v>
      </c>
      <c r="BF85">
        <v>-190.9</v>
      </c>
      <c r="BG85">
        <v>-262.39999999999998</v>
      </c>
      <c r="BI85">
        <v>82</v>
      </c>
      <c r="BJ85">
        <v>105.3</v>
      </c>
      <c r="BK85">
        <v>103.8</v>
      </c>
      <c r="BL85">
        <v>105.9</v>
      </c>
      <c r="BM85">
        <v>112</v>
      </c>
      <c r="BN85">
        <v>80.599999999999994</v>
      </c>
      <c r="BZ85">
        <v>82</v>
      </c>
      <c r="CA85">
        <v>-263.89999999999998</v>
      </c>
      <c r="CB85">
        <v>-276.7</v>
      </c>
      <c r="CC85">
        <v>-257.10000000000002</v>
      </c>
      <c r="CD85">
        <v>-392.7</v>
      </c>
      <c r="CE85">
        <v>-302.7</v>
      </c>
      <c r="CG85">
        <v>82</v>
      </c>
      <c r="CH85">
        <v>107.3</v>
      </c>
      <c r="CI85">
        <v>73.7</v>
      </c>
      <c r="CJ85">
        <v>57.1</v>
      </c>
      <c r="CK85">
        <v>78.900000000000006</v>
      </c>
      <c r="CL85">
        <v>73.900000000000006</v>
      </c>
    </row>
    <row r="86" spans="1:90" x14ac:dyDescent="0.35">
      <c r="A86">
        <v>83</v>
      </c>
      <c r="B86">
        <v>-178.3</v>
      </c>
      <c r="C86">
        <v>-173.4</v>
      </c>
      <c r="D86">
        <v>-72.400000000000006</v>
      </c>
      <c r="E86">
        <v>-255.7</v>
      </c>
      <c r="F86">
        <v>-209.9</v>
      </c>
      <c r="H86">
        <v>83</v>
      </c>
      <c r="I86">
        <v>24.4</v>
      </c>
      <c r="J86">
        <v>27</v>
      </c>
      <c r="K86">
        <v>30.5</v>
      </c>
      <c r="L86">
        <v>27.4</v>
      </c>
      <c r="M86">
        <v>33.5</v>
      </c>
      <c r="AB86">
        <v>83</v>
      </c>
      <c r="AC86">
        <v>-103.2</v>
      </c>
      <c r="AD86">
        <v>-169.7</v>
      </c>
      <c r="AE86">
        <v>-143</v>
      </c>
      <c r="AF86">
        <v>-141.4</v>
      </c>
      <c r="AG86">
        <v>-132</v>
      </c>
      <c r="AI86">
        <v>83</v>
      </c>
      <c r="AJ86">
        <v>94.6</v>
      </c>
      <c r="AK86">
        <v>108.4</v>
      </c>
      <c r="AL86">
        <v>260.8</v>
      </c>
      <c r="AM86">
        <v>182.5</v>
      </c>
      <c r="AN86">
        <v>665.8</v>
      </c>
      <c r="BB86">
        <v>83</v>
      </c>
      <c r="BC86">
        <v>-229.5</v>
      </c>
      <c r="BD86">
        <v>-213.6</v>
      </c>
      <c r="BE86">
        <v>-260.60000000000002</v>
      </c>
      <c r="BF86">
        <v>-187.6</v>
      </c>
      <c r="BG86">
        <v>-262.39999999999998</v>
      </c>
      <c r="BI86">
        <v>83</v>
      </c>
      <c r="BJ86">
        <v>104.8</v>
      </c>
      <c r="BK86">
        <v>102.9</v>
      </c>
      <c r="BL86">
        <v>105.6</v>
      </c>
      <c r="BM86">
        <v>111.9</v>
      </c>
      <c r="BN86">
        <v>80.7</v>
      </c>
      <c r="BZ86">
        <v>83</v>
      </c>
      <c r="CA86">
        <v>-260.8</v>
      </c>
      <c r="CB86">
        <v>-273.10000000000002</v>
      </c>
      <c r="CC86">
        <v>-255.9</v>
      </c>
      <c r="CD86">
        <v>-388.6</v>
      </c>
      <c r="CE86">
        <v>-299.39999999999998</v>
      </c>
      <c r="CG86">
        <v>83</v>
      </c>
      <c r="CH86">
        <v>104.8</v>
      </c>
      <c r="CI86">
        <v>72.3</v>
      </c>
      <c r="CJ86">
        <v>57.1</v>
      </c>
      <c r="CK86">
        <v>72.099999999999994</v>
      </c>
      <c r="CL86">
        <v>73.599999999999994</v>
      </c>
    </row>
    <row r="87" spans="1:90" x14ac:dyDescent="0.35">
      <c r="A87">
        <v>84</v>
      </c>
      <c r="B87">
        <v>-178.3</v>
      </c>
      <c r="C87">
        <v>-175.5</v>
      </c>
      <c r="D87">
        <v>-71.599999999999994</v>
      </c>
      <c r="E87">
        <v>-245.2</v>
      </c>
      <c r="F87">
        <v>-207.7</v>
      </c>
      <c r="H87">
        <v>84</v>
      </c>
      <c r="I87">
        <v>23.9</v>
      </c>
      <c r="J87">
        <v>27.1</v>
      </c>
      <c r="K87">
        <v>30.6</v>
      </c>
      <c r="L87">
        <v>27.5</v>
      </c>
      <c r="M87">
        <v>33.1</v>
      </c>
      <c r="AB87">
        <v>84</v>
      </c>
      <c r="AC87">
        <v>-102.8</v>
      </c>
      <c r="AD87">
        <v>-168.5</v>
      </c>
      <c r="AE87">
        <v>-142.4</v>
      </c>
      <c r="AF87">
        <v>-141</v>
      </c>
      <c r="AG87">
        <v>-131.9</v>
      </c>
      <c r="AI87">
        <v>84</v>
      </c>
      <c r="AJ87">
        <v>91.1</v>
      </c>
      <c r="AK87">
        <v>93.8</v>
      </c>
      <c r="AL87">
        <v>162.5</v>
      </c>
      <c r="AM87">
        <v>129.4</v>
      </c>
      <c r="AN87">
        <v>675.2</v>
      </c>
      <c r="BB87">
        <v>84</v>
      </c>
      <c r="BC87">
        <v>-228.7</v>
      </c>
      <c r="BD87">
        <v>-214.5</v>
      </c>
      <c r="BE87">
        <v>-253</v>
      </c>
      <c r="BF87">
        <v>-184.5</v>
      </c>
      <c r="BG87">
        <v>-262.5</v>
      </c>
      <c r="BI87">
        <v>84</v>
      </c>
      <c r="BJ87">
        <v>104.4</v>
      </c>
      <c r="BK87">
        <v>101.9</v>
      </c>
      <c r="BL87">
        <v>105.3</v>
      </c>
      <c r="BM87">
        <v>111.7</v>
      </c>
      <c r="BN87">
        <v>80.7</v>
      </c>
      <c r="BZ87">
        <v>84</v>
      </c>
      <c r="CA87">
        <v>-258.60000000000002</v>
      </c>
      <c r="CB87">
        <v>-270.5</v>
      </c>
      <c r="CC87">
        <v>-254.1</v>
      </c>
      <c r="CD87">
        <v>-383.4</v>
      </c>
      <c r="CE87">
        <v>-297.3</v>
      </c>
      <c r="CG87">
        <v>84</v>
      </c>
      <c r="CH87">
        <v>102.8</v>
      </c>
      <c r="CI87">
        <v>71.3</v>
      </c>
      <c r="CJ87">
        <v>57</v>
      </c>
      <c r="CK87">
        <v>68.099999999999994</v>
      </c>
      <c r="CL87">
        <v>73.400000000000006</v>
      </c>
    </row>
    <row r="88" spans="1:90" x14ac:dyDescent="0.35">
      <c r="A88">
        <v>85</v>
      </c>
      <c r="B88">
        <v>-178.2</v>
      </c>
      <c r="C88">
        <v>-178.1</v>
      </c>
      <c r="D88">
        <v>-70.5</v>
      </c>
      <c r="E88">
        <v>-234</v>
      </c>
      <c r="F88">
        <v>-205.5</v>
      </c>
      <c r="H88">
        <v>85</v>
      </c>
      <c r="I88">
        <v>23.7</v>
      </c>
      <c r="J88">
        <v>27.1</v>
      </c>
      <c r="K88">
        <v>30.6</v>
      </c>
      <c r="L88">
        <v>27.5</v>
      </c>
      <c r="M88">
        <v>32.9</v>
      </c>
      <c r="AB88">
        <v>85</v>
      </c>
      <c r="AC88">
        <v>-102.4</v>
      </c>
      <c r="AD88">
        <v>-167.7</v>
      </c>
      <c r="AE88">
        <v>-142</v>
      </c>
      <c r="AF88">
        <v>-140.4</v>
      </c>
      <c r="AG88">
        <v>-131.69999999999999</v>
      </c>
      <c r="AI88">
        <v>85</v>
      </c>
      <c r="AJ88">
        <v>88.6</v>
      </c>
      <c r="AK88">
        <v>79</v>
      </c>
      <c r="AL88">
        <v>109.3</v>
      </c>
      <c r="AM88">
        <v>100.2</v>
      </c>
      <c r="AN88">
        <v>677.5</v>
      </c>
      <c r="BB88">
        <v>85</v>
      </c>
      <c r="BC88">
        <v>-228</v>
      </c>
      <c r="BD88">
        <v>-215.1</v>
      </c>
      <c r="BE88">
        <v>-243.4</v>
      </c>
      <c r="BF88">
        <v>-181.9</v>
      </c>
      <c r="BG88">
        <v>-262.3</v>
      </c>
      <c r="BI88">
        <v>85</v>
      </c>
      <c r="BJ88">
        <v>104</v>
      </c>
      <c r="BK88">
        <v>101.2</v>
      </c>
      <c r="BL88">
        <v>105.1</v>
      </c>
      <c r="BM88">
        <v>111.6</v>
      </c>
      <c r="BN88">
        <v>80.8</v>
      </c>
      <c r="BZ88">
        <v>85</v>
      </c>
      <c r="CA88">
        <v>-257</v>
      </c>
      <c r="CB88">
        <v>-268.8</v>
      </c>
      <c r="CC88">
        <v>-252</v>
      </c>
      <c r="CD88">
        <v>-378.1</v>
      </c>
      <c r="CE88">
        <v>-296.7</v>
      </c>
      <c r="CG88">
        <v>85</v>
      </c>
      <c r="CH88">
        <v>101.3</v>
      </c>
      <c r="CI88">
        <v>70.400000000000006</v>
      </c>
      <c r="CJ88">
        <v>56.9</v>
      </c>
      <c r="CK88">
        <v>65.8</v>
      </c>
      <c r="CL88">
        <v>73.2</v>
      </c>
    </row>
    <row r="89" spans="1:90" x14ac:dyDescent="0.35">
      <c r="A89">
        <v>86</v>
      </c>
      <c r="B89">
        <v>-177.9</v>
      </c>
      <c r="C89">
        <v>-180.2</v>
      </c>
      <c r="D89">
        <v>-69.400000000000006</v>
      </c>
      <c r="E89">
        <v>-222.2</v>
      </c>
      <c r="F89">
        <v>-202.9</v>
      </c>
      <c r="H89">
        <v>86</v>
      </c>
      <c r="I89">
        <v>23.6</v>
      </c>
      <c r="J89">
        <v>27.2</v>
      </c>
      <c r="K89">
        <v>30.7</v>
      </c>
      <c r="L89">
        <v>27.6</v>
      </c>
      <c r="M89">
        <v>32.700000000000003</v>
      </c>
      <c r="AB89">
        <v>86</v>
      </c>
      <c r="AC89">
        <v>-101.9</v>
      </c>
      <c r="AD89">
        <v>-167.5</v>
      </c>
      <c r="AE89">
        <v>-141.4</v>
      </c>
      <c r="AF89">
        <v>-139.4</v>
      </c>
      <c r="AG89">
        <v>-131.6</v>
      </c>
      <c r="AI89">
        <v>86</v>
      </c>
      <c r="AJ89">
        <v>86.8</v>
      </c>
      <c r="AK89">
        <v>66.5</v>
      </c>
      <c r="AL89">
        <v>84</v>
      </c>
      <c r="AM89">
        <v>84</v>
      </c>
      <c r="AN89">
        <v>681.8</v>
      </c>
      <c r="BB89">
        <v>86</v>
      </c>
      <c r="BC89">
        <v>-227.2</v>
      </c>
      <c r="BD89">
        <v>-215.4</v>
      </c>
      <c r="BE89">
        <v>-235.3</v>
      </c>
      <c r="BF89">
        <v>-179.5</v>
      </c>
      <c r="BG89">
        <v>-261.60000000000002</v>
      </c>
      <c r="BI89">
        <v>86</v>
      </c>
      <c r="BJ89">
        <v>103.7</v>
      </c>
      <c r="BK89">
        <v>100.7</v>
      </c>
      <c r="BL89">
        <v>104.9</v>
      </c>
      <c r="BM89">
        <v>111.5</v>
      </c>
      <c r="BN89">
        <v>80.8</v>
      </c>
      <c r="BZ89">
        <v>86</v>
      </c>
      <c r="CA89">
        <v>-255.4</v>
      </c>
      <c r="CB89">
        <v>-267</v>
      </c>
      <c r="CC89">
        <v>-250.2</v>
      </c>
      <c r="CD89">
        <v>-373.3</v>
      </c>
      <c r="CE89">
        <v>-295.60000000000002</v>
      </c>
      <c r="CG89">
        <v>86</v>
      </c>
      <c r="CH89">
        <v>100</v>
      </c>
      <c r="CI89">
        <v>69.7</v>
      </c>
      <c r="CJ89">
        <v>56.9</v>
      </c>
      <c r="CK89">
        <v>63.8</v>
      </c>
      <c r="CL89">
        <v>73</v>
      </c>
    </row>
    <row r="90" spans="1:90" x14ac:dyDescent="0.35">
      <c r="A90">
        <v>87</v>
      </c>
      <c r="B90">
        <v>-177.7</v>
      </c>
      <c r="C90">
        <v>-180.9</v>
      </c>
      <c r="D90">
        <v>-68.3</v>
      </c>
      <c r="E90">
        <v>-210.2</v>
      </c>
      <c r="F90">
        <v>-199.9</v>
      </c>
      <c r="H90">
        <v>87</v>
      </c>
      <c r="I90">
        <v>23.6</v>
      </c>
      <c r="J90">
        <v>27.3</v>
      </c>
      <c r="K90">
        <v>30.7</v>
      </c>
      <c r="L90">
        <v>27.7</v>
      </c>
      <c r="M90">
        <v>32.5</v>
      </c>
      <c r="AB90">
        <v>87</v>
      </c>
      <c r="AC90">
        <v>-101.3</v>
      </c>
      <c r="AD90">
        <v>-167.5</v>
      </c>
      <c r="AE90">
        <v>-140.80000000000001</v>
      </c>
      <c r="AF90">
        <v>-138.5</v>
      </c>
      <c r="AG90">
        <v>-131.5</v>
      </c>
      <c r="AI90">
        <v>87</v>
      </c>
      <c r="AJ90">
        <v>85.4</v>
      </c>
      <c r="AK90">
        <v>59.7</v>
      </c>
      <c r="AL90">
        <v>70.599999999999994</v>
      </c>
      <c r="AM90">
        <v>74.7</v>
      </c>
      <c r="AN90">
        <v>691.6</v>
      </c>
      <c r="BB90">
        <v>87</v>
      </c>
      <c r="BC90">
        <v>-226.4</v>
      </c>
      <c r="BD90">
        <v>-215.6</v>
      </c>
      <c r="BE90">
        <v>-231</v>
      </c>
      <c r="BF90">
        <v>-177.2</v>
      </c>
      <c r="BG90">
        <v>-260.3</v>
      </c>
      <c r="BI90">
        <v>87</v>
      </c>
      <c r="BJ90">
        <v>103.4</v>
      </c>
      <c r="BK90">
        <v>100.2</v>
      </c>
      <c r="BL90">
        <v>104.6</v>
      </c>
      <c r="BM90">
        <v>111.5</v>
      </c>
      <c r="BN90">
        <v>80.900000000000006</v>
      </c>
      <c r="BZ90">
        <v>87</v>
      </c>
      <c r="CA90">
        <v>-252.8</v>
      </c>
      <c r="CB90">
        <v>-265</v>
      </c>
      <c r="CC90">
        <v>-248.8</v>
      </c>
      <c r="CD90">
        <v>-369.1</v>
      </c>
      <c r="CE90">
        <v>-293.60000000000002</v>
      </c>
      <c r="CG90">
        <v>87</v>
      </c>
      <c r="CH90">
        <v>98.9</v>
      </c>
      <c r="CI90">
        <v>69.099999999999994</v>
      </c>
      <c r="CJ90">
        <v>56.9</v>
      </c>
      <c r="CK90">
        <v>61.8</v>
      </c>
      <c r="CL90">
        <v>72.8</v>
      </c>
    </row>
    <row r="91" spans="1:90" x14ac:dyDescent="0.35">
      <c r="A91">
        <v>88</v>
      </c>
      <c r="B91">
        <v>-177.6</v>
      </c>
      <c r="C91">
        <v>-179.9</v>
      </c>
      <c r="D91">
        <v>-67</v>
      </c>
      <c r="E91">
        <v>-199.2</v>
      </c>
      <c r="F91">
        <v>-196</v>
      </c>
      <c r="H91">
        <v>88</v>
      </c>
      <c r="I91">
        <v>23.5</v>
      </c>
      <c r="J91">
        <v>27.4</v>
      </c>
      <c r="K91">
        <v>30.7</v>
      </c>
      <c r="L91">
        <v>27.7</v>
      </c>
      <c r="M91">
        <v>32.4</v>
      </c>
      <c r="AB91">
        <v>88</v>
      </c>
      <c r="AC91">
        <v>-100.8</v>
      </c>
      <c r="AD91">
        <v>-167.4</v>
      </c>
      <c r="AE91">
        <v>-140.1</v>
      </c>
      <c r="AF91">
        <v>-138</v>
      </c>
      <c r="AG91">
        <v>-131</v>
      </c>
      <c r="AI91">
        <v>88</v>
      </c>
      <c r="AJ91">
        <v>84.4</v>
      </c>
      <c r="AK91">
        <v>57.1</v>
      </c>
      <c r="AL91">
        <v>65</v>
      </c>
      <c r="AM91">
        <v>70.2</v>
      </c>
      <c r="AN91">
        <v>705.1</v>
      </c>
      <c r="BB91">
        <v>88</v>
      </c>
      <c r="BC91">
        <v>-225.3</v>
      </c>
      <c r="BD91">
        <v>-215.5</v>
      </c>
      <c r="BE91">
        <v>-227.8</v>
      </c>
      <c r="BF91">
        <v>-175.2</v>
      </c>
      <c r="BG91">
        <v>-258.8</v>
      </c>
      <c r="BI91">
        <v>88</v>
      </c>
      <c r="BJ91">
        <v>103.2</v>
      </c>
      <c r="BK91">
        <v>99.7</v>
      </c>
      <c r="BL91">
        <v>103</v>
      </c>
      <c r="BM91">
        <v>111.4</v>
      </c>
      <c r="BN91">
        <v>81</v>
      </c>
      <c r="BZ91">
        <v>88</v>
      </c>
      <c r="CA91">
        <v>-249.5</v>
      </c>
      <c r="CB91">
        <v>-263.10000000000002</v>
      </c>
      <c r="CC91">
        <v>-247.6</v>
      </c>
      <c r="CD91">
        <v>-365.3</v>
      </c>
      <c r="CE91">
        <v>-291.5</v>
      </c>
      <c r="CG91">
        <v>88</v>
      </c>
      <c r="CH91">
        <v>97.9</v>
      </c>
      <c r="CI91">
        <v>68.599999999999994</v>
      </c>
      <c r="CJ91">
        <v>56.8</v>
      </c>
      <c r="CK91">
        <v>60</v>
      </c>
      <c r="CL91">
        <v>72.7</v>
      </c>
    </row>
    <row r="92" spans="1:90" x14ac:dyDescent="0.35">
      <c r="A92">
        <v>89</v>
      </c>
      <c r="B92">
        <v>-177.3</v>
      </c>
      <c r="C92">
        <v>-178</v>
      </c>
      <c r="D92">
        <v>-65.8</v>
      </c>
      <c r="E92">
        <v>-188.4</v>
      </c>
      <c r="F92">
        <v>-191.9</v>
      </c>
      <c r="H92">
        <v>89</v>
      </c>
      <c r="I92">
        <v>23.5</v>
      </c>
      <c r="J92">
        <v>27.6</v>
      </c>
      <c r="K92">
        <v>30.8</v>
      </c>
      <c r="L92">
        <v>27.8</v>
      </c>
      <c r="M92">
        <v>32.200000000000003</v>
      </c>
      <c r="AB92">
        <v>89</v>
      </c>
      <c r="AC92">
        <v>-100.4</v>
      </c>
      <c r="AD92">
        <v>-167.5</v>
      </c>
      <c r="AE92">
        <v>-139.30000000000001</v>
      </c>
      <c r="AF92">
        <v>-137.5</v>
      </c>
      <c r="AG92">
        <v>-130.30000000000001</v>
      </c>
      <c r="AI92">
        <v>89</v>
      </c>
      <c r="AJ92">
        <v>83.6</v>
      </c>
      <c r="AK92">
        <v>55.5</v>
      </c>
      <c r="AL92">
        <v>63.2</v>
      </c>
      <c r="AM92">
        <v>68.7</v>
      </c>
      <c r="AN92">
        <v>723.4</v>
      </c>
      <c r="BB92">
        <v>89</v>
      </c>
      <c r="BC92">
        <v>-223.6</v>
      </c>
      <c r="BD92">
        <v>-214.9</v>
      </c>
      <c r="BE92">
        <v>-224.6</v>
      </c>
      <c r="BF92">
        <v>-173.5</v>
      </c>
      <c r="BG92">
        <v>-257.3</v>
      </c>
      <c r="BI92">
        <v>89</v>
      </c>
      <c r="BJ92">
        <v>103</v>
      </c>
      <c r="BK92">
        <v>99.3</v>
      </c>
      <c r="BL92">
        <v>80.2</v>
      </c>
      <c r="BM92">
        <v>111.3</v>
      </c>
      <c r="BN92">
        <v>81.099999999999994</v>
      </c>
      <c r="BZ92">
        <v>89</v>
      </c>
      <c r="CA92">
        <v>-247</v>
      </c>
      <c r="CB92">
        <v>-261.39999999999998</v>
      </c>
      <c r="CC92">
        <v>-246.3</v>
      </c>
      <c r="CD92">
        <v>-361.8</v>
      </c>
      <c r="CE92">
        <v>-289.7</v>
      </c>
      <c r="CG92">
        <v>89</v>
      </c>
      <c r="CH92">
        <v>97.2</v>
      </c>
      <c r="CI92">
        <v>68.099999999999994</v>
      </c>
      <c r="CJ92">
        <v>56.8</v>
      </c>
      <c r="CK92">
        <v>58.4</v>
      </c>
      <c r="CL92">
        <v>72.599999999999994</v>
      </c>
    </row>
    <row r="93" spans="1:90" x14ac:dyDescent="0.35">
      <c r="A93">
        <v>90</v>
      </c>
      <c r="B93">
        <v>-177.1</v>
      </c>
      <c r="C93">
        <v>-176.5</v>
      </c>
      <c r="D93">
        <v>-64.900000000000006</v>
      </c>
      <c r="E93">
        <v>-176.4</v>
      </c>
      <c r="F93">
        <v>-188.3</v>
      </c>
      <c r="H93">
        <v>90</v>
      </c>
      <c r="I93">
        <v>23.5</v>
      </c>
      <c r="J93">
        <v>27.8</v>
      </c>
      <c r="K93">
        <v>30.9</v>
      </c>
      <c r="L93">
        <v>27.8</v>
      </c>
      <c r="M93">
        <v>32.200000000000003</v>
      </c>
      <c r="AB93">
        <v>90</v>
      </c>
      <c r="AC93">
        <v>-100.2</v>
      </c>
      <c r="AD93">
        <v>-167.3</v>
      </c>
      <c r="AE93">
        <v>-138.6</v>
      </c>
      <c r="AF93">
        <v>-137</v>
      </c>
      <c r="AG93">
        <v>-129.19999999999999</v>
      </c>
      <c r="AI93">
        <v>90</v>
      </c>
      <c r="AJ93">
        <v>82.9</v>
      </c>
      <c r="AK93">
        <v>54.4</v>
      </c>
      <c r="AL93">
        <v>62</v>
      </c>
      <c r="AM93">
        <v>67.8</v>
      </c>
      <c r="AN93">
        <v>711.9</v>
      </c>
      <c r="BB93">
        <v>90</v>
      </c>
      <c r="BC93">
        <v>-221.9</v>
      </c>
      <c r="BD93">
        <v>-214</v>
      </c>
      <c r="BE93">
        <v>-220.4</v>
      </c>
      <c r="BF93">
        <v>-171.8</v>
      </c>
      <c r="BG93">
        <v>-254.9</v>
      </c>
      <c r="BI93">
        <v>90</v>
      </c>
      <c r="BJ93">
        <v>102.8</v>
      </c>
      <c r="BK93">
        <v>99</v>
      </c>
      <c r="BL93">
        <v>51.8</v>
      </c>
      <c r="BM93">
        <v>111.3</v>
      </c>
      <c r="BN93">
        <v>81.099999999999994</v>
      </c>
      <c r="BZ93">
        <v>90</v>
      </c>
      <c r="CA93">
        <v>-245.3</v>
      </c>
      <c r="CB93">
        <v>-259.8</v>
      </c>
      <c r="CC93">
        <v>-244.9</v>
      </c>
      <c r="CD93">
        <v>-358.6</v>
      </c>
      <c r="CE93">
        <v>-288</v>
      </c>
      <c r="CG93">
        <v>90</v>
      </c>
      <c r="CH93">
        <v>96.5</v>
      </c>
      <c r="CI93">
        <v>67.7</v>
      </c>
      <c r="CJ93">
        <v>56.9</v>
      </c>
      <c r="CK93">
        <v>57</v>
      </c>
      <c r="CL93">
        <v>72.5</v>
      </c>
    </row>
    <row r="94" spans="1:90" x14ac:dyDescent="0.35">
      <c r="A94">
        <v>91</v>
      </c>
      <c r="B94">
        <v>-177</v>
      </c>
      <c r="C94">
        <v>-175.7</v>
      </c>
      <c r="D94">
        <v>-64.099999999999994</v>
      </c>
      <c r="E94">
        <v>-163.4</v>
      </c>
      <c r="F94">
        <v>-184.4</v>
      </c>
      <c r="H94">
        <v>91</v>
      </c>
      <c r="I94">
        <v>23.4</v>
      </c>
      <c r="J94">
        <v>27.9</v>
      </c>
      <c r="K94">
        <v>31.1</v>
      </c>
      <c r="L94">
        <v>27.9</v>
      </c>
      <c r="M94">
        <v>32.1</v>
      </c>
      <c r="AB94">
        <v>91</v>
      </c>
      <c r="AC94">
        <v>-99.7</v>
      </c>
      <c r="AD94">
        <v>-167.1</v>
      </c>
      <c r="AE94">
        <v>-137.80000000000001</v>
      </c>
      <c r="AF94">
        <v>-136.5</v>
      </c>
      <c r="AG94">
        <v>-128</v>
      </c>
      <c r="AI94">
        <v>91</v>
      </c>
      <c r="AJ94">
        <v>82.4</v>
      </c>
      <c r="AK94">
        <v>53.5</v>
      </c>
      <c r="AL94">
        <v>61</v>
      </c>
      <c r="AM94">
        <v>67</v>
      </c>
      <c r="AN94">
        <v>664.6</v>
      </c>
      <c r="BB94">
        <v>91</v>
      </c>
      <c r="BC94">
        <v>-220.2</v>
      </c>
      <c r="BD94">
        <v>-213</v>
      </c>
      <c r="BE94">
        <v>-215.1</v>
      </c>
      <c r="BF94">
        <v>-170.1</v>
      </c>
      <c r="BG94">
        <v>-251.7</v>
      </c>
      <c r="BI94">
        <v>91</v>
      </c>
      <c r="BJ94">
        <v>102.7</v>
      </c>
      <c r="BK94">
        <v>98.8</v>
      </c>
      <c r="BL94">
        <v>49.7</v>
      </c>
      <c r="BM94">
        <v>111.2</v>
      </c>
      <c r="BN94">
        <v>81.2</v>
      </c>
      <c r="BZ94">
        <v>91</v>
      </c>
      <c r="CA94">
        <v>-243.9</v>
      </c>
      <c r="CB94">
        <v>-257.89999999999998</v>
      </c>
      <c r="CC94">
        <v>-243.8</v>
      </c>
      <c r="CD94">
        <v>-355.1</v>
      </c>
      <c r="CE94">
        <v>-286.7</v>
      </c>
      <c r="CG94">
        <v>91</v>
      </c>
      <c r="CH94">
        <v>95.9</v>
      </c>
      <c r="CI94">
        <v>67.3</v>
      </c>
      <c r="CJ94">
        <v>56.8</v>
      </c>
      <c r="CK94">
        <v>55.9</v>
      </c>
      <c r="CL94">
        <v>72.400000000000006</v>
      </c>
    </row>
    <row r="95" spans="1:90" x14ac:dyDescent="0.35">
      <c r="A95">
        <v>92</v>
      </c>
      <c r="B95">
        <v>-177</v>
      </c>
      <c r="C95">
        <v>-175.2</v>
      </c>
      <c r="D95">
        <v>-63.5</v>
      </c>
      <c r="E95">
        <v>-149</v>
      </c>
      <c r="F95">
        <v>-179</v>
      </c>
      <c r="H95">
        <v>92</v>
      </c>
      <c r="I95">
        <v>23.4</v>
      </c>
      <c r="J95">
        <v>27.9</v>
      </c>
      <c r="K95">
        <v>31.3</v>
      </c>
      <c r="L95">
        <v>28</v>
      </c>
      <c r="M95">
        <v>32.200000000000003</v>
      </c>
      <c r="AB95">
        <v>92</v>
      </c>
      <c r="AC95">
        <v>-99.2</v>
      </c>
      <c r="AD95">
        <v>-166.8</v>
      </c>
      <c r="AE95">
        <v>-137.1</v>
      </c>
      <c r="AF95">
        <v>-136.19999999999999</v>
      </c>
      <c r="AG95">
        <v>-126.8</v>
      </c>
      <c r="AI95">
        <v>92</v>
      </c>
      <c r="AJ95">
        <v>81.900000000000006</v>
      </c>
      <c r="AK95">
        <v>52.8</v>
      </c>
      <c r="AL95">
        <v>60.1</v>
      </c>
      <c r="AM95">
        <v>66.400000000000006</v>
      </c>
      <c r="AN95">
        <v>612.70000000000005</v>
      </c>
      <c r="BB95">
        <v>92</v>
      </c>
      <c r="BC95">
        <v>-218.6</v>
      </c>
      <c r="BD95">
        <v>-212.3</v>
      </c>
      <c r="BE95">
        <v>-208.6</v>
      </c>
      <c r="BF95">
        <v>-168.3</v>
      </c>
      <c r="BG95">
        <v>-249.2</v>
      </c>
      <c r="BI95">
        <v>92</v>
      </c>
      <c r="BJ95">
        <v>102.6</v>
      </c>
      <c r="BK95">
        <v>98.6</v>
      </c>
      <c r="BL95">
        <v>50.7</v>
      </c>
      <c r="BM95">
        <v>111.1</v>
      </c>
      <c r="BN95">
        <v>81.2</v>
      </c>
      <c r="BZ95">
        <v>92</v>
      </c>
      <c r="CA95">
        <v>-242.3</v>
      </c>
      <c r="CB95">
        <v>-255.5</v>
      </c>
      <c r="CC95">
        <v>-242.9</v>
      </c>
      <c r="CD95">
        <v>-351.4</v>
      </c>
      <c r="CE95">
        <v>-285.8</v>
      </c>
      <c r="CG95">
        <v>92</v>
      </c>
      <c r="CH95">
        <v>95.3</v>
      </c>
      <c r="CI95">
        <v>67</v>
      </c>
      <c r="CJ95">
        <v>56.8</v>
      </c>
      <c r="CK95">
        <v>55.1</v>
      </c>
      <c r="CL95">
        <v>72.3</v>
      </c>
    </row>
    <row r="96" spans="1:90" x14ac:dyDescent="0.35">
      <c r="A96">
        <v>93</v>
      </c>
      <c r="B96">
        <v>-177.4</v>
      </c>
      <c r="C96">
        <v>-174.7</v>
      </c>
      <c r="D96">
        <v>-63</v>
      </c>
      <c r="E96">
        <v>-132</v>
      </c>
      <c r="F96">
        <v>-169.7</v>
      </c>
      <c r="H96">
        <v>93</v>
      </c>
      <c r="I96">
        <v>23.4</v>
      </c>
      <c r="J96">
        <v>27.9</v>
      </c>
      <c r="K96">
        <v>31.5</v>
      </c>
      <c r="L96">
        <v>28.1</v>
      </c>
      <c r="M96">
        <v>32.5</v>
      </c>
      <c r="AB96">
        <v>93</v>
      </c>
      <c r="AC96">
        <v>-98.5</v>
      </c>
      <c r="AD96">
        <v>-166.8</v>
      </c>
      <c r="AE96">
        <v>-136.30000000000001</v>
      </c>
      <c r="AF96">
        <v>-136</v>
      </c>
      <c r="AG96">
        <v>-125.4</v>
      </c>
      <c r="AI96">
        <v>93</v>
      </c>
      <c r="AJ96">
        <v>81.599999999999994</v>
      </c>
      <c r="AK96">
        <v>52.3</v>
      </c>
      <c r="AL96">
        <v>59.5</v>
      </c>
      <c r="AM96">
        <v>66</v>
      </c>
      <c r="AN96">
        <v>551</v>
      </c>
      <c r="BB96">
        <v>93</v>
      </c>
      <c r="BC96">
        <v>-217.1</v>
      </c>
      <c r="BD96">
        <v>-211.7</v>
      </c>
      <c r="BE96">
        <v>-201</v>
      </c>
      <c r="BF96">
        <v>-166.5</v>
      </c>
      <c r="BG96">
        <v>-248.4</v>
      </c>
      <c r="BI96">
        <v>93</v>
      </c>
      <c r="BJ96">
        <v>102.5</v>
      </c>
      <c r="BK96">
        <v>98.5</v>
      </c>
      <c r="BL96">
        <v>51.4</v>
      </c>
      <c r="BM96">
        <v>111.1</v>
      </c>
      <c r="BN96">
        <v>81.3</v>
      </c>
      <c r="BZ96">
        <v>93</v>
      </c>
      <c r="CA96">
        <v>-240.6</v>
      </c>
      <c r="CB96">
        <v>-252.6</v>
      </c>
      <c r="CC96">
        <v>-242.3</v>
      </c>
      <c r="CD96">
        <v>-348.5</v>
      </c>
      <c r="CE96">
        <v>-284.8</v>
      </c>
      <c r="CG96">
        <v>93</v>
      </c>
      <c r="CH96">
        <v>94.8</v>
      </c>
      <c r="CI96">
        <v>66.7</v>
      </c>
      <c r="CJ96">
        <v>56.8</v>
      </c>
      <c r="CK96">
        <v>54.5</v>
      </c>
      <c r="CL96">
        <v>72.3</v>
      </c>
    </row>
    <row r="97" spans="1:90" x14ac:dyDescent="0.35">
      <c r="A97">
        <v>94</v>
      </c>
      <c r="B97">
        <v>-177.7</v>
      </c>
      <c r="C97">
        <v>-174.3</v>
      </c>
      <c r="D97">
        <v>-62.8</v>
      </c>
      <c r="E97">
        <v>-112.6</v>
      </c>
      <c r="F97">
        <v>-153.9</v>
      </c>
      <c r="H97">
        <v>94</v>
      </c>
      <c r="I97">
        <v>23.4</v>
      </c>
      <c r="J97">
        <v>28</v>
      </c>
      <c r="K97">
        <v>31.5</v>
      </c>
      <c r="L97">
        <v>28.1</v>
      </c>
      <c r="M97">
        <v>32.700000000000003</v>
      </c>
      <c r="AB97">
        <v>94</v>
      </c>
      <c r="AC97">
        <v>-97.6</v>
      </c>
      <c r="AD97">
        <v>-166.7</v>
      </c>
      <c r="AE97">
        <v>-135.5</v>
      </c>
      <c r="AF97">
        <v>-135.9</v>
      </c>
      <c r="AG97">
        <v>-123.6</v>
      </c>
      <c r="AI97">
        <v>94</v>
      </c>
      <c r="AJ97">
        <v>81.3</v>
      </c>
      <c r="AK97">
        <v>51.9</v>
      </c>
      <c r="AL97">
        <v>58.9</v>
      </c>
      <c r="AM97">
        <v>65.7</v>
      </c>
      <c r="AN97">
        <v>442.1</v>
      </c>
      <c r="BB97">
        <v>94</v>
      </c>
      <c r="BC97">
        <v>-215.8</v>
      </c>
      <c r="BD97">
        <v>-210.8</v>
      </c>
      <c r="BE97">
        <v>-192.6</v>
      </c>
      <c r="BF97">
        <v>-164.7</v>
      </c>
      <c r="BG97">
        <v>-248.3</v>
      </c>
      <c r="BI97">
        <v>94</v>
      </c>
      <c r="BJ97">
        <v>102.4</v>
      </c>
      <c r="BK97">
        <v>98.4</v>
      </c>
      <c r="BL97">
        <v>51.9</v>
      </c>
      <c r="BM97">
        <v>111.1</v>
      </c>
      <c r="BN97">
        <v>81.400000000000006</v>
      </c>
      <c r="BZ97">
        <v>94</v>
      </c>
      <c r="CA97">
        <v>-239.1</v>
      </c>
      <c r="CB97">
        <v>-249.3</v>
      </c>
      <c r="CC97">
        <v>-241.8</v>
      </c>
      <c r="CD97">
        <v>-346.2</v>
      </c>
      <c r="CE97">
        <v>-282.7</v>
      </c>
      <c r="CG97">
        <v>94</v>
      </c>
      <c r="CH97">
        <v>94.3</v>
      </c>
      <c r="CI97">
        <v>66.400000000000006</v>
      </c>
      <c r="CJ97">
        <v>56.9</v>
      </c>
      <c r="CK97">
        <v>54.1</v>
      </c>
      <c r="CL97">
        <v>72.2</v>
      </c>
    </row>
    <row r="98" spans="1:90" x14ac:dyDescent="0.35">
      <c r="A98">
        <v>95</v>
      </c>
      <c r="B98">
        <v>-177.6</v>
      </c>
      <c r="C98">
        <v>-173.9</v>
      </c>
      <c r="D98">
        <v>-62.4</v>
      </c>
      <c r="E98">
        <v>-91.2</v>
      </c>
      <c r="F98">
        <v>-133.19999999999999</v>
      </c>
      <c r="H98">
        <v>95</v>
      </c>
      <c r="I98">
        <v>23.5</v>
      </c>
      <c r="J98">
        <v>28</v>
      </c>
      <c r="K98">
        <v>31.4</v>
      </c>
      <c r="L98">
        <v>28.2</v>
      </c>
      <c r="M98">
        <v>32.700000000000003</v>
      </c>
      <c r="AB98">
        <v>95</v>
      </c>
      <c r="AC98">
        <v>-96.8</v>
      </c>
      <c r="AD98">
        <v>-166.4</v>
      </c>
      <c r="AE98">
        <v>-135.1</v>
      </c>
      <c r="AF98">
        <v>-136</v>
      </c>
      <c r="AG98">
        <v>-121.3</v>
      </c>
      <c r="AI98">
        <v>95</v>
      </c>
      <c r="AJ98">
        <v>80.900000000000006</v>
      </c>
      <c r="AK98">
        <v>51.7</v>
      </c>
      <c r="AL98">
        <v>58.5</v>
      </c>
      <c r="AM98">
        <v>65.400000000000006</v>
      </c>
      <c r="AN98">
        <v>302</v>
      </c>
      <c r="BB98">
        <v>95</v>
      </c>
      <c r="BC98">
        <v>-215</v>
      </c>
      <c r="BD98">
        <v>-209.9</v>
      </c>
      <c r="BE98">
        <v>-183.6</v>
      </c>
      <c r="BF98">
        <v>-163.19999999999999</v>
      </c>
      <c r="BG98">
        <v>-248.2</v>
      </c>
      <c r="BI98">
        <v>95</v>
      </c>
      <c r="BJ98">
        <v>102.3</v>
      </c>
      <c r="BK98">
        <v>98.4</v>
      </c>
      <c r="BL98">
        <v>52.3</v>
      </c>
      <c r="BM98">
        <v>111.1</v>
      </c>
      <c r="BN98">
        <v>81.5</v>
      </c>
      <c r="BZ98">
        <v>95</v>
      </c>
      <c r="CA98">
        <v>-237.7</v>
      </c>
      <c r="CB98">
        <v>-245.9</v>
      </c>
      <c r="CC98">
        <v>-241.2</v>
      </c>
      <c r="CD98">
        <v>-343.9</v>
      </c>
      <c r="CE98">
        <v>-280.3</v>
      </c>
      <c r="CG98">
        <v>95</v>
      </c>
      <c r="CH98">
        <v>93.8</v>
      </c>
      <c r="CI98">
        <v>66.2</v>
      </c>
      <c r="CJ98">
        <v>56.9</v>
      </c>
      <c r="CK98">
        <v>53.8</v>
      </c>
      <c r="CL98">
        <v>72.2</v>
      </c>
    </row>
    <row r="99" spans="1:90" x14ac:dyDescent="0.35">
      <c r="A99">
        <v>96</v>
      </c>
      <c r="B99">
        <v>-177.6</v>
      </c>
      <c r="C99">
        <v>-173.4</v>
      </c>
      <c r="D99">
        <v>-62</v>
      </c>
      <c r="E99">
        <v>-69.2</v>
      </c>
      <c r="F99">
        <v>-114.2</v>
      </c>
      <c r="H99">
        <v>96</v>
      </c>
      <c r="I99">
        <v>23.5</v>
      </c>
      <c r="J99">
        <v>28.1</v>
      </c>
      <c r="K99">
        <v>31.4</v>
      </c>
      <c r="L99">
        <v>28.3</v>
      </c>
      <c r="M99">
        <v>32.700000000000003</v>
      </c>
      <c r="AB99">
        <v>96</v>
      </c>
      <c r="AC99">
        <v>-96.1</v>
      </c>
      <c r="AD99">
        <v>-165.8</v>
      </c>
      <c r="AE99">
        <v>-135</v>
      </c>
      <c r="AF99">
        <v>-136.1</v>
      </c>
      <c r="AG99">
        <v>-118.8</v>
      </c>
      <c r="AI99">
        <v>96</v>
      </c>
      <c r="AJ99">
        <v>80.5</v>
      </c>
      <c r="AK99">
        <v>51.5</v>
      </c>
      <c r="AL99">
        <v>58.2</v>
      </c>
      <c r="AM99">
        <v>65.099999999999994</v>
      </c>
      <c r="AN99">
        <v>200.4</v>
      </c>
      <c r="BB99">
        <v>96</v>
      </c>
      <c r="BC99">
        <v>-214.3</v>
      </c>
      <c r="BD99">
        <v>-209.3</v>
      </c>
      <c r="BE99">
        <v>-172.4</v>
      </c>
      <c r="BF99">
        <v>-162.1</v>
      </c>
      <c r="BG99">
        <v>-247.8</v>
      </c>
      <c r="BI99">
        <v>96</v>
      </c>
      <c r="BJ99">
        <v>102.2</v>
      </c>
      <c r="BK99">
        <v>98.3</v>
      </c>
      <c r="BL99">
        <v>52.9</v>
      </c>
      <c r="BM99">
        <v>111</v>
      </c>
      <c r="BN99">
        <v>81.599999999999994</v>
      </c>
      <c r="BZ99">
        <v>96</v>
      </c>
      <c r="CA99">
        <v>-236.2</v>
      </c>
      <c r="CB99">
        <v>-242.7</v>
      </c>
      <c r="CC99">
        <v>-240.2</v>
      </c>
      <c r="CD99">
        <v>-341.4</v>
      </c>
      <c r="CE99">
        <v>-277.89999999999998</v>
      </c>
      <c r="CG99">
        <v>96</v>
      </c>
      <c r="CH99">
        <v>93.5</v>
      </c>
      <c r="CI99">
        <v>65.900000000000006</v>
      </c>
      <c r="CJ99">
        <v>56.9</v>
      </c>
      <c r="CK99">
        <v>53.5</v>
      </c>
      <c r="CL99">
        <v>72.2</v>
      </c>
    </row>
    <row r="100" spans="1:90" x14ac:dyDescent="0.35">
      <c r="A100">
        <v>97</v>
      </c>
      <c r="B100">
        <v>-177.5</v>
      </c>
      <c r="C100">
        <v>-172.7</v>
      </c>
      <c r="D100">
        <v>-61.6</v>
      </c>
      <c r="E100">
        <v>-47.7</v>
      </c>
      <c r="F100">
        <v>-99.4</v>
      </c>
      <c r="H100">
        <v>97</v>
      </c>
      <c r="I100">
        <v>23.5</v>
      </c>
      <c r="J100">
        <v>28.1</v>
      </c>
      <c r="K100">
        <v>31.3</v>
      </c>
      <c r="L100">
        <v>28.4</v>
      </c>
      <c r="M100">
        <v>32.700000000000003</v>
      </c>
      <c r="AB100">
        <v>97</v>
      </c>
      <c r="AC100">
        <v>-95.2</v>
      </c>
      <c r="AD100">
        <v>-165</v>
      </c>
      <c r="AE100">
        <v>-135.19999999999999</v>
      </c>
      <c r="AF100">
        <v>-135.9</v>
      </c>
      <c r="AG100">
        <v>-116.5</v>
      </c>
      <c r="AI100">
        <v>97</v>
      </c>
      <c r="AJ100">
        <v>80.099999999999994</v>
      </c>
      <c r="AK100">
        <v>51.3</v>
      </c>
      <c r="AL100">
        <v>58</v>
      </c>
      <c r="AM100">
        <v>64.900000000000006</v>
      </c>
      <c r="AN100">
        <v>139.19999999999999</v>
      </c>
      <c r="BB100">
        <v>97</v>
      </c>
      <c r="BC100">
        <v>-213.7</v>
      </c>
      <c r="BD100">
        <v>-208.7</v>
      </c>
      <c r="BE100">
        <v>-155.80000000000001</v>
      </c>
      <c r="BF100">
        <v>-160.80000000000001</v>
      </c>
      <c r="BG100">
        <v>-247</v>
      </c>
      <c r="BI100">
        <v>97</v>
      </c>
      <c r="BJ100">
        <v>102.2</v>
      </c>
      <c r="BK100">
        <v>98.2</v>
      </c>
      <c r="BL100">
        <v>53.4</v>
      </c>
      <c r="BM100">
        <v>111</v>
      </c>
      <c r="BN100">
        <v>81.7</v>
      </c>
      <c r="BZ100">
        <v>97</v>
      </c>
      <c r="CA100">
        <v>-234.1</v>
      </c>
      <c r="CB100">
        <v>-239.8</v>
      </c>
      <c r="CC100">
        <v>-238.9</v>
      </c>
      <c r="CD100">
        <v>-338.9</v>
      </c>
      <c r="CE100">
        <v>-275.2</v>
      </c>
      <c r="CG100">
        <v>97</v>
      </c>
      <c r="CH100">
        <v>93.2</v>
      </c>
      <c r="CI100">
        <v>65.7</v>
      </c>
      <c r="CJ100">
        <v>56.9</v>
      </c>
      <c r="CK100">
        <v>53.3</v>
      </c>
      <c r="CL100">
        <v>72.2</v>
      </c>
    </row>
    <row r="101" spans="1:90" x14ac:dyDescent="0.35">
      <c r="A101">
        <v>98</v>
      </c>
      <c r="B101">
        <v>-177.5</v>
      </c>
      <c r="C101">
        <v>-171.4</v>
      </c>
      <c r="D101">
        <v>-61.4</v>
      </c>
      <c r="E101">
        <v>-25.5</v>
      </c>
      <c r="F101">
        <v>-88.4</v>
      </c>
      <c r="H101">
        <v>98</v>
      </c>
      <c r="I101">
        <v>23.6</v>
      </c>
      <c r="J101">
        <v>28.2</v>
      </c>
      <c r="K101">
        <v>31.4</v>
      </c>
      <c r="L101">
        <v>28.5</v>
      </c>
      <c r="M101">
        <v>32.700000000000003</v>
      </c>
      <c r="AB101">
        <v>98</v>
      </c>
      <c r="AC101">
        <v>-94.6</v>
      </c>
      <c r="AD101">
        <v>-164.1</v>
      </c>
      <c r="AE101">
        <v>-135.4</v>
      </c>
      <c r="AF101">
        <v>-135.6</v>
      </c>
      <c r="AG101">
        <v>-114.3</v>
      </c>
      <c r="AI101">
        <v>98</v>
      </c>
      <c r="AJ101">
        <v>79.900000000000006</v>
      </c>
      <c r="AK101">
        <v>51.1</v>
      </c>
      <c r="AL101">
        <v>57.9</v>
      </c>
      <c r="AM101">
        <v>64.599999999999994</v>
      </c>
      <c r="AN101">
        <v>112.9</v>
      </c>
      <c r="BB101">
        <v>98</v>
      </c>
      <c r="BC101">
        <v>-213</v>
      </c>
      <c r="BD101">
        <v>-208.2</v>
      </c>
      <c r="BE101">
        <v>-137.30000000000001</v>
      </c>
      <c r="BF101">
        <v>-159.30000000000001</v>
      </c>
      <c r="BG101">
        <v>-246</v>
      </c>
      <c r="BI101">
        <v>98</v>
      </c>
      <c r="BJ101">
        <v>102.1</v>
      </c>
      <c r="BK101">
        <v>98.2</v>
      </c>
      <c r="BL101">
        <v>53.3</v>
      </c>
      <c r="BM101">
        <v>111</v>
      </c>
      <c r="BN101">
        <v>81.7</v>
      </c>
      <c r="BZ101">
        <v>98</v>
      </c>
      <c r="CA101">
        <v>-231.3</v>
      </c>
      <c r="CB101">
        <v>-237.2</v>
      </c>
      <c r="CC101">
        <v>-237.7</v>
      </c>
      <c r="CD101">
        <v>-337.3</v>
      </c>
      <c r="CE101">
        <v>-272.5</v>
      </c>
      <c r="CG101">
        <v>98</v>
      </c>
      <c r="CH101">
        <v>92.8</v>
      </c>
      <c r="CI101">
        <v>65.599999999999994</v>
      </c>
      <c r="CJ101">
        <v>57</v>
      </c>
      <c r="CK101">
        <v>53.1</v>
      </c>
      <c r="CL101">
        <v>72.2</v>
      </c>
    </row>
    <row r="102" spans="1:90" x14ac:dyDescent="0.35">
      <c r="A102">
        <v>99</v>
      </c>
      <c r="B102">
        <v>-177.2</v>
      </c>
      <c r="C102">
        <v>-169.4</v>
      </c>
      <c r="D102">
        <v>-61.5</v>
      </c>
      <c r="E102">
        <v>-2.2999999999999998</v>
      </c>
      <c r="F102">
        <v>-79.900000000000006</v>
      </c>
      <c r="H102">
        <v>99</v>
      </c>
      <c r="I102">
        <v>23.6</v>
      </c>
      <c r="J102">
        <v>28.2</v>
      </c>
      <c r="K102">
        <v>31.4</v>
      </c>
      <c r="L102">
        <v>28.5</v>
      </c>
      <c r="M102">
        <v>32.700000000000003</v>
      </c>
      <c r="AB102">
        <v>99</v>
      </c>
      <c r="AC102">
        <v>-94.3</v>
      </c>
      <c r="AD102">
        <v>-163.4</v>
      </c>
      <c r="AE102">
        <v>-135.19999999999999</v>
      </c>
      <c r="AF102">
        <v>-135.30000000000001</v>
      </c>
      <c r="AG102">
        <v>-111.8</v>
      </c>
      <c r="AI102">
        <v>99</v>
      </c>
      <c r="AJ102">
        <v>79.8</v>
      </c>
      <c r="AK102">
        <v>51</v>
      </c>
      <c r="AL102">
        <v>57.8</v>
      </c>
      <c r="AM102">
        <v>64.400000000000006</v>
      </c>
      <c r="AN102">
        <v>104.9</v>
      </c>
      <c r="BB102">
        <v>99</v>
      </c>
      <c r="BC102">
        <v>-212.2</v>
      </c>
      <c r="BD102">
        <v>-207.9</v>
      </c>
      <c r="BE102">
        <v>-122.4</v>
      </c>
      <c r="BF102">
        <v>-158</v>
      </c>
      <c r="BG102">
        <v>-245</v>
      </c>
      <c r="BI102">
        <v>99</v>
      </c>
      <c r="BJ102">
        <v>102.1</v>
      </c>
      <c r="BK102">
        <v>98.2</v>
      </c>
      <c r="BL102">
        <v>53.5</v>
      </c>
      <c r="BM102">
        <v>111</v>
      </c>
      <c r="BN102">
        <v>81.8</v>
      </c>
      <c r="BZ102">
        <v>99</v>
      </c>
      <c r="CA102">
        <v>-227.8</v>
      </c>
      <c r="CB102">
        <v>-235.4</v>
      </c>
      <c r="CC102">
        <v>-236.8</v>
      </c>
      <c r="CD102">
        <v>-336.2</v>
      </c>
      <c r="CE102">
        <v>-269.89999999999998</v>
      </c>
      <c r="CG102">
        <v>99</v>
      </c>
      <c r="CH102">
        <v>92.5</v>
      </c>
      <c r="CI102">
        <v>65.400000000000006</v>
      </c>
      <c r="CJ102">
        <v>57</v>
      </c>
      <c r="CK102">
        <v>52.9</v>
      </c>
      <c r="CL102">
        <v>72.099999999999994</v>
      </c>
    </row>
    <row r="103" spans="1:90" x14ac:dyDescent="0.35">
      <c r="A103">
        <v>100</v>
      </c>
      <c r="B103">
        <v>-176.4</v>
      </c>
      <c r="C103">
        <v>-166.1</v>
      </c>
      <c r="D103">
        <v>-61.8</v>
      </c>
      <c r="E103">
        <v>21.2</v>
      </c>
      <c r="F103">
        <v>-73.2</v>
      </c>
      <c r="H103">
        <v>100</v>
      </c>
      <c r="I103">
        <v>23.6</v>
      </c>
      <c r="J103">
        <v>28.3</v>
      </c>
      <c r="K103">
        <v>31.5</v>
      </c>
      <c r="L103">
        <v>28.6</v>
      </c>
      <c r="M103">
        <v>32.799999999999997</v>
      </c>
      <c r="AB103">
        <v>100</v>
      </c>
      <c r="AC103">
        <v>-94.2</v>
      </c>
      <c r="AD103">
        <v>-162.9</v>
      </c>
      <c r="AE103">
        <v>-134.69999999999999</v>
      </c>
      <c r="AF103">
        <v>-135.30000000000001</v>
      </c>
      <c r="AG103">
        <v>-109.2</v>
      </c>
      <c r="AI103">
        <v>100</v>
      </c>
      <c r="AJ103">
        <v>79.8</v>
      </c>
      <c r="AK103">
        <v>51</v>
      </c>
      <c r="AL103">
        <v>57.6</v>
      </c>
      <c r="AM103">
        <v>64.3</v>
      </c>
      <c r="AN103">
        <v>100.2</v>
      </c>
      <c r="BB103">
        <v>100</v>
      </c>
      <c r="BC103">
        <v>-211</v>
      </c>
      <c r="BD103">
        <v>-208</v>
      </c>
      <c r="BE103">
        <v>-111.2</v>
      </c>
      <c r="BF103">
        <v>-156.9</v>
      </c>
      <c r="BG103">
        <v>-244.3</v>
      </c>
      <c r="BI103">
        <v>100</v>
      </c>
      <c r="BJ103">
        <v>102.1</v>
      </c>
      <c r="BK103">
        <v>98.2</v>
      </c>
      <c r="BL103">
        <v>53.8</v>
      </c>
      <c r="BM103">
        <v>111</v>
      </c>
      <c r="BN103">
        <v>81.900000000000006</v>
      </c>
      <c r="BZ103">
        <v>100</v>
      </c>
      <c r="CA103">
        <v>-224</v>
      </c>
      <c r="CB103">
        <v>-233.7</v>
      </c>
      <c r="CC103">
        <v>-236.2</v>
      </c>
      <c r="CD103">
        <v>-334.9</v>
      </c>
      <c r="CE103">
        <v>-267.3</v>
      </c>
      <c r="CG103">
        <v>100</v>
      </c>
      <c r="CH103">
        <v>92.3</v>
      </c>
      <c r="CI103">
        <v>65.3</v>
      </c>
      <c r="CJ103">
        <v>57.1</v>
      </c>
      <c r="CK103">
        <v>52.7</v>
      </c>
      <c r="CL103">
        <v>72.099999999999994</v>
      </c>
    </row>
    <row r="104" spans="1:90" x14ac:dyDescent="0.35">
      <c r="A104">
        <v>101</v>
      </c>
      <c r="B104">
        <v>-175</v>
      </c>
      <c r="C104">
        <v>-160.1</v>
      </c>
      <c r="D104">
        <v>-62</v>
      </c>
      <c r="E104">
        <v>46.1</v>
      </c>
      <c r="F104">
        <v>-67.400000000000006</v>
      </c>
      <c r="H104">
        <v>101</v>
      </c>
      <c r="I104">
        <v>23.7</v>
      </c>
      <c r="J104">
        <v>28.4</v>
      </c>
      <c r="K104">
        <v>31.6</v>
      </c>
      <c r="L104">
        <v>28.7</v>
      </c>
      <c r="M104">
        <v>32.799999999999997</v>
      </c>
      <c r="AB104">
        <v>101</v>
      </c>
      <c r="AC104">
        <v>-94.3</v>
      </c>
      <c r="AD104">
        <v>-162.69999999999999</v>
      </c>
      <c r="AE104">
        <v>-134</v>
      </c>
      <c r="AF104">
        <v>-135.4</v>
      </c>
      <c r="AG104">
        <v>-106.5</v>
      </c>
      <c r="AI104">
        <v>101</v>
      </c>
      <c r="AJ104">
        <v>79.7</v>
      </c>
      <c r="AK104">
        <v>51</v>
      </c>
      <c r="AL104">
        <v>57.5</v>
      </c>
      <c r="AM104">
        <v>64.2</v>
      </c>
      <c r="AN104">
        <v>96.7</v>
      </c>
      <c r="BB104">
        <v>101</v>
      </c>
      <c r="BC104">
        <v>-209.8</v>
      </c>
      <c r="BD104">
        <v>-208.1</v>
      </c>
      <c r="BE104">
        <v>-102.9</v>
      </c>
      <c r="BF104">
        <v>-155.80000000000001</v>
      </c>
      <c r="BG104">
        <v>-243.3</v>
      </c>
      <c r="BI104">
        <v>101</v>
      </c>
      <c r="BJ104">
        <v>102.1</v>
      </c>
      <c r="BK104">
        <v>98.2</v>
      </c>
      <c r="BL104">
        <v>54.1</v>
      </c>
      <c r="BM104">
        <v>110.9</v>
      </c>
      <c r="BN104">
        <v>82</v>
      </c>
      <c r="BZ104">
        <v>101</v>
      </c>
      <c r="CA104">
        <v>-220.3</v>
      </c>
      <c r="CB104">
        <v>-231.8</v>
      </c>
      <c r="CC104">
        <v>-235.6</v>
      </c>
      <c r="CD104">
        <v>-332.6</v>
      </c>
      <c r="CE104">
        <v>-264.8</v>
      </c>
      <c r="CG104">
        <v>101</v>
      </c>
      <c r="CH104">
        <v>92.1</v>
      </c>
      <c r="CI104">
        <v>65.099999999999994</v>
      </c>
      <c r="CJ104">
        <v>57.1</v>
      </c>
      <c r="CK104">
        <v>52.6</v>
      </c>
      <c r="CL104">
        <v>72.099999999999994</v>
      </c>
    </row>
    <row r="105" spans="1:90" x14ac:dyDescent="0.35">
      <c r="A105">
        <v>102</v>
      </c>
      <c r="B105">
        <v>-173.8</v>
      </c>
      <c r="C105">
        <v>-152.4</v>
      </c>
      <c r="D105">
        <v>-62.1</v>
      </c>
      <c r="E105">
        <v>90.8</v>
      </c>
      <c r="F105">
        <v>-61.5</v>
      </c>
      <c r="H105">
        <v>102</v>
      </c>
      <c r="I105">
        <v>23.7</v>
      </c>
      <c r="J105">
        <v>28.4</v>
      </c>
      <c r="K105">
        <v>31.6</v>
      </c>
      <c r="L105">
        <v>28.8</v>
      </c>
      <c r="M105">
        <v>32.799999999999997</v>
      </c>
      <c r="AB105">
        <v>102</v>
      </c>
      <c r="AC105">
        <v>-94.3</v>
      </c>
      <c r="AD105">
        <v>-162.5</v>
      </c>
      <c r="AE105">
        <v>-133.30000000000001</v>
      </c>
      <c r="AF105">
        <v>-135.69999999999999</v>
      </c>
      <c r="AG105">
        <v>-104.1</v>
      </c>
      <c r="AI105">
        <v>102</v>
      </c>
      <c r="AJ105">
        <v>79.8</v>
      </c>
      <c r="AK105">
        <v>51.1</v>
      </c>
      <c r="AL105">
        <v>57.4</v>
      </c>
      <c r="AM105">
        <v>64.2</v>
      </c>
      <c r="AN105">
        <v>94.1</v>
      </c>
      <c r="BB105">
        <v>102</v>
      </c>
      <c r="BC105">
        <v>-209</v>
      </c>
      <c r="BD105">
        <v>-208.2</v>
      </c>
      <c r="BE105">
        <v>-96.1</v>
      </c>
      <c r="BF105">
        <v>-155</v>
      </c>
      <c r="BG105">
        <v>-242.5</v>
      </c>
      <c r="BI105">
        <v>102</v>
      </c>
      <c r="BJ105">
        <v>102</v>
      </c>
      <c r="BK105">
        <v>98.2</v>
      </c>
      <c r="BL105">
        <v>54.3</v>
      </c>
      <c r="BM105">
        <v>110.9</v>
      </c>
      <c r="BN105">
        <v>82.1</v>
      </c>
      <c r="BZ105">
        <v>102</v>
      </c>
      <c r="CA105">
        <v>-216.4</v>
      </c>
      <c r="CB105">
        <v>-230.7</v>
      </c>
      <c r="CC105">
        <v>-234.9</v>
      </c>
      <c r="CD105">
        <v>-329.5</v>
      </c>
      <c r="CE105">
        <v>-263.2</v>
      </c>
      <c r="CG105">
        <v>102</v>
      </c>
      <c r="CH105">
        <v>91.9</v>
      </c>
      <c r="CI105">
        <v>65</v>
      </c>
      <c r="CJ105">
        <v>57.2</v>
      </c>
      <c r="CK105">
        <v>52.5</v>
      </c>
      <c r="CL105">
        <v>72.2</v>
      </c>
    </row>
    <row r="106" spans="1:90" x14ac:dyDescent="0.35">
      <c r="A106">
        <v>103</v>
      </c>
      <c r="B106">
        <v>-173.6</v>
      </c>
      <c r="C106">
        <v>-145</v>
      </c>
      <c r="D106">
        <v>-62.4</v>
      </c>
      <c r="E106">
        <v>179</v>
      </c>
      <c r="F106">
        <v>-54.3</v>
      </c>
      <c r="H106">
        <v>103</v>
      </c>
      <c r="I106">
        <v>23.8</v>
      </c>
      <c r="J106">
        <v>28.5</v>
      </c>
      <c r="K106">
        <v>31.7</v>
      </c>
      <c r="L106">
        <v>28.9</v>
      </c>
      <c r="M106">
        <v>32.9</v>
      </c>
      <c r="AB106">
        <v>103</v>
      </c>
      <c r="AC106">
        <v>-94.3</v>
      </c>
      <c r="AD106">
        <v>-162.19999999999999</v>
      </c>
      <c r="AE106">
        <v>-132.6</v>
      </c>
      <c r="AF106">
        <v>-136.1</v>
      </c>
      <c r="AG106">
        <v>-101.9</v>
      </c>
      <c r="AI106">
        <v>103</v>
      </c>
      <c r="AJ106">
        <v>79.8</v>
      </c>
      <c r="AK106">
        <v>51.2</v>
      </c>
      <c r="AL106">
        <v>57.3</v>
      </c>
      <c r="AM106">
        <v>64.3</v>
      </c>
      <c r="AN106">
        <v>92.3</v>
      </c>
      <c r="BB106">
        <v>103</v>
      </c>
      <c r="BC106">
        <v>-208.7</v>
      </c>
      <c r="BD106">
        <v>-208.5</v>
      </c>
      <c r="BE106">
        <v>-90.2</v>
      </c>
      <c r="BF106">
        <v>-154.5</v>
      </c>
      <c r="BG106">
        <v>-242</v>
      </c>
      <c r="BI106">
        <v>103</v>
      </c>
      <c r="BJ106">
        <v>102</v>
      </c>
      <c r="BK106">
        <v>98.2</v>
      </c>
      <c r="BL106">
        <v>54.5</v>
      </c>
      <c r="BM106">
        <v>110.9</v>
      </c>
      <c r="BN106">
        <v>82.1</v>
      </c>
      <c r="BZ106">
        <v>103</v>
      </c>
      <c r="CA106">
        <v>-211.4</v>
      </c>
      <c r="CB106">
        <v>-230.1</v>
      </c>
      <c r="CC106">
        <v>-234.1</v>
      </c>
      <c r="CD106">
        <v>-326</v>
      </c>
      <c r="CE106">
        <v>-262.3</v>
      </c>
      <c r="CG106">
        <v>103</v>
      </c>
      <c r="CH106">
        <v>91.7</v>
      </c>
      <c r="CI106">
        <v>65</v>
      </c>
      <c r="CJ106">
        <v>57.2</v>
      </c>
      <c r="CK106">
        <v>52.4</v>
      </c>
      <c r="CL106">
        <v>72.2</v>
      </c>
    </row>
    <row r="107" spans="1:90" x14ac:dyDescent="0.35">
      <c r="A107">
        <v>104</v>
      </c>
      <c r="B107">
        <v>-174.3</v>
      </c>
      <c r="C107">
        <v>-138.69999999999999</v>
      </c>
      <c r="D107">
        <v>-62.6</v>
      </c>
      <c r="E107">
        <v>267</v>
      </c>
      <c r="F107">
        <v>-45.3</v>
      </c>
      <c r="H107">
        <v>104</v>
      </c>
      <c r="I107">
        <v>23.8</v>
      </c>
      <c r="J107">
        <v>28.6</v>
      </c>
      <c r="K107">
        <v>31.8</v>
      </c>
      <c r="L107">
        <v>28.9</v>
      </c>
      <c r="M107">
        <v>32.9</v>
      </c>
      <c r="AB107">
        <v>104</v>
      </c>
      <c r="AC107">
        <v>-94.2</v>
      </c>
      <c r="AD107">
        <v>-161.6</v>
      </c>
      <c r="AE107">
        <v>-131.80000000000001</v>
      </c>
      <c r="AF107">
        <v>-136.69999999999999</v>
      </c>
      <c r="AG107">
        <v>-99.6</v>
      </c>
      <c r="AI107">
        <v>104</v>
      </c>
      <c r="AJ107">
        <v>79.8</v>
      </c>
      <c r="AK107">
        <v>51.2</v>
      </c>
      <c r="AL107">
        <v>57.2</v>
      </c>
      <c r="AM107">
        <v>64.3</v>
      </c>
      <c r="AN107">
        <v>90.8</v>
      </c>
      <c r="BB107">
        <v>104</v>
      </c>
      <c r="BC107">
        <v>-208.6</v>
      </c>
      <c r="BD107">
        <v>-208.9</v>
      </c>
      <c r="BE107">
        <v>-84.8</v>
      </c>
      <c r="BF107">
        <v>-154</v>
      </c>
      <c r="BG107">
        <v>-241.4</v>
      </c>
      <c r="BI107">
        <v>104</v>
      </c>
      <c r="BJ107">
        <v>102</v>
      </c>
      <c r="BK107">
        <v>98.2</v>
      </c>
      <c r="BL107">
        <v>54.6</v>
      </c>
      <c r="BM107">
        <v>110.9</v>
      </c>
      <c r="BN107">
        <v>82.2</v>
      </c>
      <c r="BZ107">
        <v>104</v>
      </c>
      <c r="CA107">
        <v>-204.6</v>
      </c>
      <c r="CB107">
        <v>-229.9</v>
      </c>
      <c r="CC107">
        <v>-233.4</v>
      </c>
      <c r="CD107">
        <v>-323.3</v>
      </c>
      <c r="CE107">
        <v>-261.8</v>
      </c>
      <c r="CG107">
        <v>104</v>
      </c>
      <c r="CH107">
        <v>91.5</v>
      </c>
      <c r="CI107">
        <v>64.900000000000006</v>
      </c>
      <c r="CJ107">
        <v>57.3</v>
      </c>
      <c r="CK107">
        <v>52.2</v>
      </c>
      <c r="CL107">
        <v>72.2</v>
      </c>
    </row>
    <row r="108" spans="1:90" x14ac:dyDescent="0.35">
      <c r="A108">
        <v>105</v>
      </c>
      <c r="B108">
        <v>-174.9</v>
      </c>
      <c r="C108">
        <v>-133.1</v>
      </c>
      <c r="D108">
        <v>-62.6</v>
      </c>
      <c r="E108">
        <v>331.5</v>
      </c>
      <c r="F108">
        <v>-34.9</v>
      </c>
      <c r="H108">
        <v>105</v>
      </c>
      <c r="I108">
        <v>23.9</v>
      </c>
      <c r="J108">
        <v>28.6</v>
      </c>
      <c r="K108">
        <v>31.8</v>
      </c>
      <c r="L108">
        <v>29</v>
      </c>
      <c r="M108">
        <v>32.9</v>
      </c>
      <c r="AB108">
        <v>105</v>
      </c>
      <c r="AC108">
        <v>-94</v>
      </c>
      <c r="AD108">
        <v>-161.1</v>
      </c>
      <c r="AE108">
        <v>-130.9</v>
      </c>
      <c r="AF108">
        <v>-137.4</v>
      </c>
      <c r="AG108">
        <v>-97.6</v>
      </c>
      <c r="AI108">
        <v>105</v>
      </c>
      <c r="AJ108">
        <v>79.8</v>
      </c>
      <c r="AK108">
        <v>51.3</v>
      </c>
      <c r="AL108">
        <v>57.2</v>
      </c>
      <c r="AM108">
        <v>64.3</v>
      </c>
      <c r="AN108">
        <v>89.6</v>
      </c>
      <c r="BB108">
        <v>105</v>
      </c>
      <c r="BC108">
        <v>-208.3</v>
      </c>
      <c r="BD108">
        <v>-209.4</v>
      </c>
      <c r="BE108">
        <v>-80.3</v>
      </c>
      <c r="BF108">
        <v>-153.30000000000001</v>
      </c>
      <c r="BG108">
        <v>-240.5</v>
      </c>
      <c r="BI108">
        <v>105</v>
      </c>
      <c r="BJ108">
        <v>102</v>
      </c>
      <c r="BK108">
        <v>98.2</v>
      </c>
      <c r="BL108">
        <v>54.8</v>
      </c>
      <c r="BM108">
        <v>110.9</v>
      </c>
      <c r="BN108">
        <v>82.3</v>
      </c>
      <c r="BZ108">
        <v>105</v>
      </c>
      <c r="CA108">
        <v>-196.8</v>
      </c>
      <c r="CB108">
        <v>-229.5</v>
      </c>
      <c r="CC108">
        <v>-232.9</v>
      </c>
      <c r="CD108">
        <v>-321.10000000000002</v>
      </c>
      <c r="CE108">
        <v>-261.2</v>
      </c>
      <c r="CG108">
        <v>105</v>
      </c>
      <c r="CH108">
        <v>91.3</v>
      </c>
      <c r="CI108">
        <v>64.8</v>
      </c>
      <c r="CJ108">
        <v>57.3</v>
      </c>
      <c r="CK108">
        <v>52.2</v>
      </c>
      <c r="CL108">
        <v>72.3</v>
      </c>
    </row>
    <row r="109" spans="1:90" x14ac:dyDescent="0.35">
      <c r="A109">
        <v>106</v>
      </c>
      <c r="B109">
        <v>-174.4</v>
      </c>
      <c r="C109">
        <v>-128.1</v>
      </c>
      <c r="D109">
        <v>-62.6</v>
      </c>
      <c r="E109">
        <v>382.9</v>
      </c>
      <c r="F109">
        <v>-21.2</v>
      </c>
      <c r="H109">
        <v>106</v>
      </c>
      <c r="I109">
        <v>24</v>
      </c>
      <c r="J109">
        <v>28.7</v>
      </c>
      <c r="K109">
        <v>31.9</v>
      </c>
      <c r="L109">
        <v>29.1</v>
      </c>
      <c r="M109">
        <v>33</v>
      </c>
      <c r="AB109">
        <v>106</v>
      </c>
      <c r="AC109">
        <v>-93.7</v>
      </c>
      <c r="AD109">
        <v>-160.6</v>
      </c>
      <c r="AE109">
        <v>-130.1</v>
      </c>
      <c r="AF109">
        <v>-138</v>
      </c>
      <c r="AG109">
        <v>-95.8</v>
      </c>
      <c r="AI109">
        <v>106</v>
      </c>
      <c r="AJ109">
        <v>79.900000000000006</v>
      </c>
      <c r="AK109">
        <v>51.4</v>
      </c>
      <c r="AL109">
        <v>57.1</v>
      </c>
      <c r="AM109">
        <v>64.400000000000006</v>
      </c>
      <c r="AN109">
        <v>88.7</v>
      </c>
      <c r="BB109">
        <v>106</v>
      </c>
      <c r="BC109">
        <v>-207.9</v>
      </c>
      <c r="BD109">
        <v>-209.8</v>
      </c>
      <c r="BE109">
        <v>-76.3</v>
      </c>
      <c r="BF109">
        <v>-152.30000000000001</v>
      </c>
      <c r="BG109">
        <v>-239.4</v>
      </c>
      <c r="BI109">
        <v>106</v>
      </c>
      <c r="BJ109">
        <v>102</v>
      </c>
      <c r="BK109">
        <v>98.2</v>
      </c>
      <c r="BL109">
        <v>54.9</v>
      </c>
      <c r="BM109">
        <v>110.9</v>
      </c>
      <c r="BN109">
        <v>82.4</v>
      </c>
      <c r="BZ109">
        <v>106</v>
      </c>
      <c r="CA109">
        <v>-188.5</v>
      </c>
      <c r="CB109">
        <v>-228.9</v>
      </c>
      <c r="CC109">
        <v>-232.3</v>
      </c>
      <c r="CD109">
        <v>-318.3</v>
      </c>
      <c r="CE109">
        <v>-259.89999999999998</v>
      </c>
      <c r="CG109">
        <v>106</v>
      </c>
      <c r="CH109">
        <v>91.2</v>
      </c>
      <c r="CI109">
        <v>64.7</v>
      </c>
      <c r="CJ109">
        <v>57.4</v>
      </c>
      <c r="CK109">
        <v>52.2</v>
      </c>
      <c r="CL109">
        <v>72.3</v>
      </c>
    </row>
    <row r="110" spans="1:90" x14ac:dyDescent="0.35">
      <c r="A110">
        <v>107</v>
      </c>
      <c r="B110">
        <v>-173.2</v>
      </c>
      <c r="C110">
        <v>-123.6</v>
      </c>
      <c r="D110">
        <v>-62.5</v>
      </c>
      <c r="E110">
        <v>422.9</v>
      </c>
      <c r="F110">
        <v>-3.8</v>
      </c>
      <c r="H110">
        <v>107</v>
      </c>
      <c r="I110">
        <v>24</v>
      </c>
      <c r="J110">
        <v>28.7</v>
      </c>
      <c r="K110">
        <v>31.9</v>
      </c>
      <c r="L110">
        <v>29.1</v>
      </c>
      <c r="M110">
        <v>33.1</v>
      </c>
      <c r="AB110">
        <v>107</v>
      </c>
      <c r="AC110">
        <v>-93.5</v>
      </c>
      <c r="AD110">
        <v>-159.69999999999999</v>
      </c>
      <c r="AE110">
        <v>-129.4</v>
      </c>
      <c r="AF110">
        <v>-138.30000000000001</v>
      </c>
      <c r="AG110">
        <v>-94.2</v>
      </c>
      <c r="AI110">
        <v>107</v>
      </c>
      <c r="AJ110">
        <v>79.900000000000006</v>
      </c>
      <c r="AK110">
        <v>51.4</v>
      </c>
      <c r="AL110">
        <v>57.1</v>
      </c>
      <c r="AM110">
        <v>64.400000000000006</v>
      </c>
      <c r="AN110">
        <v>88</v>
      </c>
      <c r="BB110">
        <v>107</v>
      </c>
      <c r="BC110">
        <v>-207.4</v>
      </c>
      <c r="BD110">
        <v>-209.9</v>
      </c>
      <c r="BE110">
        <v>-72.400000000000006</v>
      </c>
      <c r="BF110">
        <v>-151.6</v>
      </c>
      <c r="BG110">
        <v>-238.3</v>
      </c>
      <c r="BI110">
        <v>107</v>
      </c>
      <c r="BJ110">
        <v>102</v>
      </c>
      <c r="BK110">
        <v>98.3</v>
      </c>
      <c r="BL110">
        <v>55</v>
      </c>
      <c r="BM110">
        <v>110.9</v>
      </c>
      <c r="BN110">
        <v>82.5</v>
      </c>
      <c r="BZ110">
        <v>107</v>
      </c>
      <c r="CA110">
        <v>-179.2</v>
      </c>
      <c r="CB110">
        <v>-228.2</v>
      </c>
      <c r="CC110">
        <v>-231.8</v>
      </c>
      <c r="CD110">
        <v>-314.8</v>
      </c>
      <c r="CE110">
        <v>-258</v>
      </c>
      <c r="CG110">
        <v>107</v>
      </c>
      <c r="CH110">
        <v>91</v>
      </c>
      <c r="CI110">
        <v>64.7</v>
      </c>
      <c r="CJ110">
        <v>57.4</v>
      </c>
      <c r="CK110">
        <v>52.2</v>
      </c>
      <c r="CL110">
        <v>72.3</v>
      </c>
    </row>
    <row r="111" spans="1:90" x14ac:dyDescent="0.35">
      <c r="A111">
        <v>108</v>
      </c>
      <c r="B111">
        <v>-171.9</v>
      </c>
      <c r="C111">
        <v>-118.7</v>
      </c>
      <c r="D111">
        <v>-62.2</v>
      </c>
      <c r="E111">
        <v>454.2</v>
      </c>
      <c r="F111">
        <v>15.4</v>
      </c>
      <c r="H111">
        <v>108</v>
      </c>
      <c r="I111">
        <v>24.1</v>
      </c>
      <c r="J111">
        <v>28.8</v>
      </c>
      <c r="K111">
        <v>32</v>
      </c>
      <c r="L111">
        <v>29.2</v>
      </c>
      <c r="M111">
        <v>33.1</v>
      </c>
      <c r="AB111">
        <v>108</v>
      </c>
      <c r="AC111">
        <v>-93.4</v>
      </c>
      <c r="AD111">
        <v>-158.6</v>
      </c>
      <c r="AE111">
        <v>-128.9</v>
      </c>
      <c r="AF111">
        <v>-138.4</v>
      </c>
      <c r="AG111">
        <v>-92.8</v>
      </c>
      <c r="AI111">
        <v>108</v>
      </c>
      <c r="AJ111">
        <v>79.900000000000006</v>
      </c>
      <c r="AK111">
        <v>51.5</v>
      </c>
      <c r="AL111">
        <v>57</v>
      </c>
      <c r="AM111">
        <v>64.400000000000006</v>
      </c>
      <c r="AN111">
        <v>87.4</v>
      </c>
      <c r="BB111">
        <v>108</v>
      </c>
      <c r="BC111">
        <v>-206.7</v>
      </c>
      <c r="BD111">
        <v>-209.6</v>
      </c>
      <c r="BE111">
        <v>-68.099999999999994</v>
      </c>
      <c r="BF111">
        <v>-150.80000000000001</v>
      </c>
      <c r="BG111">
        <v>-237.1</v>
      </c>
      <c r="BI111">
        <v>108</v>
      </c>
      <c r="BJ111">
        <v>102</v>
      </c>
      <c r="BK111">
        <v>98.3</v>
      </c>
      <c r="BL111">
        <v>55.1</v>
      </c>
      <c r="BM111">
        <v>110.9</v>
      </c>
      <c r="BN111">
        <v>82.6</v>
      </c>
      <c r="BZ111">
        <v>108</v>
      </c>
      <c r="CA111">
        <v>-170</v>
      </c>
      <c r="CB111">
        <v>-227.7</v>
      </c>
      <c r="CC111">
        <v>-231.4</v>
      </c>
      <c r="CD111">
        <v>-310.89999999999998</v>
      </c>
      <c r="CE111">
        <v>-255.7</v>
      </c>
      <c r="CG111">
        <v>108</v>
      </c>
      <c r="CH111">
        <v>90.9</v>
      </c>
      <c r="CI111">
        <v>64.7</v>
      </c>
      <c r="CJ111">
        <v>57.5</v>
      </c>
      <c r="CK111">
        <v>52.1</v>
      </c>
      <c r="CL111">
        <v>72.400000000000006</v>
      </c>
    </row>
    <row r="112" spans="1:90" x14ac:dyDescent="0.35">
      <c r="A112">
        <v>109</v>
      </c>
      <c r="B112">
        <v>-170.8</v>
      </c>
      <c r="C112">
        <v>-112.2</v>
      </c>
      <c r="D112">
        <v>-62.1</v>
      </c>
      <c r="E112">
        <v>481.3</v>
      </c>
      <c r="F112">
        <v>35.4</v>
      </c>
      <c r="H112">
        <v>109</v>
      </c>
      <c r="I112">
        <v>24.1</v>
      </c>
      <c r="J112">
        <v>28.8</v>
      </c>
      <c r="K112">
        <v>32</v>
      </c>
      <c r="L112">
        <v>29.3</v>
      </c>
      <c r="M112">
        <v>33.200000000000003</v>
      </c>
      <c r="AB112">
        <v>109</v>
      </c>
      <c r="AC112">
        <v>-93.4</v>
      </c>
      <c r="AD112">
        <v>-157.6</v>
      </c>
      <c r="AE112">
        <v>-128.5</v>
      </c>
      <c r="AF112">
        <v>-138.4</v>
      </c>
      <c r="AG112">
        <v>-91.4</v>
      </c>
      <c r="AI112">
        <v>109</v>
      </c>
      <c r="AJ112">
        <v>79.900000000000006</v>
      </c>
      <c r="AK112">
        <v>51.6</v>
      </c>
      <c r="AL112">
        <v>57</v>
      </c>
      <c r="AM112">
        <v>64.5</v>
      </c>
      <c r="AN112">
        <v>87</v>
      </c>
      <c r="BB112">
        <v>109</v>
      </c>
      <c r="BC112">
        <v>-205.8</v>
      </c>
      <c r="BD112">
        <v>-209.1</v>
      </c>
      <c r="BE112">
        <v>-62.8</v>
      </c>
      <c r="BF112">
        <v>-149.9</v>
      </c>
      <c r="BG112">
        <v>-235.9</v>
      </c>
      <c r="BI112">
        <v>109</v>
      </c>
      <c r="BJ112">
        <v>102</v>
      </c>
      <c r="BK112">
        <v>98.3</v>
      </c>
      <c r="BL112">
        <v>55.3</v>
      </c>
      <c r="BM112">
        <v>110.8</v>
      </c>
      <c r="BN112">
        <v>82.7</v>
      </c>
      <c r="BZ112">
        <v>109</v>
      </c>
      <c r="CA112">
        <v>-161.6</v>
      </c>
      <c r="CB112">
        <v>-226.9</v>
      </c>
      <c r="CC112">
        <v>-231.2</v>
      </c>
      <c r="CD112">
        <v>-306.8</v>
      </c>
      <c r="CE112">
        <v>-253.1</v>
      </c>
      <c r="CG112">
        <v>109</v>
      </c>
      <c r="CH112">
        <v>90.8</v>
      </c>
      <c r="CI112">
        <v>64.599999999999994</v>
      </c>
      <c r="CJ112">
        <v>57.6</v>
      </c>
      <c r="CK112">
        <v>52.1</v>
      </c>
      <c r="CL112">
        <v>72.400000000000006</v>
      </c>
    </row>
    <row r="113" spans="1:90" x14ac:dyDescent="0.35">
      <c r="A113">
        <v>110</v>
      </c>
      <c r="B113">
        <v>-169.9</v>
      </c>
      <c r="C113">
        <v>-101.9</v>
      </c>
      <c r="D113">
        <v>-62</v>
      </c>
      <c r="E113">
        <v>503.1</v>
      </c>
      <c r="F113">
        <v>66.099999999999994</v>
      </c>
      <c r="H113">
        <v>110</v>
      </c>
      <c r="I113">
        <v>24.2</v>
      </c>
      <c r="J113">
        <v>28.9</v>
      </c>
      <c r="K113">
        <v>32.1</v>
      </c>
      <c r="L113">
        <v>29.3</v>
      </c>
      <c r="M113">
        <v>33.200000000000003</v>
      </c>
      <c r="AB113">
        <v>110</v>
      </c>
      <c r="AC113">
        <v>-93.4</v>
      </c>
      <c r="AD113">
        <v>-156.6</v>
      </c>
      <c r="AE113">
        <v>-128.19999999999999</v>
      </c>
      <c r="AF113">
        <v>-138.5</v>
      </c>
      <c r="AG113">
        <v>-89.9</v>
      </c>
      <c r="AI113">
        <v>110</v>
      </c>
      <c r="AJ113">
        <v>79.900000000000006</v>
      </c>
      <c r="AK113">
        <v>51.6</v>
      </c>
      <c r="AL113">
        <v>57</v>
      </c>
      <c r="AM113">
        <v>64.5</v>
      </c>
      <c r="AN113">
        <v>86.6</v>
      </c>
      <c r="BB113">
        <v>110</v>
      </c>
      <c r="BC113">
        <v>-204.8</v>
      </c>
      <c r="BD113">
        <v>-208.5</v>
      </c>
      <c r="BE113">
        <v>-56</v>
      </c>
      <c r="BF113">
        <v>-149.1</v>
      </c>
      <c r="BG113">
        <v>-234.8</v>
      </c>
      <c r="BI113">
        <v>110</v>
      </c>
      <c r="BJ113">
        <v>102</v>
      </c>
      <c r="BK113">
        <v>98.4</v>
      </c>
      <c r="BL113">
        <v>55.4</v>
      </c>
      <c r="BM113">
        <v>110.9</v>
      </c>
      <c r="BN113">
        <v>82.7</v>
      </c>
      <c r="BZ113">
        <v>110</v>
      </c>
      <c r="CA113">
        <v>-153.9</v>
      </c>
      <c r="CB113">
        <v>-224.9</v>
      </c>
      <c r="CC113">
        <v>-231.3</v>
      </c>
      <c r="CD113">
        <v>-302.7</v>
      </c>
      <c r="CE113">
        <v>-250.4</v>
      </c>
      <c r="CG113">
        <v>110</v>
      </c>
      <c r="CH113">
        <v>90.7</v>
      </c>
      <c r="CI113">
        <v>64.599999999999994</v>
      </c>
      <c r="CJ113">
        <v>57.7</v>
      </c>
      <c r="CK113">
        <v>52.1</v>
      </c>
      <c r="CL113">
        <v>72.400000000000006</v>
      </c>
    </row>
    <row r="114" spans="1:90" x14ac:dyDescent="0.35">
      <c r="A114">
        <v>111</v>
      </c>
      <c r="B114">
        <v>-168.3</v>
      </c>
      <c r="C114">
        <v>-89.7</v>
      </c>
      <c r="D114">
        <v>-62</v>
      </c>
      <c r="E114">
        <v>518.9</v>
      </c>
      <c r="F114">
        <v>131.80000000000001</v>
      </c>
      <c r="H114">
        <v>111</v>
      </c>
      <c r="I114">
        <v>24.3</v>
      </c>
      <c r="J114">
        <v>29</v>
      </c>
      <c r="K114">
        <v>32.200000000000003</v>
      </c>
      <c r="L114">
        <v>29.4</v>
      </c>
      <c r="M114">
        <v>33.299999999999997</v>
      </c>
      <c r="AB114">
        <v>111</v>
      </c>
      <c r="AC114">
        <v>-93.3</v>
      </c>
      <c r="AD114">
        <v>-155.80000000000001</v>
      </c>
      <c r="AE114">
        <v>-127.7</v>
      </c>
      <c r="AF114">
        <v>-138.6</v>
      </c>
      <c r="AG114">
        <v>-88.4</v>
      </c>
      <c r="AI114">
        <v>111</v>
      </c>
      <c r="AJ114">
        <v>79.900000000000006</v>
      </c>
      <c r="AK114">
        <v>51.7</v>
      </c>
      <c r="AL114">
        <v>57</v>
      </c>
      <c r="AM114">
        <v>64.5</v>
      </c>
      <c r="AN114">
        <v>86.3</v>
      </c>
      <c r="BB114">
        <v>111</v>
      </c>
      <c r="BC114">
        <v>-203.7</v>
      </c>
      <c r="BD114">
        <v>-207.8</v>
      </c>
      <c r="BE114">
        <v>-46.1</v>
      </c>
      <c r="BF114">
        <v>-148.5</v>
      </c>
      <c r="BG114">
        <v>-233.6</v>
      </c>
      <c r="BI114">
        <v>111</v>
      </c>
      <c r="BJ114">
        <v>102</v>
      </c>
      <c r="BK114">
        <v>98.4</v>
      </c>
      <c r="BL114">
        <v>55.5</v>
      </c>
      <c r="BM114">
        <v>110.9</v>
      </c>
      <c r="BN114">
        <v>82.8</v>
      </c>
      <c r="BZ114">
        <v>111</v>
      </c>
      <c r="CA114">
        <v>-146.80000000000001</v>
      </c>
      <c r="CB114">
        <v>-222</v>
      </c>
      <c r="CC114">
        <v>-231.5</v>
      </c>
      <c r="CD114">
        <v>-298.5</v>
      </c>
      <c r="CE114">
        <v>-248</v>
      </c>
      <c r="CG114">
        <v>111</v>
      </c>
      <c r="CH114">
        <v>90.6</v>
      </c>
      <c r="CI114">
        <v>64.5</v>
      </c>
      <c r="CJ114">
        <v>57.7</v>
      </c>
      <c r="CK114">
        <v>52.2</v>
      </c>
      <c r="CL114">
        <v>72.5</v>
      </c>
    </row>
    <row r="115" spans="1:90" x14ac:dyDescent="0.35">
      <c r="A115">
        <v>112</v>
      </c>
      <c r="B115">
        <v>-166.6</v>
      </c>
      <c r="C115">
        <v>-78.400000000000006</v>
      </c>
      <c r="D115">
        <v>-61.9</v>
      </c>
      <c r="E115">
        <v>526.1</v>
      </c>
      <c r="F115">
        <v>210.8</v>
      </c>
      <c r="H115">
        <v>112</v>
      </c>
      <c r="I115">
        <v>24.3</v>
      </c>
      <c r="J115">
        <v>29</v>
      </c>
      <c r="K115">
        <v>32.299999999999997</v>
      </c>
      <c r="L115">
        <v>29.5</v>
      </c>
      <c r="M115">
        <v>33.4</v>
      </c>
      <c r="AB115">
        <v>112</v>
      </c>
      <c r="AC115">
        <v>-93.3</v>
      </c>
      <c r="AD115">
        <v>-154.9</v>
      </c>
      <c r="AE115">
        <v>-126.9</v>
      </c>
      <c r="AF115">
        <v>-138.5</v>
      </c>
      <c r="AG115">
        <v>-87.1</v>
      </c>
      <c r="AI115">
        <v>112</v>
      </c>
      <c r="AJ115">
        <v>79.900000000000006</v>
      </c>
      <c r="AK115">
        <v>51.8</v>
      </c>
      <c r="AL115">
        <v>57</v>
      </c>
      <c r="AM115">
        <v>64.599999999999994</v>
      </c>
      <c r="AN115">
        <v>86</v>
      </c>
      <c r="BB115">
        <v>112</v>
      </c>
      <c r="BC115">
        <v>-202.7</v>
      </c>
      <c r="BD115">
        <v>-207.1</v>
      </c>
      <c r="BE115">
        <v>-31.6</v>
      </c>
      <c r="BF115">
        <v>-148.19999999999999</v>
      </c>
      <c r="BG115">
        <v>-232.5</v>
      </c>
      <c r="BI115">
        <v>112</v>
      </c>
      <c r="BJ115">
        <v>102</v>
      </c>
      <c r="BK115">
        <v>98.5</v>
      </c>
      <c r="BL115">
        <v>55.6</v>
      </c>
      <c r="BM115">
        <v>110.9</v>
      </c>
      <c r="BN115">
        <v>82.9</v>
      </c>
      <c r="BZ115">
        <v>112</v>
      </c>
      <c r="CA115">
        <v>-140.1</v>
      </c>
      <c r="CB115">
        <v>-219.4</v>
      </c>
      <c r="CC115">
        <v>-231.8</v>
      </c>
      <c r="CD115">
        <v>-294.3</v>
      </c>
      <c r="CE115">
        <v>-246.4</v>
      </c>
      <c r="CG115">
        <v>112</v>
      </c>
      <c r="CH115">
        <v>90.5</v>
      </c>
      <c r="CI115">
        <v>64.5</v>
      </c>
      <c r="CJ115">
        <v>57.8</v>
      </c>
      <c r="CK115">
        <v>52.2</v>
      </c>
      <c r="CL115">
        <v>72.5</v>
      </c>
    </row>
    <row r="116" spans="1:90" x14ac:dyDescent="0.35">
      <c r="A116">
        <v>113</v>
      </c>
      <c r="B116">
        <v>-165.3</v>
      </c>
      <c r="C116">
        <v>-67.900000000000006</v>
      </c>
      <c r="D116">
        <v>-61.7</v>
      </c>
      <c r="E116">
        <v>528.9</v>
      </c>
      <c r="F116">
        <v>273.60000000000002</v>
      </c>
      <c r="H116">
        <v>113</v>
      </c>
      <c r="I116">
        <v>24.4</v>
      </c>
      <c r="J116">
        <v>29.1</v>
      </c>
      <c r="K116">
        <v>32.299999999999997</v>
      </c>
      <c r="L116">
        <v>29.5</v>
      </c>
      <c r="M116">
        <v>33.4</v>
      </c>
      <c r="AB116">
        <v>113</v>
      </c>
      <c r="AC116">
        <v>-93.2</v>
      </c>
      <c r="AD116">
        <v>-154.19999999999999</v>
      </c>
      <c r="AE116">
        <v>-126.2</v>
      </c>
      <c r="AF116">
        <v>-138.1</v>
      </c>
      <c r="AG116">
        <v>-85.9</v>
      </c>
      <c r="AI116">
        <v>113</v>
      </c>
      <c r="AJ116">
        <v>79.900000000000006</v>
      </c>
      <c r="AK116">
        <v>51.8</v>
      </c>
      <c r="AL116">
        <v>57</v>
      </c>
      <c r="AM116">
        <v>64.7</v>
      </c>
      <c r="AN116">
        <v>85.8</v>
      </c>
      <c r="BB116">
        <v>113</v>
      </c>
      <c r="BC116">
        <v>-201.9</v>
      </c>
      <c r="BD116">
        <v>-206.6</v>
      </c>
      <c r="BE116">
        <v>-12.9</v>
      </c>
      <c r="BF116">
        <v>-148.1</v>
      </c>
      <c r="BG116">
        <v>-230.9</v>
      </c>
      <c r="BI116">
        <v>113</v>
      </c>
      <c r="BJ116">
        <v>102</v>
      </c>
      <c r="BK116">
        <v>98.5</v>
      </c>
      <c r="BL116">
        <v>55.8</v>
      </c>
      <c r="BM116">
        <v>110.9</v>
      </c>
      <c r="BN116">
        <v>83</v>
      </c>
      <c r="BZ116">
        <v>113</v>
      </c>
      <c r="CA116">
        <v>-133.9</v>
      </c>
      <c r="CB116">
        <v>-216.4</v>
      </c>
      <c r="CC116">
        <v>-232.4</v>
      </c>
      <c r="CD116">
        <v>-290.39999999999998</v>
      </c>
      <c r="CE116">
        <v>-246</v>
      </c>
      <c r="CG116">
        <v>113</v>
      </c>
      <c r="CH116">
        <v>90.5</v>
      </c>
      <c r="CI116">
        <v>64.5</v>
      </c>
      <c r="CJ116">
        <v>57.9</v>
      </c>
      <c r="CK116">
        <v>52.2</v>
      </c>
      <c r="CL116">
        <v>72.599999999999994</v>
      </c>
    </row>
    <row r="117" spans="1:90" x14ac:dyDescent="0.35">
      <c r="A117">
        <v>114</v>
      </c>
      <c r="B117">
        <v>-163.6</v>
      </c>
      <c r="C117">
        <v>-57.5</v>
      </c>
      <c r="D117">
        <v>-61.4</v>
      </c>
      <c r="E117">
        <v>539.5</v>
      </c>
      <c r="F117">
        <v>327.10000000000002</v>
      </c>
      <c r="H117">
        <v>114</v>
      </c>
      <c r="I117">
        <v>24.5</v>
      </c>
      <c r="J117">
        <v>29.2</v>
      </c>
      <c r="K117">
        <v>32.4</v>
      </c>
      <c r="L117">
        <v>29.6</v>
      </c>
      <c r="M117">
        <v>33.5</v>
      </c>
      <c r="AB117">
        <v>114</v>
      </c>
      <c r="AC117">
        <v>-93</v>
      </c>
      <c r="AD117">
        <v>-153.69999999999999</v>
      </c>
      <c r="AE117">
        <v>-125.9</v>
      </c>
      <c r="AF117">
        <v>-137.69999999999999</v>
      </c>
      <c r="AG117">
        <v>-84.7</v>
      </c>
      <c r="AI117">
        <v>114</v>
      </c>
      <c r="AJ117">
        <v>80</v>
      </c>
      <c r="AK117">
        <v>51.9</v>
      </c>
      <c r="AL117">
        <v>57</v>
      </c>
      <c r="AM117">
        <v>64.7</v>
      </c>
      <c r="AN117">
        <v>85.6</v>
      </c>
      <c r="BB117">
        <v>114</v>
      </c>
      <c r="BC117">
        <v>-201.2</v>
      </c>
      <c r="BD117">
        <v>-206.3</v>
      </c>
      <c r="BE117">
        <v>6.7</v>
      </c>
      <c r="BF117">
        <v>-148</v>
      </c>
      <c r="BG117">
        <v>-228.7</v>
      </c>
      <c r="BI117">
        <v>114</v>
      </c>
      <c r="BJ117">
        <v>102</v>
      </c>
      <c r="BK117">
        <v>98.5</v>
      </c>
      <c r="BL117">
        <v>55.9</v>
      </c>
      <c r="BM117">
        <v>110.8</v>
      </c>
      <c r="BN117">
        <v>83.1</v>
      </c>
      <c r="BZ117">
        <v>114</v>
      </c>
      <c r="CA117">
        <v>-128.30000000000001</v>
      </c>
      <c r="CB117">
        <v>-211.1</v>
      </c>
      <c r="CC117">
        <v>-233.2</v>
      </c>
      <c r="CD117">
        <v>-286.39999999999998</v>
      </c>
      <c r="CE117">
        <v>-246.1</v>
      </c>
      <c r="CG117">
        <v>114</v>
      </c>
      <c r="CH117">
        <v>90.4</v>
      </c>
      <c r="CI117">
        <v>64.5</v>
      </c>
      <c r="CJ117">
        <v>57.9</v>
      </c>
      <c r="CK117">
        <v>52.2</v>
      </c>
      <c r="CL117">
        <v>72.7</v>
      </c>
    </row>
    <row r="118" spans="1:90" x14ac:dyDescent="0.35">
      <c r="A118">
        <v>115</v>
      </c>
      <c r="B118">
        <v>-161.19999999999999</v>
      </c>
      <c r="C118">
        <v>-47.2</v>
      </c>
      <c r="D118">
        <v>-61.3</v>
      </c>
      <c r="E118">
        <v>560.20000000000005</v>
      </c>
      <c r="F118">
        <v>367</v>
      </c>
      <c r="H118">
        <v>115</v>
      </c>
      <c r="I118">
        <v>24.5</v>
      </c>
      <c r="J118">
        <v>29.2</v>
      </c>
      <c r="K118">
        <v>32.4</v>
      </c>
      <c r="L118">
        <v>29.7</v>
      </c>
      <c r="M118">
        <v>33.6</v>
      </c>
      <c r="AB118">
        <v>115</v>
      </c>
      <c r="AC118">
        <v>-92.8</v>
      </c>
      <c r="AD118">
        <v>-153.1</v>
      </c>
      <c r="AE118">
        <v>-125.8</v>
      </c>
      <c r="AF118">
        <v>-137.4</v>
      </c>
      <c r="AG118">
        <v>-83.4</v>
      </c>
      <c r="AI118">
        <v>115</v>
      </c>
      <c r="AJ118">
        <v>80</v>
      </c>
      <c r="AK118">
        <v>52</v>
      </c>
      <c r="AL118">
        <v>57.1</v>
      </c>
      <c r="AM118">
        <v>64.8</v>
      </c>
      <c r="AN118">
        <v>85.4</v>
      </c>
      <c r="BB118">
        <v>115</v>
      </c>
      <c r="BC118">
        <v>-200.4</v>
      </c>
      <c r="BD118">
        <v>-206.1</v>
      </c>
      <c r="BE118">
        <v>27.7</v>
      </c>
      <c r="BF118">
        <v>-147.69999999999999</v>
      </c>
      <c r="BG118">
        <v>-225.8</v>
      </c>
      <c r="BI118">
        <v>115</v>
      </c>
      <c r="BJ118">
        <v>102</v>
      </c>
      <c r="BK118">
        <v>98.5</v>
      </c>
      <c r="BL118">
        <v>56</v>
      </c>
      <c r="BM118">
        <v>110.8</v>
      </c>
      <c r="BN118">
        <v>83.1</v>
      </c>
      <c r="BZ118">
        <v>115</v>
      </c>
      <c r="CA118">
        <v>-123.3</v>
      </c>
      <c r="CB118">
        <v>-204.4</v>
      </c>
      <c r="CC118">
        <v>-233.7</v>
      </c>
      <c r="CD118">
        <v>-282.2</v>
      </c>
      <c r="CE118">
        <v>-246.6</v>
      </c>
      <c r="CG118">
        <v>115</v>
      </c>
      <c r="CH118">
        <v>90.3</v>
      </c>
      <c r="CI118">
        <v>64.5</v>
      </c>
      <c r="CJ118">
        <v>58</v>
      </c>
      <c r="CK118">
        <v>52.2</v>
      </c>
      <c r="CL118">
        <v>72.8</v>
      </c>
    </row>
    <row r="119" spans="1:90" x14ac:dyDescent="0.35">
      <c r="A119">
        <v>116</v>
      </c>
      <c r="B119">
        <v>-158.19999999999999</v>
      </c>
      <c r="C119">
        <v>-37</v>
      </c>
      <c r="D119">
        <v>-61.1</v>
      </c>
      <c r="E119">
        <v>582.20000000000005</v>
      </c>
      <c r="F119">
        <v>395.7</v>
      </c>
      <c r="H119">
        <v>116</v>
      </c>
      <c r="I119">
        <v>24.6</v>
      </c>
      <c r="J119">
        <v>29.3</v>
      </c>
      <c r="K119">
        <v>32.5</v>
      </c>
      <c r="L119">
        <v>29.7</v>
      </c>
      <c r="M119">
        <v>33.6</v>
      </c>
      <c r="AB119">
        <v>116</v>
      </c>
      <c r="AC119">
        <v>-92.5</v>
      </c>
      <c r="AD119">
        <v>-152.19999999999999</v>
      </c>
      <c r="AE119">
        <v>-125.7</v>
      </c>
      <c r="AF119">
        <v>-137</v>
      </c>
      <c r="AG119">
        <v>-81.900000000000006</v>
      </c>
      <c r="AI119">
        <v>116</v>
      </c>
      <c r="AJ119">
        <v>79.900000000000006</v>
      </c>
      <c r="AK119">
        <v>52.1</v>
      </c>
      <c r="AL119">
        <v>57.1</v>
      </c>
      <c r="AM119">
        <v>64.8</v>
      </c>
      <c r="AN119">
        <v>85.1</v>
      </c>
      <c r="BB119">
        <v>116</v>
      </c>
      <c r="BC119">
        <v>-199.5</v>
      </c>
      <c r="BD119">
        <v>-206</v>
      </c>
      <c r="BE119">
        <v>62.9</v>
      </c>
      <c r="BF119">
        <v>-147.4</v>
      </c>
      <c r="BG119">
        <v>-222.4</v>
      </c>
      <c r="BI119">
        <v>116</v>
      </c>
      <c r="BJ119">
        <v>102</v>
      </c>
      <c r="BK119">
        <v>98.6</v>
      </c>
      <c r="BL119">
        <v>56.1</v>
      </c>
      <c r="BM119">
        <v>110.9</v>
      </c>
      <c r="BN119">
        <v>83.2</v>
      </c>
      <c r="BZ119">
        <v>116</v>
      </c>
      <c r="CA119">
        <v>-118.7</v>
      </c>
      <c r="CB119">
        <v>-197.2</v>
      </c>
      <c r="CC119">
        <v>-233.8</v>
      </c>
      <c r="CD119">
        <v>-277.5</v>
      </c>
      <c r="CE119">
        <v>-247.2</v>
      </c>
      <c r="CG119">
        <v>116</v>
      </c>
      <c r="CH119">
        <v>90.3</v>
      </c>
      <c r="CI119">
        <v>64.5</v>
      </c>
      <c r="CJ119">
        <v>58.1</v>
      </c>
      <c r="CK119">
        <v>52.2</v>
      </c>
      <c r="CL119">
        <v>72.8</v>
      </c>
    </row>
    <row r="120" spans="1:90" x14ac:dyDescent="0.35">
      <c r="A120">
        <v>117</v>
      </c>
      <c r="B120">
        <v>-153.9</v>
      </c>
      <c r="C120">
        <v>-26.4</v>
      </c>
      <c r="D120">
        <v>-60.8</v>
      </c>
      <c r="E120">
        <v>600.29999999999995</v>
      </c>
      <c r="F120">
        <v>419.4</v>
      </c>
      <c r="H120">
        <v>117</v>
      </c>
      <c r="I120">
        <v>24.6</v>
      </c>
      <c r="J120">
        <v>29.3</v>
      </c>
      <c r="K120">
        <v>32.5</v>
      </c>
      <c r="L120">
        <v>29.8</v>
      </c>
      <c r="M120">
        <v>33.700000000000003</v>
      </c>
      <c r="AB120">
        <v>117</v>
      </c>
      <c r="AC120">
        <v>-92</v>
      </c>
      <c r="AD120">
        <v>-151.30000000000001</v>
      </c>
      <c r="AE120">
        <v>-125.3</v>
      </c>
      <c r="AF120">
        <v>-136.5</v>
      </c>
      <c r="AG120">
        <v>-80.3</v>
      </c>
      <c r="AI120">
        <v>117</v>
      </c>
      <c r="AJ120">
        <v>79.900000000000006</v>
      </c>
      <c r="AK120">
        <v>52.2</v>
      </c>
      <c r="AL120">
        <v>57.2</v>
      </c>
      <c r="AM120">
        <v>64.900000000000006</v>
      </c>
      <c r="AN120">
        <v>85</v>
      </c>
      <c r="BB120">
        <v>117</v>
      </c>
      <c r="BC120">
        <v>-198.3</v>
      </c>
      <c r="BD120">
        <v>-205.8</v>
      </c>
      <c r="BE120">
        <v>131.19999999999999</v>
      </c>
      <c r="BF120">
        <v>-147.19999999999999</v>
      </c>
      <c r="BG120">
        <v>-218.6</v>
      </c>
      <c r="BI120">
        <v>117</v>
      </c>
      <c r="BJ120">
        <v>102</v>
      </c>
      <c r="BK120">
        <v>98.6</v>
      </c>
      <c r="BL120">
        <v>56.2</v>
      </c>
      <c r="BM120">
        <v>110.8</v>
      </c>
      <c r="BN120">
        <v>83.3</v>
      </c>
      <c r="BZ120">
        <v>117</v>
      </c>
      <c r="CA120">
        <v>-114.6</v>
      </c>
      <c r="CB120">
        <v>-188.9</v>
      </c>
      <c r="CC120">
        <v>-233.8</v>
      </c>
      <c r="CD120">
        <v>-271.60000000000002</v>
      </c>
      <c r="CE120">
        <v>-247.3</v>
      </c>
      <c r="CG120">
        <v>117</v>
      </c>
      <c r="CH120">
        <v>90.2</v>
      </c>
      <c r="CI120">
        <v>64.5</v>
      </c>
      <c r="CJ120">
        <v>58.1</v>
      </c>
      <c r="CK120">
        <v>52.2</v>
      </c>
      <c r="CL120">
        <v>72.8</v>
      </c>
    </row>
    <row r="121" spans="1:90" x14ac:dyDescent="0.35">
      <c r="A121">
        <v>118</v>
      </c>
      <c r="B121">
        <v>-148.19999999999999</v>
      </c>
      <c r="C121">
        <v>-16</v>
      </c>
      <c r="D121">
        <v>-60.5</v>
      </c>
      <c r="E121">
        <v>605.70000000000005</v>
      </c>
      <c r="F121">
        <v>442.4</v>
      </c>
      <c r="H121">
        <v>118</v>
      </c>
      <c r="I121">
        <v>24.7</v>
      </c>
      <c r="J121">
        <v>29.4</v>
      </c>
      <c r="K121">
        <v>32.6</v>
      </c>
      <c r="L121">
        <v>29.8</v>
      </c>
      <c r="M121">
        <v>33.700000000000003</v>
      </c>
      <c r="AB121">
        <v>118</v>
      </c>
      <c r="AC121">
        <v>-91.6</v>
      </c>
      <c r="AD121">
        <v>-150.5</v>
      </c>
      <c r="AE121">
        <v>-124.8</v>
      </c>
      <c r="AF121">
        <v>-136</v>
      </c>
      <c r="AG121">
        <v>-78.599999999999994</v>
      </c>
      <c r="AI121">
        <v>118</v>
      </c>
      <c r="AJ121">
        <v>79.8</v>
      </c>
      <c r="AK121">
        <v>52.3</v>
      </c>
      <c r="AL121">
        <v>57.2</v>
      </c>
      <c r="AM121">
        <v>65</v>
      </c>
      <c r="AN121">
        <v>84.8</v>
      </c>
      <c r="BB121">
        <v>118</v>
      </c>
      <c r="BC121">
        <v>-197.2</v>
      </c>
      <c r="BD121">
        <v>-205.7</v>
      </c>
      <c r="BE121">
        <v>227.9</v>
      </c>
      <c r="BF121">
        <v>-147.1</v>
      </c>
      <c r="BG121">
        <v>-213.3</v>
      </c>
      <c r="BI121">
        <v>118</v>
      </c>
      <c r="BJ121">
        <v>102</v>
      </c>
      <c r="BK121">
        <v>98.6</v>
      </c>
      <c r="BL121">
        <v>56.3</v>
      </c>
      <c r="BM121">
        <v>110.8</v>
      </c>
      <c r="BN121">
        <v>83.4</v>
      </c>
      <c r="BZ121">
        <v>118</v>
      </c>
      <c r="CA121">
        <v>-110.9</v>
      </c>
      <c r="CB121">
        <v>-178.2</v>
      </c>
      <c r="CC121">
        <v>-233.5</v>
      </c>
      <c r="CD121">
        <v>-264.39999999999998</v>
      </c>
      <c r="CE121">
        <v>-246.5</v>
      </c>
      <c r="CG121">
        <v>118</v>
      </c>
      <c r="CH121">
        <v>90.2</v>
      </c>
      <c r="CI121">
        <v>64.5</v>
      </c>
      <c r="CJ121">
        <v>58.2</v>
      </c>
      <c r="CK121">
        <v>52.3</v>
      </c>
      <c r="CL121">
        <v>72.900000000000006</v>
      </c>
    </row>
    <row r="122" spans="1:90" x14ac:dyDescent="0.35">
      <c r="A122">
        <v>119</v>
      </c>
      <c r="B122">
        <v>-141.80000000000001</v>
      </c>
      <c r="C122">
        <v>-6.6</v>
      </c>
      <c r="D122">
        <v>-60.2</v>
      </c>
      <c r="E122">
        <v>596.79999999999995</v>
      </c>
      <c r="F122">
        <v>460.7</v>
      </c>
      <c r="H122">
        <v>119</v>
      </c>
      <c r="I122">
        <v>24.8</v>
      </c>
      <c r="J122">
        <v>29.4</v>
      </c>
      <c r="K122">
        <v>32.700000000000003</v>
      </c>
      <c r="L122">
        <v>29.9</v>
      </c>
      <c r="M122">
        <v>33.799999999999997</v>
      </c>
      <c r="AB122">
        <v>119</v>
      </c>
      <c r="AC122">
        <v>-91.2</v>
      </c>
      <c r="AD122">
        <v>-149.9</v>
      </c>
      <c r="AE122">
        <v>-124.3</v>
      </c>
      <c r="AF122">
        <v>-135.6</v>
      </c>
      <c r="AG122">
        <v>-76.3</v>
      </c>
      <c r="AI122">
        <v>119</v>
      </c>
      <c r="AJ122">
        <v>79.900000000000006</v>
      </c>
      <c r="AK122">
        <v>52.3</v>
      </c>
      <c r="AL122">
        <v>57.3</v>
      </c>
      <c r="AM122">
        <v>65.099999999999994</v>
      </c>
      <c r="AN122">
        <v>84.6</v>
      </c>
      <c r="BB122">
        <v>119</v>
      </c>
      <c r="BC122">
        <v>-196.4</v>
      </c>
      <c r="BD122">
        <v>-205.9</v>
      </c>
      <c r="BE122">
        <v>330</v>
      </c>
      <c r="BF122">
        <v>-146.69999999999999</v>
      </c>
      <c r="BG122">
        <v>-206.7</v>
      </c>
      <c r="BI122">
        <v>119</v>
      </c>
      <c r="BJ122">
        <v>102.1</v>
      </c>
      <c r="BK122">
        <v>98.7</v>
      </c>
      <c r="BL122">
        <v>56.4</v>
      </c>
      <c r="BM122">
        <v>110.8</v>
      </c>
      <c r="BN122">
        <v>83.5</v>
      </c>
      <c r="BZ122">
        <v>119</v>
      </c>
      <c r="CA122">
        <v>-107.8</v>
      </c>
      <c r="CB122">
        <v>-163</v>
      </c>
      <c r="CC122">
        <v>-233.1</v>
      </c>
      <c r="CD122">
        <v>-256.2</v>
      </c>
      <c r="CE122">
        <v>-245.2</v>
      </c>
      <c r="CG122">
        <v>119</v>
      </c>
      <c r="CH122">
        <v>90.1</v>
      </c>
      <c r="CI122">
        <v>64.5</v>
      </c>
      <c r="CJ122">
        <v>58.4</v>
      </c>
      <c r="CK122">
        <v>52.3</v>
      </c>
      <c r="CL122">
        <v>72.900000000000006</v>
      </c>
    </row>
    <row r="123" spans="1:90" x14ac:dyDescent="0.35">
      <c r="A123">
        <v>120</v>
      </c>
      <c r="B123">
        <v>-135.6</v>
      </c>
      <c r="C123">
        <v>2.2000000000000002</v>
      </c>
      <c r="D123">
        <v>-60</v>
      </c>
      <c r="E123">
        <v>589.4</v>
      </c>
      <c r="F123">
        <v>473.3</v>
      </c>
      <c r="H123">
        <v>120</v>
      </c>
      <c r="I123">
        <v>24.8</v>
      </c>
      <c r="J123">
        <v>29.5</v>
      </c>
      <c r="K123">
        <v>32.700000000000003</v>
      </c>
      <c r="L123">
        <v>30</v>
      </c>
      <c r="M123">
        <v>33.9</v>
      </c>
      <c r="AB123">
        <v>120</v>
      </c>
      <c r="AC123">
        <v>-90.6</v>
      </c>
      <c r="AD123">
        <v>-149.5</v>
      </c>
      <c r="AE123">
        <v>-123.7</v>
      </c>
      <c r="AF123">
        <v>-135.19999999999999</v>
      </c>
      <c r="AG123">
        <v>-73</v>
      </c>
      <c r="AI123">
        <v>120</v>
      </c>
      <c r="AJ123">
        <v>79.900000000000006</v>
      </c>
      <c r="AK123">
        <v>52.5</v>
      </c>
      <c r="AL123">
        <v>57.3</v>
      </c>
      <c r="AM123">
        <v>65.5</v>
      </c>
      <c r="AN123">
        <v>84.5</v>
      </c>
      <c r="BB123">
        <v>120</v>
      </c>
      <c r="BC123">
        <v>-195.9</v>
      </c>
      <c r="BD123">
        <v>-205.9</v>
      </c>
      <c r="BE123">
        <v>411.7</v>
      </c>
      <c r="BF123">
        <v>-145.80000000000001</v>
      </c>
      <c r="BG123">
        <v>-199.7</v>
      </c>
      <c r="BI123">
        <v>120</v>
      </c>
      <c r="BJ123">
        <v>102.1</v>
      </c>
      <c r="BK123">
        <v>98.7</v>
      </c>
      <c r="BL123">
        <v>56.5</v>
      </c>
      <c r="BM123">
        <v>110.8</v>
      </c>
      <c r="BN123">
        <v>83.5</v>
      </c>
      <c r="BZ123">
        <v>120</v>
      </c>
      <c r="CA123">
        <v>-105.3</v>
      </c>
      <c r="CB123">
        <v>-145.30000000000001</v>
      </c>
      <c r="CC123">
        <v>-232.6</v>
      </c>
      <c r="CD123">
        <v>-246.5</v>
      </c>
      <c r="CE123">
        <v>-243.6</v>
      </c>
      <c r="CG123">
        <v>120</v>
      </c>
      <c r="CH123">
        <v>90.1</v>
      </c>
      <c r="CI123">
        <v>64.5</v>
      </c>
      <c r="CJ123">
        <v>58.5</v>
      </c>
      <c r="CK123">
        <v>52.4</v>
      </c>
      <c r="CL123">
        <v>73</v>
      </c>
    </row>
    <row r="124" spans="1:90" x14ac:dyDescent="0.35">
      <c r="A124">
        <v>121</v>
      </c>
      <c r="B124">
        <v>-129.6</v>
      </c>
      <c r="C124">
        <v>11.4</v>
      </c>
      <c r="D124">
        <v>-59.9</v>
      </c>
      <c r="E124">
        <v>591.4</v>
      </c>
      <c r="F124">
        <v>479.8</v>
      </c>
      <c r="H124">
        <v>121</v>
      </c>
      <c r="I124">
        <v>24.9</v>
      </c>
      <c r="J124">
        <v>29.6</v>
      </c>
      <c r="K124">
        <v>32.799999999999997</v>
      </c>
      <c r="L124">
        <v>30.1</v>
      </c>
      <c r="M124">
        <v>33.9</v>
      </c>
      <c r="AB124">
        <v>121</v>
      </c>
      <c r="AC124">
        <v>-90.1</v>
      </c>
      <c r="AD124">
        <v>-149.4</v>
      </c>
      <c r="AE124">
        <v>-123.4</v>
      </c>
      <c r="AF124">
        <v>-134.6</v>
      </c>
      <c r="AG124">
        <v>-67.900000000000006</v>
      </c>
      <c r="AI124">
        <v>121</v>
      </c>
      <c r="AJ124">
        <v>80</v>
      </c>
      <c r="AK124">
        <v>52.5</v>
      </c>
      <c r="AL124">
        <v>57.4</v>
      </c>
      <c r="AM124">
        <v>65.599999999999994</v>
      </c>
      <c r="AN124">
        <v>84.4</v>
      </c>
      <c r="BB124">
        <v>121</v>
      </c>
      <c r="BC124">
        <v>-195.5</v>
      </c>
      <c r="BD124">
        <v>-204.9</v>
      </c>
      <c r="BE124">
        <v>472.6</v>
      </c>
      <c r="BF124">
        <v>-144.30000000000001</v>
      </c>
      <c r="BG124">
        <v>-192.6</v>
      </c>
      <c r="BI124">
        <v>121</v>
      </c>
      <c r="BJ124">
        <v>102.1</v>
      </c>
      <c r="BK124">
        <v>98.7</v>
      </c>
      <c r="BL124">
        <v>56.6</v>
      </c>
      <c r="BM124">
        <v>110.8</v>
      </c>
      <c r="BN124">
        <v>83.6</v>
      </c>
      <c r="BZ124">
        <v>121</v>
      </c>
      <c r="CA124">
        <v>-103</v>
      </c>
      <c r="CB124">
        <v>-128.6</v>
      </c>
      <c r="CC124">
        <v>-232.1</v>
      </c>
      <c r="CD124">
        <v>-234.6</v>
      </c>
      <c r="CE124">
        <v>-241.8</v>
      </c>
      <c r="CG124">
        <v>121</v>
      </c>
      <c r="CH124">
        <v>90.1</v>
      </c>
      <c r="CI124">
        <v>64.5</v>
      </c>
      <c r="CJ124">
        <v>58.5</v>
      </c>
      <c r="CK124">
        <v>52.4</v>
      </c>
      <c r="CL124">
        <v>73</v>
      </c>
    </row>
    <row r="125" spans="1:90" x14ac:dyDescent="0.35">
      <c r="A125">
        <v>122</v>
      </c>
      <c r="B125">
        <v>-123.8</v>
      </c>
      <c r="C125">
        <v>20.9</v>
      </c>
      <c r="D125">
        <v>-59.8</v>
      </c>
      <c r="E125">
        <v>602</v>
      </c>
      <c r="F125">
        <v>485.2</v>
      </c>
      <c r="H125">
        <v>122</v>
      </c>
      <c r="I125">
        <v>24.9</v>
      </c>
      <c r="J125">
        <v>29.6</v>
      </c>
      <c r="K125">
        <v>32.799999999999997</v>
      </c>
      <c r="L125">
        <v>30.1</v>
      </c>
      <c r="M125">
        <v>34</v>
      </c>
      <c r="AB125">
        <v>122</v>
      </c>
      <c r="AC125">
        <v>-89.5</v>
      </c>
      <c r="AD125">
        <v>-149.19999999999999</v>
      </c>
      <c r="AE125">
        <v>-123.3</v>
      </c>
      <c r="AF125">
        <v>-134</v>
      </c>
      <c r="AG125">
        <v>-59.5</v>
      </c>
      <c r="AI125">
        <v>122</v>
      </c>
      <c r="AJ125">
        <v>80</v>
      </c>
      <c r="AK125">
        <v>52.6</v>
      </c>
      <c r="AL125">
        <v>57.5</v>
      </c>
      <c r="AM125">
        <v>65.7</v>
      </c>
      <c r="AN125">
        <v>84.3</v>
      </c>
      <c r="BB125">
        <v>122</v>
      </c>
      <c r="BC125">
        <v>-195.2</v>
      </c>
      <c r="BD125">
        <v>-203</v>
      </c>
      <c r="BE125">
        <v>516.6</v>
      </c>
      <c r="BF125">
        <v>-142.69999999999999</v>
      </c>
      <c r="BG125">
        <v>-185.8</v>
      </c>
      <c r="BI125">
        <v>122</v>
      </c>
      <c r="BJ125">
        <v>102.1</v>
      </c>
      <c r="BK125">
        <v>98.8</v>
      </c>
      <c r="BL125">
        <v>56.7</v>
      </c>
      <c r="BM125">
        <v>110.9</v>
      </c>
      <c r="BN125">
        <v>83.7</v>
      </c>
      <c r="BZ125">
        <v>122</v>
      </c>
      <c r="CA125">
        <v>-100.8</v>
      </c>
      <c r="CB125">
        <v>-115.7</v>
      </c>
      <c r="CC125">
        <v>-231.5</v>
      </c>
      <c r="CD125">
        <v>-221.2</v>
      </c>
      <c r="CE125">
        <v>-240.2</v>
      </c>
      <c r="CG125">
        <v>122</v>
      </c>
      <c r="CH125">
        <v>90.1</v>
      </c>
      <c r="CI125">
        <v>64.5</v>
      </c>
      <c r="CJ125">
        <v>58.6</v>
      </c>
      <c r="CK125">
        <v>52.4</v>
      </c>
      <c r="CL125">
        <v>73.099999999999994</v>
      </c>
    </row>
    <row r="126" spans="1:90" x14ac:dyDescent="0.35">
      <c r="A126">
        <v>123</v>
      </c>
      <c r="B126">
        <v>-117.9</v>
      </c>
      <c r="C126">
        <v>30.2</v>
      </c>
      <c r="D126">
        <v>-59.6</v>
      </c>
      <c r="E126">
        <v>569.79999999999995</v>
      </c>
      <c r="F126">
        <v>494</v>
      </c>
      <c r="H126">
        <v>123</v>
      </c>
      <c r="I126">
        <v>25</v>
      </c>
      <c r="J126">
        <v>29.7</v>
      </c>
      <c r="K126">
        <v>32.9</v>
      </c>
      <c r="L126">
        <v>30.1</v>
      </c>
      <c r="M126">
        <v>34</v>
      </c>
      <c r="AB126">
        <v>123</v>
      </c>
      <c r="AC126">
        <v>-89</v>
      </c>
      <c r="AD126">
        <v>-149.19999999999999</v>
      </c>
      <c r="AE126">
        <v>-123.2</v>
      </c>
      <c r="AF126">
        <v>-133</v>
      </c>
      <c r="AG126">
        <v>-48.7</v>
      </c>
      <c r="AI126">
        <v>123</v>
      </c>
      <c r="AJ126">
        <v>80.099999999999994</v>
      </c>
      <c r="AK126">
        <v>52.7</v>
      </c>
      <c r="AL126">
        <v>57.5</v>
      </c>
      <c r="AM126">
        <v>65.599999999999994</v>
      </c>
      <c r="AN126">
        <v>84.2</v>
      </c>
      <c r="BB126">
        <v>123</v>
      </c>
      <c r="BC126">
        <v>-194.5</v>
      </c>
      <c r="BD126">
        <v>-200.2</v>
      </c>
      <c r="BE126">
        <v>551.9</v>
      </c>
      <c r="BF126">
        <v>-141.5</v>
      </c>
      <c r="BG126">
        <v>-179.4</v>
      </c>
      <c r="BI126">
        <v>123</v>
      </c>
      <c r="BJ126">
        <v>102.1</v>
      </c>
      <c r="BK126">
        <v>98.8</v>
      </c>
      <c r="BL126">
        <v>56.7</v>
      </c>
      <c r="BM126">
        <v>110.9</v>
      </c>
      <c r="BN126">
        <v>83.8</v>
      </c>
      <c r="BZ126">
        <v>123</v>
      </c>
      <c r="CA126">
        <v>-98.5</v>
      </c>
      <c r="CB126">
        <v>-106.4</v>
      </c>
      <c r="CC126">
        <v>-231</v>
      </c>
      <c r="CD126">
        <v>-208.7</v>
      </c>
      <c r="CE126">
        <v>-239</v>
      </c>
      <c r="CG126">
        <v>123</v>
      </c>
      <c r="CH126">
        <v>90</v>
      </c>
      <c r="CI126">
        <v>64.5</v>
      </c>
      <c r="CJ126">
        <v>58.7</v>
      </c>
      <c r="CK126">
        <v>52.5</v>
      </c>
      <c r="CL126">
        <v>73.099999999999994</v>
      </c>
    </row>
    <row r="127" spans="1:90" x14ac:dyDescent="0.35">
      <c r="A127">
        <v>124</v>
      </c>
      <c r="B127">
        <v>-112.4</v>
      </c>
      <c r="C127">
        <v>42.1</v>
      </c>
      <c r="D127">
        <v>-59.2</v>
      </c>
      <c r="E127">
        <v>474.6</v>
      </c>
      <c r="F127">
        <v>503.2</v>
      </c>
      <c r="H127">
        <v>124</v>
      </c>
      <c r="I127">
        <v>25.1</v>
      </c>
      <c r="J127">
        <v>29.7</v>
      </c>
      <c r="K127">
        <v>32.9</v>
      </c>
      <c r="L127">
        <v>30.2</v>
      </c>
      <c r="M127">
        <v>34.1</v>
      </c>
      <c r="AB127">
        <v>124</v>
      </c>
      <c r="AC127">
        <v>-88.3</v>
      </c>
      <c r="AD127">
        <v>-149.1</v>
      </c>
      <c r="AE127">
        <v>-123.4</v>
      </c>
      <c r="AF127">
        <v>-131.9</v>
      </c>
      <c r="AG127">
        <v>-37</v>
      </c>
      <c r="AI127">
        <v>124</v>
      </c>
      <c r="AJ127">
        <v>80.099999999999994</v>
      </c>
      <c r="AK127">
        <v>52.8</v>
      </c>
      <c r="AL127">
        <v>57.6</v>
      </c>
      <c r="AM127">
        <v>65.599999999999994</v>
      </c>
      <c r="AN127">
        <v>84.2</v>
      </c>
      <c r="BB127">
        <v>124</v>
      </c>
      <c r="BC127">
        <v>-193.5</v>
      </c>
      <c r="BD127">
        <v>-195.5</v>
      </c>
      <c r="BE127">
        <v>583.6</v>
      </c>
      <c r="BF127">
        <v>-140.4</v>
      </c>
      <c r="BG127">
        <v>-173.8</v>
      </c>
      <c r="BI127">
        <v>124</v>
      </c>
      <c r="BJ127">
        <v>102.2</v>
      </c>
      <c r="BK127">
        <v>98.8</v>
      </c>
      <c r="BL127">
        <v>56.8</v>
      </c>
      <c r="BM127">
        <v>110.8</v>
      </c>
      <c r="BN127">
        <v>83.9</v>
      </c>
      <c r="BZ127">
        <v>124</v>
      </c>
      <c r="CA127">
        <v>-96.1</v>
      </c>
      <c r="CB127">
        <v>-99.3</v>
      </c>
      <c r="CC127">
        <v>-231</v>
      </c>
      <c r="CD127">
        <v>-198.3</v>
      </c>
      <c r="CE127">
        <v>-238.3</v>
      </c>
      <c r="CG127">
        <v>124</v>
      </c>
      <c r="CH127">
        <v>89.9</v>
      </c>
      <c r="CI127">
        <v>64.5</v>
      </c>
      <c r="CJ127">
        <v>58.7</v>
      </c>
      <c r="CK127">
        <v>52.5</v>
      </c>
      <c r="CL127">
        <v>73.2</v>
      </c>
    </row>
    <row r="128" spans="1:90" x14ac:dyDescent="0.35">
      <c r="A128">
        <v>125</v>
      </c>
      <c r="B128">
        <v>-107</v>
      </c>
      <c r="C128">
        <v>64.5</v>
      </c>
      <c r="D128">
        <v>-58.8</v>
      </c>
      <c r="E128">
        <v>368.5</v>
      </c>
      <c r="F128">
        <v>512.29999999999995</v>
      </c>
      <c r="H128">
        <v>125</v>
      </c>
      <c r="I128">
        <v>25.1</v>
      </c>
      <c r="J128">
        <v>29.7</v>
      </c>
      <c r="K128">
        <v>33</v>
      </c>
      <c r="L128">
        <v>30.3</v>
      </c>
      <c r="M128">
        <v>34.1</v>
      </c>
      <c r="AB128">
        <v>125</v>
      </c>
      <c r="AC128">
        <v>-87.6</v>
      </c>
      <c r="AD128">
        <v>-149</v>
      </c>
      <c r="AE128">
        <v>-123.8</v>
      </c>
      <c r="AF128">
        <v>-131.1</v>
      </c>
      <c r="AG128">
        <v>-24.9</v>
      </c>
      <c r="AI128">
        <v>125</v>
      </c>
      <c r="AJ128">
        <v>80.099999999999994</v>
      </c>
      <c r="AK128">
        <v>52.8</v>
      </c>
      <c r="AL128">
        <v>57.7</v>
      </c>
      <c r="AM128">
        <v>65.7</v>
      </c>
      <c r="AN128">
        <v>84.1</v>
      </c>
      <c r="BB128">
        <v>125</v>
      </c>
      <c r="BC128">
        <v>-192.1</v>
      </c>
      <c r="BD128">
        <v>-189.5</v>
      </c>
      <c r="BE128">
        <v>620.9</v>
      </c>
      <c r="BF128">
        <v>-139</v>
      </c>
      <c r="BG128">
        <v>-168.8</v>
      </c>
      <c r="BI128">
        <v>125</v>
      </c>
      <c r="BJ128">
        <v>102.2</v>
      </c>
      <c r="BK128">
        <v>98.9</v>
      </c>
      <c r="BL128">
        <v>56.9</v>
      </c>
      <c r="BM128">
        <v>110.8</v>
      </c>
      <c r="BN128">
        <v>83.9</v>
      </c>
      <c r="BZ128">
        <v>125</v>
      </c>
      <c r="CA128">
        <v>-93.6</v>
      </c>
      <c r="CB128">
        <v>-91.6</v>
      </c>
      <c r="CC128">
        <v>-231.2</v>
      </c>
      <c r="CD128">
        <v>-189.2</v>
      </c>
      <c r="CE128">
        <v>-238.3</v>
      </c>
      <c r="CG128">
        <v>125</v>
      </c>
      <c r="CH128">
        <v>89.9</v>
      </c>
      <c r="CI128">
        <v>64.5</v>
      </c>
      <c r="CJ128">
        <v>58.8</v>
      </c>
      <c r="CK128">
        <v>52.6</v>
      </c>
      <c r="CL128">
        <v>73.3</v>
      </c>
    </row>
    <row r="129" spans="1:90" x14ac:dyDescent="0.35">
      <c r="A129">
        <v>126</v>
      </c>
      <c r="B129">
        <v>-101.2</v>
      </c>
      <c r="C129">
        <v>99.4</v>
      </c>
      <c r="D129">
        <v>-58.2</v>
      </c>
      <c r="E129">
        <v>282</v>
      </c>
      <c r="F129">
        <v>519.1</v>
      </c>
      <c r="H129">
        <v>126</v>
      </c>
      <c r="I129">
        <v>25.2</v>
      </c>
      <c r="J129">
        <v>29.8</v>
      </c>
      <c r="K129">
        <v>33</v>
      </c>
      <c r="L129">
        <v>30.3</v>
      </c>
      <c r="M129">
        <v>34.200000000000003</v>
      </c>
      <c r="AB129">
        <v>126</v>
      </c>
      <c r="AC129">
        <v>-86.7</v>
      </c>
      <c r="AD129">
        <v>-148.9</v>
      </c>
      <c r="AE129">
        <v>-124.1</v>
      </c>
      <c r="AF129">
        <v>-130.6</v>
      </c>
      <c r="AG129">
        <v>-11.9</v>
      </c>
      <c r="AI129">
        <v>126</v>
      </c>
      <c r="AJ129">
        <v>80.2</v>
      </c>
      <c r="AK129">
        <v>52.9</v>
      </c>
      <c r="AL129">
        <v>57.7</v>
      </c>
      <c r="AM129">
        <v>65.7</v>
      </c>
      <c r="AN129">
        <v>84</v>
      </c>
      <c r="BB129">
        <v>126</v>
      </c>
      <c r="BC129">
        <v>-190.3</v>
      </c>
      <c r="BD129">
        <v>-184.1</v>
      </c>
      <c r="BE129">
        <v>655.9</v>
      </c>
      <c r="BF129">
        <v>-137.4</v>
      </c>
      <c r="BG129">
        <v>-164.3</v>
      </c>
      <c r="BI129">
        <v>126</v>
      </c>
      <c r="BJ129">
        <v>102.2</v>
      </c>
      <c r="BK129">
        <v>98.9</v>
      </c>
      <c r="BL129">
        <v>57</v>
      </c>
      <c r="BM129">
        <v>110.8</v>
      </c>
      <c r="BN129">
        <v>84</v>
      </c>
      <c r="BZ129">
        <v>126</v>
      </c>
      <c r="CA129">
        <v>-90.8</v>
      </c>
      <c r="CB129">
        <v>-79.2</v>
      </c>
      <c r="CC129">
        <v>-231.3</v>
      </c>
      <c r="CD129">
        <v>-179.8</v>
      </c>
      <c r="CE129">
        <v>-238.4</v>
      </c>
      <c r="CG129">
        <v>126</v>
      </c>
      <c r="CH129">
        <v>89.9</v>
      </c>
      <c r="CI129">
        <v>64.5</v>
      </c>
      <c r="CJ129">
        <v>58.9</v>
      </c>
      <c r="CK129">
        <v>52.6</v>
      </c>
      <c r="CL129">
        <v>73.3</v>
      </c>
    </row>
    <row r="130" spans="1:90" x14ac:dyDescent="0.35">
      <c r="A130">
        <v>127</v>
      </c>
      <c r="B130">
        <v>-94</v>
      </c>
      <c r="C130">
        <v>139.6</v>
      </c>
      <c r="D130">
        <v>-57.7</v>
      </c>
      <c r="E130">
        <v>211</v>
      </c>
      <c r="F130">
        <v>525.4</v>
      </c>
      <c r="H130">
        <v>127</v>
      </c>
      <c r="I130">
        <v>25.2</v>
      </c>
      <c r="J130">
        <v>29.8</v>
      </c>
      <c r="K130">
        <v>33.1</v>
      </c>
      <c r="L130">
        <v>30.4</v>
      </c>
      <c r="M130">
        <v>34.299999999999997</v>
      </c>
      <c r="AB130">
        <v>127</v>
      </c>
      <c r="AC130">
        <v>-85.8</v>
      </c>
      <c r="AD130">
        <v>-148.6</v>
      </c>
      <c r="AE130">
        <v>-124.3</v>
      </c>
      <c r="AF130">
        <v>-130.4</v>
      </c>
      <c r="AG130">
        <v>1.2</v>
      </c>
      <c r="AI130">
        <v>127</v>
      </c>
      <c r="AJ130">
        <v>80.3</v>
      </c>
      <c r="AK130">
        <v>53</v>
      </c>
      <c r="AL130">
        <v>57.8</v>
      </c>
      <c r="AM130">
        <v>65.7</v>
      </c>
      <c r="AN130">
        <v>84</v>
      </c>
      <c r="BB130">
        <v>127</v>
      </c>
      <c r="BC130">
        <v>-188.2</v>
      </c>
      <c r="BD130">
        <v>-179.4</v>
      </c>
      <c r="BE130">
        <v>689.6</v>
      </c>
      <c r="BF130">
        <v>-135.1</v>
      </c>
      <c r="BG130">
        <v>-160.69999999999999</v>
      </c>
      <c r="BI130">
        <v>127</v>
      </c>
      <c r="BJ130">
        <v>102.2</v>
      </c>
      <c r="BK130">
        <v>98.9</v>
      </c>
      <c r="BL130">
        <v>57.1</v>
      </c>
      <c r="BM130">
        <v>110.8</v>
      </c>
      <c r="BN130">
        <v>84.1</v>
      </c>
      <c r="BZ130">
        <v>127</v>
      </c>
      <c r="CA130">
        <v>-87.6</v>
      </c>
      <c r="CB130">
        <v>-59.8</v>
      </c>
      <c r="CC130">
        <v>-231.4</v>
      </c>
      <c r="CD130">
        <v>-169.2</v>
      </c>
      <c r="CE130">
        <v>-237.7</v>
      </c>
      <c r="CG130">
        <v>127</v>
      </c>
      <c r="CH130">
        <v>89.9</v>
      </c>
      <c r="CI130">
        <v>64.599999999999994</v>
      </c>
      <c r="CJ130">
        <v>59</v>
      </c>
      <c r="CK130">
        <v>52.7</v>
      </c>
      <c r="CL130">
        <v>73.400000000000006</v>
      </c>
    </row>
    <row r="131" spans="1:90" x14ac:dyDescent="0.35">
      <c r="A131">
        <v>128</v>
      </c>
      <c r="B131">
        <v>-85.4</v>
      </c>
      <c r="C131">
        <v>171.2</v>
      </c>
      <c r="D131">
        <v>-57</v>
      </c>
      <c r="E131">
        <v>150.80000000000001</v>
      </c>
      <c r="F131">
        <v>533.6</v>
      </c>
      <c r="H131">
        <v>128</v>
      </c>
      <c r="I131">
        <v>25.3</v>
      </c>
      <c r="J131">
        <v>29.9</v>
      </c>
      <c r="K131">
        <v>33.200000000000003</v>
      </c>
      <c r="L131">
        <v>30.4</v>
      </c>
      <c r="M131">
        <v>34.4</v>
      </c>
      <c r="AB131">
        <v>128</v>
      </c>
      <c r="AC131">
        <v>-85.1</v>
      </c>
      <c r="AD131">
        <v>-148.1</v>
      </c>
      <c r="AE131">
        <v>-124.6</v>
      </c>
      <c r="AF131">
        <v>-130.30000000000001</v>
      </c>
      <c r="AG131">
        <v>14.4</v>
      </c>
      <c r="AI131">
        <v>128</v>
      </c>
      <c r="AJ131">
        <v>80.3</v>
      </c>
      <c r="AK131">
        <v>53.1</v>
      </c>
      <c r="AL131">
        <v>57.9</v>
      </c>
      <c r="AM131">
        <v>65.8</v>
      </c>
      <c r="AN131">
        <v>84</v>
      </c>
      <c r="BB131">
        <v>128</v>
      </c>
      <c r="BC131">
        <v>-186.1</v>
      </c>
      <c r="BD131">
        <v>-174.7</v>
      </c>
      <c r="BE131">
        <v>719.4</v>
      </c>
      <c r="BF131">
        <v>-131.30000000000001</v>
      </c>
      <c r="BG131">
        <v>-158.9</v>
      </c>
      <c r="BI131">
        <v>128</v>
      </c>
      <c r="BJ131">
        <v>102.2</v>
      </c>
      <c r="BK131">
        <v>99</v>
      </c>
      <c r="BL131">
        <v>57.1</v>
      </c>
      <c r="BM131">
        <v>110.8</v>
      </c>
      <c r="BN131">
        <v>84.1</v>
      </c>
      <c r="BZ131">
        <v>128</v>
      </c>
      <c r="CA131">
        <v>-84.1</v>
      </c>
      <c r="CB131">
        <v>-32.200000000000003</v>
      </c>
      <c r="CC131">
        <v>-231.5</v>
      </c>
      <c r="CD131">
        <v>-158.69999999999999</v>
      </c>
      <c r="CE131">
        <v>-236.1</v>
      </c>
      <c r="CG131">
        <v>128</v>
      </c>
      <c r="CH131">
        <v>89.9</v>
      </c>
      <c r="CI131">
        <v>64.599999999999994</v>
      </c>
      <c r="CJ131">
        <v>59</v>
      </c>
      <c r="CK131">
        <v>52.8</v>
      </c>
      <c r="CL131">
        <v>73.400000000000006</v>
      </c>
    </row>
    <row r="132" spans="1:90" x14ac:dyDescent="0.35">
      <c r="A132">
        <v>129</v>
      </c>
      <c r="B132">
        <v>-76.2</v>
      </c>
      <c r="C132">
        <v>192.1</v>
      </c>
      <c r="D132">
        <v>-56.1</v>
      </c>
      <c r="E132">
        <v>93.8</v>
      </c>
      <c r="F132">
        <v>540.1</v>
      </c>
      <c r="H132">
        <v>129</v>
      </c>
      <c r="I132">
        <v>25.3</v>
      </c>
      <c r="J132">
        <v>29.9</v>
      </c>
      <c r="K132">
        <v>33.200000000000003</v>
      </c>
      <c r="L132">
        <v>30.5</v>
      </c>
      <c r="M132">
        <v>34.4</v>
      </c>
      <c r="AB132">
        <v>129</v>
      </c>
      <c r="AC132">
        <v>-84.9</v>
      </c>
      <c r="AD132">
        <v>-147.6</v>
      </c>
      <c r="AE132">
        <v>-124.8</v>
      </c>
      <c r="AF132">
        <v>-130.30000000000001</v>
      </c>
      <c r="AG132">
        <v>28.9</v>
      </c>
      <c r="AI132">
        <v>129</v>
      </c>
      <c r="AJ132">
        <v>80.3</v>
      </c>
      <c r="AK132">
        <v>53.1</v>
      </c>
      <c r="AL132">
        <v>57.9</v>
      </c>
      <c r="AM132">
        <v>65.8</v>
      </c>
      <c r="AN132">
        <v>84</v>
      </c>
      <c r="BB132">
        <v>129</v>
      </c>
      <c r="BC132">
        <v>-184.2</v>
      </c>
      <c r="BD132">
        <v>-170.2</v>
      </c>
      <c r="BE132">
        <v>739.5</v>
      </c>
      <c r="BF132">
        <v>-126.1</v>
      </c>
      <c r="BG132">
        <v>-159.30000000000001</v>
      </c>
      <c r="BI132">
        <v>129</v>
      </c>
      <c r="BJ132">
        <v>102.2</v>
      </c>
      <c r="BK132">
        <v>99</v>
      </c>
      <c r="BL132">
        <v>57.2</v>
      </c>
      <c r="BM132">
        <v>110.9</v>
      </c>
      <c r="BN132">
        <v>84.2</v>
      </c>
      <c r="BZ132">
        <v>129</v>
      </c>
      <c r="CA132">
        <v>-79.900000000000006</v>
      </c>
      <c r="CB132">
        <v>2.7</v>
      </c>
      <c r="CC132">
        <v>-231.5</v>
      </c>
      <c r="CD132">
        <v>-148</v>
      </c>
      <c r="CE132">
        <v>-234.4</v>
      </c>
      <c r="CG132">
        <v>129</v>
      </c>
      <c r="CH132">
        <v>89.9</v>
      </c>
      <c r="CI132">
        <v>64.599999999999994</v>
      </c>
      <c r="CJ132">
        <v>59.1</v>
      </c>
      <c r="CK132">
        <v>52.9</v>
      </c>
      <c r="CL132">
        <v>73.5</v>
      </c>
    </row>
    <row r="133" spans="1:90" x14ac:dyDescent="0.35">
      <c r="A133">
        <v>130</v>
      </c>
      <c r="B133">
        <v>-65.599999999999994</v>
      </c>
      <c r="C133">
        <v>206.3</v>
      </c>
      <c r="D133">
        <v>-55</v>
      </c>
      <c r="E133">
        <v>52.2</v>
      </c>
      <c r="F133">
        <v>544.9</v>
      </c>
      <c r="H133">
        <v>130</v>
      </c>
      <c r="I133">
        <v>25.4</v>
      </c>
      <c r="J133">
        <v>29.9</v>
      </c>
      <c r="K133">
        <v>33.200000000000003</v>
      </c>
      <c r="L133">
        <v>30.5</v>
      </c>
      <c r="M133">
        <v>34.5</v>
      </c>
      <c r="AB133">
        <v>130</v>
      </c>
      <c r="AC133">
        <v>-85.1</v>
      </c>
      <c r="AD133">
        <v>-147.1</v>
      </c>
      <c r="AE133">
        <v>-125.2</v>
      </c>
      <c r="AF133">
        <v>-130.19999999999999</v>
      </c>
      <c r="AG133">
        <v>46</v>
      </c>
      <c r="AI133">
        <v>130</v>
      </c>
      <c r="AJ133">
        <v>80.400000000000006</v>
      </c>
      <c r="AK133">
        <v>53.2</v>
      </c>
      <c r="AL133">
        <v>58</v>
      </c>
      <c r="AM133">
        <v>65.900000000000006</v>
      </c>
      <c r="AN133">
        <v>84</v>
      </c>
      <c r="BB133">
        <v>130</v>
      </c>
      <c r="BC133">
        <v>-182.4</v>
      </c>
      <c r="BD133">
        <v>-165.9</v>
      </c>
      <c r="BE133">
        <v>754.6</v>
      </c>
      <c r="BF133">
        <v>-120.2</v>
      </c>
      <c r="BG133">
        <v>-161.1</v>
      </c>
      <c r="BI133">
        <v>130</v>
      </c>
      <c r="BJ133">
        <v>102.2</v>
      </c>
      <c r="BK133">
        <v>99</v>
      </c>
      <c r="BL133">
        <v>57.3</v>
      </c>
      <c r="BM133">
        <v>110.9</v>
      </c>
      <c r="BN133">
        <v>84.3</v>
      </c>
      <c r="BZ133">
        <v>130</v>
      </c>
      <c r="CA133">
        <v>-75</v>
      </c>
      <c r="CB133">
        <v>41.5</v>
      </c>
      <c r="CC133">
        <v>-231.5</v>
      </c>
      <c r="CD133">
        <v>-133.4</v>
      </c>
      <c r="CE133">
        <v>-232.6</v>
      </c>
      <c r="CG133">
        <v>130</v>
      </c>
      <c r="CH133">
        <v>89.9</v>
      </c>
      <c r="CI133">
        <v>64.7</v>
      </c>
      <c r="CJ133">
        <v>59.1</v>
      </c>
      <c r="CK133">
        <v>53</v>
      </c>
      <c r="CL133">
        <v>73.5</v>
      </c>
    </row>
    <row r="134" spans="1:90" x14ac:dyDescent="0.35">
      <c r="A134">
        <v>131</v>
      </c>
      <c r="B134">
        <v>-53</v>
      </c>
      <c r="C134">
        <v>214.9</v>
      </c>
      <c r="D134">
        <v>-52.5</v>
      </c>
      <c r="E134">
        <v>30.2</v>
      </c>
      <c r="F134">
        <v>550.6</v>
      </c>
      <c r="H134">
        <v>131</v>
      </c>
      <c r="I134">
        <v>25.4</v>
      </c>
      <c r="J134">
        <v>30</v>
      </c>
      <c r="K134">
        <v>33.299999999999997</v>
      </c>
      <c r="L134">
        <v>30.6</v>
      </c>
      <c r="M134">
        <v>34.5</v>
      </c>
      <c r="AB134">
        <v>131</v>
      </c>
      <c r="AC134">
        <v>-85.6</v>
      </c>
      <c r="AD134">
        <v>-146.6</v>
      </c>
      <c r="AE134">
        <v>-125.8</v>
      </c>
      <c r="AF134">
        <v>-129.69999999999999</v>
      </c>
      <c r="AG134">
        <v>76.599999999999994</v>
      </c>
      <c r="AI134">
        <v>131</v>
      </c>
      <c r="AJ134">
        <v>80.400000000000006</v>
      </c>
      <c r="AK134">
        <v>53.3</v>
      </c>
      <c r="AL134">
        <v>58</v>
      </c>
      <c r="AM134">
        <v>65.900000000000006</v>
      </c>
      <c r="AN134">
        <v>84</v>
      </c>
      <c r="BB134">
        <v>131</v>
      </c>
      <c r="BC134">
        <v>-180.5</v>
      </c>
      <c r="BD134">
        <v>-161.80000000000001</v>
      </c>
      <c r="BE134">
        <v>761.2</v>
      </c>
      <c r="BF134">
        <v>-114.3</v>
      </c>
      <c r="BG134">
        <v>-161.80000000000001</v>
      </c>
      <c r="BI134">
        <v>131</v>
      </c>
      <c r="BJ134">
        <v>102.2</v>
      </c>
      <c r="BK134">
        <v>99.1</v>
      </c>
      <c r="BL134">
        <v>57.4</v>
      </c>
      <c r="BM134">
        <v>110.9</v>
      </c>
      <c r="BN134">
        <v>84.4</v>
      </c>
      <c r="BZ134">
        <v>131</v>
      </c>
      <c r="CA134">
        <v>-70.099999999999994</v>
      </c>
      <c r="CB134">
        <v>102.8</v>
      </c>
      <c r="CC134">
        <v>-231.4</v>
      </c>
      <c r="CD134">
        <v>-111.9</v>
      </c>
      <c r="CE134">
        <v>-231</v>
      </c>
      <c r="CG134">
        <v>131</v>
      </c>
      <c r="CH134">
        <v>89.9</v>
      </c>
      <c r="CI134">
        <v>64.7</v>
      </c>
      <c r="CJ134">
        <v>59.2</v>
      </c>
      <c r="CK134">
        <v>53</v>
      </c>
      <c r="CL134">
        <v>73.599999999999994</v>
      </c>
    </row>
    <row r="135" spans="1:90" x14ac:dyDescent="0.35">
      <c r="A135">
        <v>132</v>
      </c>
      <c r="B135">
        <v>-39.200000000000003</v>
      </c>
      <c r="C135">
        <v>218.5</v>
      </c>
      <c r="D135">
        <v>-48</v>
      </c>
      <c r="E135">
        <v>19</v>
      </c>
      <c r="F135">
        <v>558.5</v>
      </c>
      <c r="H135">
        <v>132</v>
      </c>
      <c r="I135">
        <v>25.5</v>
      </c>
      <c r="J135">
        <v>30</v>
      </c>
      <c r="K135">
        <v>33.299999999999997</v>
      </c>
      <c r="L135">
        <v>30.6</v>
      </c>
      <c r="M135">
        <v>34.6</v>
      </c>
      <c r="AB135">
        <v>132</v>
      </c>
      <c r="AC135">
        <v>-86.3</v>
      </c>
      <c r="AD135">
        <v>-145.9</v>
      </c>
      <c r="AE135">
        <v>-126.4</v>
      </c>
      <c r="AF135">
        <v>-129.1</v>
      </c>
      <c r="AG135">
        <v>146.80000000000001</v>
      </c>
      <c r="AI135">
        <v>132</v>
      </c>
      <c r="AJ135">
        <v>80.5</v>
      </c>
      <c r="AK135">
        <v>53.4</v>
      </c>
      <c r="AL135">
        <v>58.1</v>
      </c>
      <c r="AM135">
        <v>66</v>
      </c>
      <c r="AN135">
        <v>84</v>
      </c>
      <c r="BB135">
        <v>132</v>
      </c>
      <c r="BC135">
        <v>-178.5</v>
      </c>
      <c r="BD135">
        <v>-157.6</v>
      </c>
      <c r="BE135">
        <v>765.1</v>
      </c>
      <c r="BF135">
        <v>-108.6</v>
      </c>
      <c r="BG135">
        <v>-160.30000000000001</v>
      </c>
      <c r="BI135">
        <v>132</v>
      </c>
      <c r="BJ135">
        <v>102.3</v>
      </c>
      <c r="BK135">
        <v>99.1</v>
      </c>
      <c r="BL135">
        <v>57.4</v>
      </c>
      <c r="BM135">
        <v>110.8</v>
      </c>
      <c r="BN135">
        <v>84.4</v>
      </c>
      <c r="BZ135">
        <v>132</v>
      </c>
      <c r="CA135">
        <v>-64.900000000000006</v>
      </c>
      <c r="CB135">
        <v>209.4</v>
      </c>
      <c r="CC135">
        <v>-231.5</v>
      </c>
      <c r="CD135">
        <v>-82.2</v>
      </c>
      <c r="CE135">
        <v>-229.4</v>
      </c>
      <c r="CG135">
        <v>132</v>
      </c>
      <c r="CH135">
        <v>89.9</v>
      </c>
      <c r="CI135">
        <v>64.7</v>
      </c>
      <c r="CJ135">
        <v>59.2</v>
      </c>
      <c r="CK135">
        <v>53.1</v>
      </c>
      <c r="CL135">
        <v>73.599999999999994</v>
      </c>
    </row>
    <row r="136" spans="1:90" x14ac:dyDescent="0.35">
      <c r="A136">
        <v>133</v>
      </c>
      <c r="B136">
        <v>-24.9</v>
      </c>
      <c r="C136">
        <v>221.8</v>
      </c>
      <c r="D136">
        <v>-41.6</v>
      </c>
      <c r="E136">
        <v>12.8</v>
      </c>
      <c r="F136">
        <v>582.6</v>
      </c>
      <c r="H136">
        <v>133</v>
      </c>
      <c r="I136">
        <v>25.6</v>
      </c>
      <c r="J136">
        <v>30</v>
      </c>
      <c r="K136">
        <v>33.4</v>
      </c>
      <c r="L136">
        <v>30.7</v>
      </c>
      <c r="M136">
        <v>34.6</v>
      </c>
      <c r="AB136">
        <v>133</v>
      </c>
      <c r="AC136">
        <v>-87</v>
      </c>
      <c r="AD136">
        <v>-145</v>
      </c>
      <c r="AE136">
        <v>-126.8</v>
      </c>
      <c r="AF136">
        <v>-128.5</v>
      </c>
      <c r="AG136">
        <v>234.7</v>
      </c>
      <c r="AI136">
        <v>133</v>
      </c>
      <c r="AJ136">
        <v>80.5</v>
      </c>
      <c r="AK136">
        <v>53.5</v>
      </c>
      <c r="AL136">
        <v>58.2</v>
      </c>
      <c r="AM136">
        <v>66</v>
      </c>
      <c r="AN136">
        <v>84.1</v>
      </c>
      <c r="BB136">
        <v>133</v>
      </c>
      <c r="BC136">
        <v>-176.8</v>
      </c>
      <c r="BD136">
        <v>-152.9</v>
      </c>
      <c r="BE136">
        <v>777.8</v>
      </c>
      <c r="BF136">
        <v>-103.4</v>
      </c>
      <c r="BG136">
        <v>-157.4</v>
      </c>
      <c r="BI136">
        <v>133</v>
      </c>
      <c r="BJ136">
        <v>102.3</v>
      </c>
      <c r="BK136">
        <v>99.2</v>
      </c>
      <c r="BL136">
        <v>57.5</v>
      </c>
      <c r="BM136">
        <v>110.8</v>
      </c>
      <c r="BN136">
        <v>84.5</v>
      </c>
      <c r="BZ136">
        <v>133</v>
      </c>
      <c r="CA136">
        <v>-58.9</v>
      </c>
      <c r="CB136">
        <v>312.3</v>
      </c>
      <c r="CC136">
        <v>-231.8</v>
      </c>
      <c r="CD136">
        <v>-47.8</v>
      </c>
      <c r="CE136">
        <v>-227.6</v>
      </c>
      <c r="CG136">
        <v>133</v>
      </c>
      <c r="CH136">
        <v>89.9</v>
      </c>
      <c r="CI136">
        <v>64.8</v>
      </c>
      <c r="CJ136">
        <v>59.3</v>
      </c>
      <c r="CK136">
        <v>53.1</v>
      </c>
      <c r="CL136">
        <v>73.7</v>
      </c>
    </row>
    <row r="137" spans="1:90" x14ac:dyDescent="0.35">
      <c r="A137">
        <v>134</v>
      </c>
      <c r="B137">
        <v>-11</v>
      </c>
      <c r="C137">
        <v>227.2</v>
      </c>
      <c r="D137">
        <v>-34.700000000000003</v>
      </c>
      <c r="E137">
        <v>8.8000000000000007</v>
      </c>
      <c r="F137">
        <v>619.29999999999995</v>
      </c>
      <c r="H137">
        <v>134</v>
      </c>
      <c r="I137">
        <v>25.6</v>
      </c>
      <c r="J137">
        <v>30.1</v>
      </c>
      <c r="K137">
        <v>33.4</v>
      </c>
      <c r="L137">
        <v>30.7</v>
      </c>
      <c r="M137">
        <v>34.700000000000003</v>
      </c>
      <c r="AB137">
        <v>134</v>
      </c>
      <c r="AC137">
        <v>-87.6</v>
      </c>
      <c r="AD137">
        <v>-144.30000000000001</v>
      </c>
      <c r="AE137">
        <v>-127.2</v>
      </c>
      <c r="AF137">
        <v>-128.30000000000001</v>
      </c>
      <c r="AG137">
        <v>301.5</v>
      </c>
      <c r="AI137">
        <v>134</v>
      </c>
      <c r="AJ137">
        <v>80.599999999999994</v>
      </c>
      <c r="AK137">
        <v>53.6</v>
      </c>
      <c r="AL137">
        <v>58.3</v>
      </c>
      <c r="AM137">
        <v>66.099999999999994</v>
      </c>
      <c r="AN137">
        <v>84.1</v>
      </c>
      <c r="BB137">
        <v>134</v>
      </c>
      <c r="BC137">
        <v>-175.5</v>
      </c>
      <c r="BD137">
        <v>-147.80000000000001</v>
      </c>
      <c r="BE137">
        <v>792.4</v>
      </c>
      <c r="BF137">
        <v>-98.5</v>
      </c>
      <c r="BG137">
        <v>-154.4</v>
      </c>
      <c r="BI137">
        <v>134</v>
      </c>
      <c r="BJ137">
        <v>102.3</v>
      </c>
      <c r="BK137">
        <v>99.2</v>
      </c>
      <c r="BL137">
        <v>57.5</v>
      </c>
      <c r="BM137">
        <v>110.8</v>
      </c>
      <c r="BN137">
        <v>84.6</v>
      </c>
      <c r="BZ137">
        <v>134</v>
      </c>
      <c r="CA137">
        <v>-49.8</v>
      </c>
      <c r="CB137">
        <v>394.9</v>
      </c>
      <c r="CC137">
        <v>-232.2</v>
      </c>
      <c r="CD137">
        <v>-13.6</v>
      </c>
      <c r="CE137">
        <v>-226</v>
      </c>
      <c r="CG137">
        <v>134</v>
      </c>
      <c r="CH137">
        <v>89.9</v>
      </c>
      <c r="CI137">
        <v>64.8</v>
      </c>
      <c r="CJ137">
        <v>59.4</v>
      </c>
      <c r="CK137">
        <v>53.2</v>
      </c>
      <c r="CL137">
        <v>73.8</v>
      </c>
    </row>
    <row r="138" spans="1:90" x14ac:dyDescent="0.35">
      <c r="A138">
        <v>135</v>
      </c>
      <c r="B138">
        <v>0.7</v>
      </c>
      <c r="C138">
        <v>234.4</v>
      </c>
      <c r="D138">
        <v>-28.2</v>
      </c>
      <c r="E138">
        <v>6</v>
      </c>
      <c r="F138">
        <v>588.1</v>
      </c>
      <c r="H138">
        <v>135</v>
      </c>
      <c r="I138">
        <v>25.7</v>
      </c>
      <c r="J138">
        <v>30.2</v>
      </c>
      <c r="K138">
        <v>33.4</v>
      </c>
      <c r="L138">
        <v>30.8</v>
      </c>
      <c r="M138">
        <v>34.700000000000003</v>
      </c>
      <c r="AB138">
        <v>135</v>
      </c>
      <c r="AC138">
        <v>-88.3</v>
      </c>
      <c r="AD138">
        <v>-143.6</v>
      </c>
      <c r="AE138">
        <v>-127.6</v>
      </c>
      <c r="AF138">
        <v>-128.30000000000001</v>
      </c>
      <c r="AG138">
        <v>351.3</v>
      </c>
      <c r="AI138">
        <v>135</v>
      </c>
      <c r="AJ138">
        <v>80.599999999999994</v>
      </c>
      <c r="AK138">
        <v>53.6</v>
      </c>
      <c r="AL138">
        <v>58.3</v>
      </c>
      <c r="AM138">
        <v>66.2</v>
      </c>
      <c r="AN138">
        <v>83.7</v>
      </c>
      <c r="BB138">
        <v>135</v>
      </c>
      <c r="BC138">
        <v>-174.2</v>
      </c>
      <c r="BD138">
        <v>-142.30000000000001</v>
      </c>
      <c r="BE138">
        <v>805</v>
      </c>
      <c r="BF138">
        <v>-93.6</v>
      </c>
      <c r="BG138">
        <v>-151.6</v>
      </c>
      <c r="BI138">
        <v>135</v>
      </c>
      <c r="BJ138">
        <v>102.3</v>
      </c>
      <c r="BK138">
        <v>99.2</v>
      </c>
      <c r="BL138">
        <v>57.6</v>
      </c>
      <c r="BM138">
        <v>110.8</v>
      </c>
      <c r="BN138">
        <v>84.6</v>
      </c>
      <c r="BZ138">
        <v>135</v>
      </c>
      <c r="CA138">
        <v>-34.9</v>
      </c>
      <c r="CB138">
        <v>477.7</v>
      </c>
      <c r="CC138">
        <v>-232.6</v>
      </c>
      <c r="CD138">
        <v>31.9</v>
      </c>
      <c r="CE138">
        <v>-224.5</v>
      </c>
      <c r="CG138">
        <v>135</v>
      </c>
      <c r="CH138">
        <v>89.9</v>
      </c>
      <c r="CI138">
        <v>64.900000000000006</v>
      </c>
      <c r="CJ138">
        <v>59.4</v>
      </c>
      <c r="CK138">
        <v>53.3</v>
      </c>
      <c r="CL138">
        <v>73.8</v>
      </c>
    </row>
    <row r="139" spans="1:90" x14ac:dyDescent="0.35">
      <c r="A139">
        <v>136</v>
      </c>
      <c r="B139">
        <v>11.8</v>
      </c>
      <c r="C139">
        <v>243.1</v>
      </c>
      <c r="D139">
        <v>-22.6</v>
      </c>
      <c r="E139">
        <v>4.0999999999999996</v>
      </c>
      <c r="F139">
        <v>474.3</v>
      </c>
      <c r="H139">
        <v>136</v>
      </c>
      <c r="I139">
        <v>25.7</v>
      </c>
      <c r="J139">
        <v>30.3</v>
      </c>
      <c r="K139">
        <v>33.5</v>
      </c>
      <c r="L139">
        <v>30.8</v>
      </c>
      <c r="M139">
        <v>34.799999999999997</v>
      </c>
      <c r="AB139">
        <v>136</v>
      </c>
      <c r="AC139">
        <v>-88.9</v>
      </c>
      <c r="AD139">
        <v>-143</v>
      </c>
      <c r="AE139">
        <v>-128.30000000000001</v>
      </c>
      <c r="AF139">
        <v>-128.19999999999999</v>
      </c>
      <c r="AG139">
        <v>394.7</v>
      </c>
      <c r="AI139">
        <v>136</v>
      </c>
      <c r="AJ139">
        <v>80.599999999999994</v>
      </c>
      <c r="AK139">
        <v>53.7</v>
      </c>
      <c r="AL139">
        <v>58.4</v>
      </c>
      <c r="AM139">
        <v>66.2</v>
      </c>
      <c r="AN139">
        <v>83</v>
      </c>
      <c r="BB139">
        <v>136</v>
      </c>
      <c r="BC139">
        <v>-173</v>
      </c>
      <c r="BD139">
        <v>-136.5</v>
      </c>
      <c r="BE139">
        <v>815.9</v>
      </c>
      <c r="BF139">
        <v>-88.5</v>
      </c>
      <c r="BG139">
        <v>-149</v>
      </c>
      <c r="BI139">
        <v>136</v>
      </c>
      <c r="BJ139">
        <v>102.3</v>
      </c>
      <c r="BK139">
        <v>99.3</v>
      </c>
      <c r="BL139">
        <v>57.7</v>
      </c>
      <c r="BM139">
        <v>110.8</v>
      </c>
      <c r="BN139">
        <v>84.7</v>
      </c>
      <c r="BZ139">
        <v>136</v>
      </c>
      <c r="CA139">
        <v>-14.4</v>
      </c>
      <c r="CB139">
        <v>557.70000000000005</v>
      </c>
      <c r="CC139">
        <v>-232.7</v>
      </c>
      <c r="CD139">
        <v>149.6</v>
      </c>
      <c r="CE139">
        <v>-223.3</v>
      </c>
      <c r="CG139">
        <v>136</v>
      </c>
      <c r="CH139">
        <v>89.9</v>
      </c>
      <c r="CI139">
        <v>64.900000000000006</v>
      </c>
      <c r="CJ139">
        <v>59.5</v>
      </c>
      <c r="CK139">
        <v>53.3</v>
      </c>
      <c r="CL139">
        <v>73.900000000000006</v>
      </c>
    </row>
    <row r="140" spans="1:90" x14ac:dyDescent="0.35">
      <c r="A140">
        <v>137</v>
      </c>
      <c r="B140">
        <v>24.6</v>
      </c>
      <c r="C140">
        <v>254.4</v>
      </c>
      <c r="D140">
        <v>-18.100000000000001</v>
      </c>
      <c r="E140">
        <v>2.6</v>
      </c>
      <c r="F140">
        <v>364.4</v>
      </c>
      <c r="H140">
        <v>137</v>
      </c>
      <c r="I140">
        <v>25.7</v>
      </c>
      <c r="J140">
        <v>30.3</v>
      </c>
      <c r="K140">
        <v>33.5</v>
      </c>
      <c r="L140">
        <v>30.9</v>
      </c>
      <c r="M140">
        <v>34.799999999999997</v>
      </c>
      <c r="AB140">
        <v>137</v>
      </c>
      <c r="AC140">
        <v>-89.5</v>
      </c>
      <c r="AD140">
        <v>-142.4</v>
      </c>
      <c r="AE140">
        <v>-129</v>
      </c>
      <c r="AF140">
        <v>-128.19999999999999</v>
      </c>
      <c r="AG140">
        <v>436.1</v>
      </c>
      <c r="AI140">
        <v>137</v>
      </c>
      <c r="AJ140">
        <v>80.7</v>
      </c>
      <c r="AK140">
        <v>53.8</v>
      </c>
      <c r="AL140">
        <v>58.5</v>
      </c>
      <c r="AM140">
        <v>66.3</v>
      </c>
      <c r="AN140">
        <v>82.7</v>
      </c>
      <c r="BB140">
        <v>137</v>
      </c>
      <c r="BC140">
        <v>-172.1</v>
      </c>
      <c r="BD140">
        <v>-130.19999999999999</v>
      </c>
      <c r="BE140">
        <v>821.8</v>
      </c>
      <c r="BF140">
        <v>-84.3</v>
      </c>
      <c r="BG140">
        <v>-146.5</v>
      </c>
      <c r="BI140">
        <v>137</v>
      </c>
      <c r="BJ140">
        <v>102.3</v>
      </c>
      <c r="BK140">
        <v>99.3</v>
      </c>
      <c r="BL140">
        <v>57.7</v>
      </c>
      <c r="BM140">
        <v>110.8</v>
      </c>
      <c r="BN140">
        <v>84.8</v>
      </c>
      <c r="BZ140">
        <v>137</v>
      </c>
      <c r="CA140">
        <v>7.8</v>
      </c>
      <c r="CB140">
        <v>625.6</v>
      </c>
      <c r="CC140">
        <v>-232.5</v>
      </c>
      <c r="CD140">
        <v>315.8</v>
      </c>
      <c r="CE140">
        <v>-222.6</v>
      </c>
      <c r="CG140">
        <v>137</v>
      </c>
      <c r="CH140">
        <v>89.9</v>
      </c>
      <c r="CI140">
        <v>64.900000000000006</v>
      </c>
      <c r="CJ140">
        <v>59.6</v>
      </c>
      <c r="CK140">
        <v>53.4</v>
      </c>
      <c r="CL140">
        <v>73.900000000000006</v>
      </c>
    </row>
    <row r="141" spans="1:90" x14ac:dyDescent="0.35">
      <c r="A141">
        <v>138</v>
      </c>
      <c r="B141">
        <v>37</v>
      </c>
      <c r="C141">
        <v>266.3</v>
      </c>
      <c r="D141">
        <v>-14.3</v>
      </c>
      <c r="E141">
        <v>1.6</v>
      </c>
      <c r="F141">
        <v>269.2</v>
      </c>
      <c r="H141">
        <v>138</v>
      </c>
      <c r="I141">
        <v>25.8</v>
      </c>
      <c r="J141">
        <v>30.4</v>
      </c>
      <c r="K141">
        <v>33.6</v>
      </c>
      <c r="L141">
        <v>30.9</v>
      </c>
      <c r="M141">
        <v>34.9</v>
      </c>
      <c r="AB141">
        <v>138</v>
      </c>
      <c r="AC141">
        <v>-89.9</v>
      </c>
      <c r="AD141">
        <v>-141.6</v>
      </c>
      <c r="AE141">
        <v>-129.69999999999999</v>
      </c>
      <c r="AF141">
        <v>-128.30000000000001</v>
      </c>
      <c r="AG141">
        <v>475.4</v>
      </c>
      <c r="AI141">
        <v>138</v>
      </c>
      <c r="AJ141">
        <v>80.7</v>
      </c>
      <c r="AK141">
        <v>53.9</v>
      </c>
      <c r="AL141">
        <v>58.6</v>
      </c>
      <c r="AM141">
        <v>66.3</v>
      </c>
      <c r="AN141">
        <v>82.1</v>
      </c>
      <c r="BB141">
        <v>138</v>
      </c>
      <c r="BC141">
        <v>-171.8</v>
      </c>
      <c r="BD141">
        <v>-124.3</v>
      </c>
      <c r="BE141">
        <v>824.9</v>
      </c>
      <c r="BF141">
        <v>-80.7</v>
      </c>
      <c r="BG141">
        <v>-143.9</v>
      </c>
      <c r="BI141">
        <v>138</v>
      </c>
      <c r="BJ141">
        <v>102.3</v>
      </c>
      <c r="BK141">
        <v>99.3</v>
      </c>
      <c r="BL141">
        <v>57.8</v>
      </c>
      <c r="BM141">
        <v>110.8</v>
      </c>
      <c r="BN141">
        <v>84.8</v>
      </c>
      <c r="BZ141">
        <v>138</v>
      </c>
      <c r="CA141">
        <v>27</v>
      </c>
      <c r="CB141">
        <v>670.3</v>
      </c>
      <c r="CC141">
        <v>-231.9</v>
      </c>
      <c r="CD141">
        <v>428.4</v>
      </c>
      <c r="CE141">
        <v>-222</v>
      </c>
      <c r="CG141">
        <v>138</v>
      </c>
      <c r="CH141">
        <v>89.9</v>
      </c>
      <c r="CI141">
        <v>64.900000000000006</v>
      </c>
      <c r="CJ141">
        <v>59.7</v>
      </c>
      <c r="CK141">
        <v>53.4</v>
      </c>
      <c r="CL141">
        <v>74</v>
      </c>
    </row>
    <row r="142" spans="1:90" x14ac:dyDescent="0.35">
      <c r="A142">
        <v>139</v>
      </c>
      <c r="B142">
        <v>46.8</v>
      </c>
      <c r="C142">
        <v>279.7</v>
      </c>
      <c r="D142">
        <v>-10.4</v>
      </c>
      <c r="E142">
        <v>1.1000000000000001</v>
      </c>
      <c r="F142">
        <v>165</v>
      </c>
      <c r="H142">
        <v>139</v>
      </c>
      <c r="I142">
        <v>25.8</v>
      </c>
      <c r="J142">
        <v>30.4</v>
      </c>
      <c r="K142">
        <v>33.6</v>
      </c>
      <c r="L142">
        <v>30.9</v>
      </c>
      <c r="M142">
        <v>35</v>
      </c>
      <c r="AB142">
        <v>139</v>
      </c>
      <c r="AC142">
        <v>-90.4</v>
      </c>
      <c r="AD142">
        <v>-140.9</v>
      </c>
      <c r="AE142">
        <v>-130.1</v>
      </c>
      <c r="AF142">
        <v>-128.6</v>
      </c>
      <c r="AG142">
        <v>510.1</v>
      </c>
      <c r="AI142">
        <v>139</v>
      </c>
      <c r="AJ142">
        <v>80.8</v>
      </c>
      <c r="AK142">
        <v>53.9</v>
      </c>
      <c r="AL142">
        <v>58.6</v>
      </c>
      <c r="AM142">
        <v>66.3</v>
      </c>
      <c r="AN142">
        <v>81.900000000000006</v>
      </c>
      <c r="BB142">
        <v>139</v>
      </c>
      <c r="BC142">
        <v>-171.8</v>
      </c>
      <c r="BD142">
        <v>-119.4</v>
      </c>
      <c r="BE142">
        <v>844.8</v>
      </c>
      <c r="BF142">
        <v>-77.8</v>
      </c>
      <c r="BG142">
        <v>-141.19999999999999</v>
      </c>
      <c r="BI142">
        <v>139</v>
      </c>
      <c r="BJ142">
        <v>102.4</v>
      </c>
      <c r="BK142">
        <v>99.4</v>
      </c>
      <c r="BL142">
        <v>57.9</v>
      </c>
      <c r="BM142">
        <v>110.8</v>
      </c>
      <c r="BN142">
        <v>84.9</v>
      </c>
      <c r="BZ142">
        <v>139</v>
      </c>
      <c r="CA142">
        <v>44.2</v>
      </c>
      <c r="CB142">
        <v>699.3</v>
      </c>
      <c r="CC142">
        <v>-231.2</v>
      </c>
      <c r="CD142">
        <v>498.5</v>
      </c>
      <c r="CE142">
        <v>-221.3</v>
      </c>
      <c r="CG142">
        <v>139</v>
      </c>
      <c r="CH142">
        <v>89.9</v>
      </c>
      <c r="CI142">
        <v>65</v>
      </c>
      <c r="CJ142">
        <v>59.7</v>
      </c>
      <c r="CK142">
        <v>53.5</v>
      </c>
      <c r="CL142">
        <v>74</v>
      </c>
    </row>
    <row r="143" spans="1:90" x14ac:dyDescent="0.35">
      <c r="A143">
        <v>140</v>
      </c>
      <c r="B143">
        <v>54.6</v>
      </c>
      <c r="C143">
        <v>297.89999999999998</v>
      </c>
      <c r="D143">
        <v>-5</v>
      </c>
      <c r="E143">
        <v>0.7</v>
      </c>
      <c r="F143">
        <v>85</v>
      </c>
      <c r="H143">
        <v>140</v>
      </c>
      <c r="I143">
        <v>25.9</v>
      </c>
      <c r="J143">
        <v>30.5</v>
      </c>
      <c r="K143">
        <v>33.6</v>
      </c>
      <c r="L143">
        <v>31</v>
      </c>
      <c r="M143">
        <v>35</v>
      </c>
      <c r="AB143">
        <v>140</v>
      </c>
      <c r="AC143">
        <v>-90.9</v>
      </c>
      <c r="AD143">
        <v>-140.30000000000001</v>
      </c>
      <c r="AE143">
        <v>-130.30000000000001</v>
      </c>
      <c r="AF143">
        <v>-128.9</v>
      </c>
      <c r="AG143">
        <v>540.5</v>
      </c>
      <c r="AI143">
        <v>140</v>
      </c>
      <c r="AJ143">
        <v>80.8</v>
      </c>
      <c r="AK143">
        <v>54</v>
      </c>
      <c r="AL143">
        <v>58.7</v>
      </c>
      <c r="AM143">
        <v>66.3</v>
      </c>
      <c r="AN143">
        <v>82</v>
      </c>
      <c r="BB143">
        <v>140</v>
      </c>
      <c r="BC143">
        <v>-171.9</v>
      </c>
      <c r="BD143">
        <v>-115</v>
      </c>
      <c r="BE143">
        <v>872.3</v>
      </c>
      <c r="BF143">
        <v>-75.2</v>
      </c>
      <c r="BG143">
        <v>-137.5</v>
      </c>
      <c r="BI143">
        <v>140</v>
      </c>
      <c r="BJ143">
        <v>102.4</v>
      </c>
      <c r="BK143">
        <v>99.4</v>
      </c>
      <c r="BL143">
        <v>57.9</v>
      </c>
      <c r="BM143">
        <v>110.8</v>
      </c>
      <c r="BN143">
        <v>85</v>
      </c>
      <c r="BZ143">
        <v>140</v>
      </c>
      <c r="CA143">
        <v>60.6</v>
      </c>
      <c r="CB143">
        <v>728.8</v>
      </c>
      <c r="CC143">
        <v>-230.6</v>
      </c>
      <c r="CD143">
        <v>551.79999999999995</v>
      </c>
      <c r="CE143">
        <v>-220.1</v>
      </c>
      <c r="CG143">
        <v>140</v>
      </c>
      <c r="CH143">
        <v>89.9</v>
      </c>
      <c r="CI143">
        <v>65</v>
      </c>
      <c r="CJ143">
        <v>59.8</v>
      </c>
      <c r="CK143">
        <v>53.6</v>
      </c>
      <c r="CL143">
        <v>74.099999999999994</v>
      </c>
    </row>
    <row r="144" spans="1:90" x14ac:dyDescent="0.35">
      <c r="A144">
        <v>141</v>
      </c>
      <c r="B144">
        <v>60.3</v>
      </c>
      <c r="C144">
        <v>320.89999999999998</v>
      </c>
      <c r="D144">
        <v>3.2</v>
      </c>
      <c r="E144">
        <v>0.6</v>
      </c>
      <c r="F144">
        <v>46.9</v>
      </c>
      <c r="H144">
        <v>141</v>
      </c>
      <c r="I144">
        <v>25.9</v>
      </c>
      <c r="J144">
        <v>30.5</v>
      </c>
      <c r="K144">
        <v>33.700000000000003</v>
      </c>
      <c r="L144">
        <v>31</v>
      </c>
      <c r="M144">
        <v>35.1</v>
      </c>
      <c r="AB144">
        <v>141</v>
      </c>
      <c r="AC144">
        <v>-91.3</v>
      </c>
      <c r="AD144">
        <v>-139.6</v>
      </c>
      <c r="AE144">
        <v>-130.4</v>
      </c>
      <c r="AF144">
        <v>-129</v>
      </c>
      <c r="AG144">
        <v>567.20000000000005</v>
      </c>
      <c r="AI144">
        <v>141</v>
      </c>
      <c r="AJ144">
        <v>80.8</v>
      </c>
      <c r="AK144">
        <v>54.1</v>
      </c>
      <c r="AL144">
        <v>58.8</v>
      </c>
      <c r="AM144">
        <v>66.3</v>
      </c>
      <c r="AN144">
        <v>82.1</v>
      </c>
      <c r="BB144">
        <v>141</v>
      </c>
      <c r="BC144">
        <v>-172.1</v>
      </c>
      <c r="BD144">
        <v>-110.5</v>
      </c>
      <c r="BE144">
        <v>896.2</v>
      </c>
      <c r="BF144">
        <v>-73</v>
      </c>
      <c r="BG144">
        <v>-131.1</v>
      </c>
      <c r="BI144">
        <v>141</v>
      </c>
      <c r="BJ144">
        <v>102.4</v>
      </c>
      <c r="BK144">
        <v>99.4</v>
      </c>
      <c r="BL144">
        <v>58</v>
      </c>
      <c r="BM144">
        <v>110.9</v>
      </c>
      <c r="BN144">
        <v>85</v>
      </c>
      <c r="BZ144">
        <v>141</v>
      </c>
      <c r="CA144">
        <v>82.5</v>
      </c>
      <c r="CB144">
        <v>764.9</v>
      </c>
      <c r="CC144">
        <v>-230.3</v>
      </c>
      <c r="CD144">
        <v>594</v>
      </c>
      <c r="CE144">
        <v>-218.1</v>
      </c>
      <c r="CG144">
        <v>141</v>
      </c>
      <c r="CH144">
        <v>90</v>
      </c>
      <c r="CI144">
        <v>65.099999999999994</v>
      </c>
      <c r="CJ144">
        <v>59.8</v>
      </c>
      <c r="CK144">
        <v>53.6</v>
      </c>
      <c r="CL144">
        <v>74.2</v>
      </c>
    </row>
    <row r="145" spans="1:90" x14ac:dyDescent="0.35">
      <c r="A145">
        <v>142</v>
      </c>
      <c r="B145">
        <v>64.099999999999994</v>
      </c>
      <c r="C145">
        <v>342.5</v>
      </c>
      <c r="D145">
        <v>15.3</v>
      </c>
      <c r="E145">
        <v>0.4</v>
      </c>
      <c r="F145">
        <v>28.1</v>
      </c>
      <c r="H145">
        <v>142</v>
      </c>
      <c r="I145">
        <v>26</v>
      </c>
      <c r="J145">
        <v>30.5</v>
      </c>
      <c r="K145">
        <v>33.799999999999997</v>
      </c>
      <c r="L145">
        <v>31.1</v>
      </c>
      <c r="M145">
        <v>35.1</v>
      </c>
      <c r="AB145">
        <v>142</v>
      </c>
      <c r="AC145">
        <v>-91.6</v>
      </c>
      <c r="AD145">
        <v>-138.80000000000001</v>
      </c>
      <c r="AE145">
        <v>-130.5</v>
      </c>
      <c r="AF145">
        <v>-128.9</v>
      </c>
      <c r="AG145">
        <v>589.1</v>
      </c>
      <c r="AI145">
        <v>142</v>
      </c>
      <c r="AJ145">
        <v>80.900000000000006</v>
      </c>
      <c r="AK145">
        <v>54.2</v>
      </c>
      <c r="AL145">
        <v>58.8</v>
      </c>
      <c r="AM145">
        <v>66.3</v>
      </c>
      <c r="AN145">
        <v>82.1</v>
      </c>
      <c r="BB145">
        <v>142</v>
      </c>
      <c r="BC145">
        <v>-172.5</v>
      </c>
      <c r="BD145">
        <v>-104.6</v>
      </c>
      <c r="BE145">
        <v>905.7</v>
      </c>
      <c r="BF145">
        <v>-70.5</v>
      </c>
      <c r="BG145">
        <v>-119.5</v>
      </c>
      <c r="BI145">
        <v>142</v>
      </c>
      <c r="BJ145">
        <v>102.4</v>
      </c>
      <c r="BK145">
        <v>99.5</v>
      </c>
      <c r="BL145">
        <v>58</v>
      </c>
      <c r="BM145">
        <v>110.8</v>
      </c>
      <c r="BN145">
        <v>85.1</v>
      </c>
      <c r="BZ145">
        <v>142</v>
      </c>
      <c r="CA145">
        <v>131.80000000000001</v>
      </c>
      <c r="CB145">
        <v>807.9</v>
      </c>
      <c r="CC145">
        <v>-230.4</v>
      </c>
      <c r="CD145">
        <v>636.9</v>
      </c>
      <c r="CE145">
        <v>-215.3</v>
      </c>
      <c r="CG145">
        <v>142</v>
      </c>
      <c r="CH145">
        <v>90</v>
      </c>
      <c r="CI145">
        <v>65.099999999999994</v>
      </c>
      <c r="CJ145">
        <v>59.9</v>
      </c>
      <c r="CK145">
        <v>53.7</v>
      </c>
      <c r="CL145">
        <v>74.2</v>
      </c>
    </row>
    <row r="146" spans="1:90" x14ac:dyDescent="0.35">
      <c r="A146">
        <v>143</v>
      </c>
      <c r="B146">
        <v>66.900000000000006</v>
      </c>
      <c r="C146">
        <v>357.1</v>
      </c>
      <c r="D146">
        <v>30.7</v>
      </c>
      <c r="E146">
        <v>0.2</v>
      </c>
      <c r="F146">
        <v>17.7</v>
      </c>
      <c r="H146">
        <v>143</v>
      </c>
      <c r="I146">
        <v>26</v>
      </c>
      <c r="J146">
        <v>30.6</v>
      </c>
      <c r="K146">
        <v>33.799999999999997</v>
      </c>
      <c r="L146">
        <v>31.1</v>
      </c>
      <c r="M146">
        <v>35.1</v>
      </c>
      <c r="AB146">
        <v>143</v>
      </c>
      <c r="AC146">
        <v>-91.9</v>
      </c>
      <c r="AD146">
        <v>-137.69999999999999</v>
      </c>
      <c r="AE146">
        <v>-130.6</v>
      </c>
      <c r="AF146">
        <v>-128.9</v>
      </c>
      <c r="AG146">
        <v>608.20000000000005</v>
      </c>
      <c r="AI146">
        <v>143</v>
      </c>
      <c r="AJ146">
        <v>80.900000000000006</v>
      </c>
      <c r="AK146">
        <v>54.2</v>
      </c>
      <c r="AL146">
        <v>58.9</v>
      </c>
      <c r="AM146">
        <v>66.3</v>
      </c>
      <c r="AN146">
        <v>82.1</v>
      </c>
      <c r="BB146">
        <v>143</v>
      </c>
      <c r="BC146">
        <v>-172.6</v>
      </c>
      <c r="BD146">
        <v>-96.4</v>
      </c>
      <c r="BE146">
        <v>885.1</v>
      </c>
      <c r="BF146">
        <v>-66.099999999999994</v>
      </c>
      <c r="BG146">
        <v>-100.8</v>
      </c>
      <c r="BI146">
        <v>143</v>
      </c>
      <c r="BJ146">
        <v>102.4</v>
      </c>
      <c r="BK146">
        <v>99.5</v>
      </c>
      <c r="BL146">
        <v>58.1</v>
      </c>
      <c r="BM146">
        <v>110.8</v>
      </c>
      <c r="BN146">
        <v>85.2</v>
      </c>
      <c r="BZ146">
        <v>143</v>
      </c>
      <c r="CA146">
        <v>211.8</v>
      </c>
      <c r="CB146">
        <v>848</v>
      </c>
      <c r="CC146">
        <v>-230.4</v>
      </c>
      <c r="CD146">
        <v>682</v>
      </c>
      <c r="CE146">
        <v>-212.4</v>
      </c>
      <c r="CG146">
        <v>143</v>
      </c>
      <c r="CH146">
        <v>90</v>
      </c>
      <c r="CI146">
        <v>65.099999999999994</v>
      </c>
      <c r="CJ146">
        <v>60</v>
      </c>
      <c r="CK146">
        <v>53.8</v>
      </c>
      <c r="CL146">
        <v>74.3</v>
      </c>
    </row>
    <row r="147" spans="1:90" x14ac:dyDescent="0.35">
      <c r="A147">
        <v>144</v>
      </c>
      <c r="B147">
        <v>69.2</v>
      </c>
      <c r="C147">
        <v>364.5</v>
      </c>
      <c r="D147">
        <v>46.6</v>
      </c>
      <c r="E147">
        <v>0</v>
      </c>
      <c r="F147">
        <v>11.2</v>
      </c>
      <c r="H147">
        <v>144</v>
      </c>
      <c r="I147">
        <v>26.1</v>
      </c>
      <c r="J147">
        <v>30.6</v>
      </c>
      <c r="K147">
        <v>33.799999999999997</v>
      </c>
      <c r="L147">
        <v>31.2</v>
      </c>
      <c r="M147">
        <v>35.200000000000003</v>
      </c>
      <c r="AB147">
        <v>144</v>
      </c>
      <c r="AC147">
        <v>-92.3</v>
      </c>
      <c r="AD147">
        <v>-136.6</v>
      </c>
      <c r="AE147">
        <v>-130.80000000000001</v>
      </c>
      <c r="AF147">
        <v>-128.9</v>
      </c>
      <c r="AG147">
        <v>626.4</v>
      </c>
      <c r="AI147">
        <v>144</v>
      </c>
      <c r="AJ147">
        <v>80.900000000000006</v>
      </c>
      <c r="AK147">
        <v>54.3</v>
      </c>
      <c r="AL147">
        <v>59</v>
      </c>
      <c r="AM147">
        <v>66.400000000000006</v>
      </c>
      <c r="AN147">
        <v>82</v>
      </c>
      <c r="BB147">
        <v>144</v>
      </c>
      <c r="BC147">
        <v>-172.4</v>
      </c>
      <c r="BD147">
        <v>-86.4</v>
      </c>
      <c r="BE147">
        <v>826.4</v>
      </c>
      <c r="BF147">
        <v>-58.3</v>
      </c>
      <c r="BG147">
        <v>-77.5</v>
      </c>
      <c r="BI147">
        <v>144</v>
      </c>
      <c r="BJ147">
        <v>102.4</v>
      </c>
      <c r="BK147">
        <v>99.5</v>
      </c>
      <c r="BL147">
        <v>58.1</v>
      </c>
      <c r="BM147">
        <v>110.8</v>
      </c>
      <c r="BN147">
        <v>85.2</v>
      </c>
      <c r="BZ147">
        <v>144</v>
      </c>
      <c r="CA147">
        <v>282.2</v>
      </c>
      <c r="CB147">
        <v>879.1</v>
      </c>
      <c r="CC147">
        <v>-230.2</v>
      </c>
      <c r="CD147">
        <v>719.7</v>
      </c>
      <c r="CE147">
        <v>-209.5</v>
      </c>
      <c r="CG147">
        <v>144</v>
      </c>
      <c r="CH147">
        <v>90</v>
      </c>
      <c r="CI147">
        <v>65.099999999999994</v>
      </c>
      <c r="CJ147">
        <v>60</v>
      </c>
      <c r="CK147">
        <v>53.8</v>
      </c>
      <c r="CL147">
        <v>74.3</v>
      </c>
    </row>
    <row r="148" spans="1:90" x14ac:dyDescent="0.35">
      <c r="A148">
        <v>145</v>
      </c>
      <c r="B148">
        <v>71.2</v>
      </c>
      <c r="C148">
        <v>371.4</v>
      </c>
      <c r="D148">
        <v>61.2</v>
      </c>
      <c r="E148">
        <v>-0.1</v>
      </c>
      <c r="F148">
        <v>7</v>
      </c>
      <c r="H148">
        <v>145</v>
      </c>
      <c r="I148">
        <v>26.1</v>
      </c>
      <c r="J148">
        <v>30.6</v>
      </c>
      <c r="K148">
        <v>33.799999999999997</v>
      </c>
      <c r="L148">
        <v>31.2</v>
      </c>
      <c r="M148">
        <v>35.299999999999997</v>
      </c>
      <c r="AB148">
        <v>145</v>
      </c>
      <c r="AC148">
        <v>-92.7</v>
      </c>
      <c r="AD148">
        <v>-135.4</v>
      </c>
      <c r="AE148">
        <v>-130.9</v>
      </c>
      <c r="AF148">
        <v>-128.80000000000001</v>
      </c>
      <c r="AG148">
        <v>643.4</v>
      </c>
      <c r="AI148">
        <v>145</v>
      </c>
      <c r="AJ148">
        <v>81</v>
      </c>
      <c r="AK148">
        <v>54.4</v>
      </c>
      <c r="AL148">
        <v>59</v>
      </c>
      <c r="AM148">
        <v>66.599999999999994</v>
      </c>
      <c r="AN148">
        <v>82</v>
      </c>
      <c r="BB148">
        <v>145</v>
      </c>
      <c r="BC148">
        <v>-172.2</v>
      </c>
      <c r="BD148">
        <v>-75.599999999999994</v>
      </c>
      <c r="BE148">
        <v>736.9</v>
      </c>
      <c r="BF148">
        <v>-48.1</v>
      </c>
      <c r="BG148">
        <v>-53.1</v>
      </c>
      <c r="BI148">
        <v>145</v>
      </c>
      <c r="BJ148">
        <v>102.4</v>
      </c>
      <c r="BK148">
        <v>99.6</v>
      </c>
      <c r="BL148">
        <v>58.2</v>
      </c>
      <c r="BM148">
        <v>110.8</v>
      </c>
      <c r="BN148">
        <v>85.3</v>
      </c>
      <c r="BZ148">
        <v>145</v>
      </c>
      <c r="CA148">
        <v>327.2</v>
      </c>
      <c r="CB148">
        <v>902.1</v>
      </c>
      <c r="CC148">
        <v>-229.5</v>
      </c>
      <c r="CD148">
        <v>747.9</v>
      </c>
      <c r="CE148">
        <v>-206.6</v>
      </c>
      <c r="CG148">
        <v>145</v>
      </c>
      <c r="CH148">
        <v>90</v>
      </c>
      <c r="CI148">
        <v>65.099999999999994</v>
      </c>
      <c r="CJ148">
        <v>60.1</v>
      </c>
      <c r="CK148">
        <v>53.9</v>
      </c>
      <c r="CL148">
        <v>74.400000000000006</v>
      </c>
    </row>
    <row r="149" spans="1:90" x14ac:dyDescent="0.35">
      <c r="A149">
        <v>146</v>
      </c>
      <c r="B149">
        <v>73.3</v>
      </c>
      <c r="C149">
        <v>383.1</v>
      </c>
      <c r="D149">
        <v>75.400000000000006</v>
      </c>
      <c r="E149">
        <v>-0.1</v>
      </c>
      <c r="F149">
        <v>4</v>
      </c>
      <c r="H149">
        <v>146</v>
      </c>
      <c r="I149">
        <v>26.2</v>
      </c>
      <c r="J149">
        <v>30.7</v>
      </c>
      <c r="K149">
        <v>33.9</v>
      </c>
      <c r="L149">
        <v>31.3</v>
      </c>
      <c r="M149">
        <v>35.299999999999997</v>
      </c>
      <c r="AB149">
        <v>146</v>
      </c>
      <c r="AC149">
        <v>-92.9</v>
      </c>
      <c r="AD149">
        <v>-134.30000000000001</v>
      </c>
      <c r="AE149">
        <v>-131</v>
      </c>
      <c r="AF149">
        <v>-128.6</v>
      </c>
      <c r="AG149">
        <v>658.5</v>
      </c>
      <c r="AI149">
        <v>146</v>
      </c>
      <c r="AJ149">
        <v>81</v>
      </c>
      <c r="AK149">
        <v>54.4</v>
      </c>
      <c r="AL149">
        <v>59.1</v>
      </c>
      <c r="AM149">
        <v>66.7</v>
      </c>
      <c r="AN149">
        <v>82.2</v>
      </c>
      <c r="BB149">
        <v>146</v>
      </c>
      <c r="BC149">
        <v>-172</v>
      </c>
      <c r="BD149">
        <v>-63.8</v>
      </c>
      <c r="BE149">
        <v>651.9</v>
      </c>
      <c r="BF149">
        <v>-35.4</v>
      </c>
      <c r="BG149">
        <v>-25.2</v>
      </c>
      <c r="BI149">
        <v>146</v>
      </c>
      <c r="BJ149">
        <v>102.5</v>
      </c>
      <c r="BK149">
        <v>99.6</v>
      </c>
      <c r="BL149">
        <v>58.2</v>
      </c>
      <c r="BM149">
        <v>110.8</v>
      </c>
      <c r="BN149">
        <v>85.4</v>
      </c>
      <c r="BZ149">
        <v>146</v>
      </c>
      <c r="CA149">
        <v>360.2</v>
      </c>
      <c r="CB149">
        <v>920.9</v>
      </c>
      <c r="CC149">
        <v>-228.8</v>
      </c>
      <c r="CD149">
        <v>766.6</v>
      </c>
      <c r="CE149">
        <v>-203.5</v>
      </c>
      <c r="CG149">
        <v>146</v>
      </c>
      <c r="CH149">
        <v>90</v>
      </c>
      <c r="CI149">
        <v>65.2</v>
      </c>
      <c r="CJ149">
        <v>60.2</v>
      </c>
      <c r="CK149">
        <v>54</v>
      </c>
      <c r="CL149">
        <v>74.400000000000006</v>
      </c>
    </row>
    <row r="150" spans="1:90" x14ac:dyDescent="0.35">
      <c r="A150">
        <v>147</v>
      </c>
      <c r="B150">
        <v>76.400000000000006</v>
      </c>
      <c r="C150">
        <v>398.7</v>
      </c>
      <c r="D150">
        <v>97.1</v>
      </c>
      <c r="E150">
        <v>-0.1</v>
      </c>
      <c r="F150">
        <v>2</v>
      </c>
      <c r="H150">
        <v>147</v>
      </c>
      <c r="I150">
        <v>26.2</v>
      </c>
      <c r="J150">
        <v>30.7</v>
      </c>
      <c r="K150">
        <v>33.9</v>
      </c>
      <c r="L150">
        <v>31.3</v>
      </c>
      <c r="M150">
        <v>35.299999999999997</v>
      </c>
      <c r="AB150">
        <v>147</v>
      </c>
      <c r="AC150">
        <v>-92.9</v>
      </c>
      <c r="AD150">
        <v>-133.30000000000001</v>
      </c>
      <c r="AE150">
        <v>-131.19999999999999</v>
      </c>
      <c r="AF150">
        <v>-128.4</v>
      </c>
      <c r="AG150">
        <v>673.7</v>
      </c>
      <c r="AI150">
        <v>147</v>
      </c>
      <c r="AJ150">
        <v>81</v>
      </c>
      <c r="AK150">
        <v>54.5</v>
      </c>
      <c r="AL150">
        <v>59.2</v>
      </c>
      <c r="AM150">
        <v>66.8</v>
      </c>
      <c r="AN150">
        <v>82.1</v>
      </c>
      <c r="BB150">
        <v>147</v>
      </c>
      <c r="BC150">
        <v>-171.8</v>
      </c>
      <c r="BD150">
        <v>-48.9</v>
      </c>
      <c r="BE150">
        <v>571.29999999999995</v>
      </c>
      <c r="BF150">
        <v>-20.8</v>
      </c>
      <c r="BG150">
        <v>17.399999999999999</v>
      </c>
      <c r="BI150">
        <v>147</v>
      </c>
      <c r="BJ150">
        <v>102.5</v>
      </c>
      <c r="BK150">
        <v>99.7</v>
      </c>
      <c r="BL150">
        <v>58.3</v>
      </c>
      <c r="BM150">
        <v>110.8</v>
      </c>
      <c r="BN150">
        <v>85.4</v>
      </c>
      <c r="BZ150">
        <v>147</v>
      </c>
      <c r="CA150">
        <v>391.4</v>
      </c>
      <c r="CB150">
        <v>840.6</v>
      </c>
      <c r="CC150">
        <v>-228.5</v>
      </c>
      <c r="CD150">
        <v>785.8</v>
      </c>
      <c r="CE150">
        <v>-200.7</v>
      </c>
      <c r="CG150">
        <v>147</v>
      </c>
      <c r="CH150">
        <v>90</v>
      </c>
      <c r="CI150">
        <v>65.2</v>
      </c>
      <c r="CJ150">
        <v>60.2</v>
      </c>
      <c r="CK150">
        <v>54</v>
      </c>
      <c r="CL150">
        <v>74.5</v>
      </c>
    </row>
    <row r="151" spans="1:90" x14ac:dyDescent="0.35">
      <c r="A151">
        <v>148</v>
      </c>
      <c r="B151">
        <v>80</v>
      </c>
      <c r="C151">
        <v>409.2</v>
      </c>
      <c r="D151">
        <v>137.9</v>
      </c>
      <c r="E151">
        <v>-0.1</v>
      </c>
      <c r="F151">
        <v>0.6</v>
      </c>
      <c r="H151">
        <v>148</v>
      </c>
      <c r="I151">
        <v>26.2</v>
      </c>
      <c r="J151">
        <v>30.7</v>
      </c>
      <c r="K151">
        <v>34</v>
      </c>
      <c r="L151">
        <v>31.3</v>
      </c>
      <c r="M151">
        <v>35.4</v>
      </c>
      <c r="AB151">
        <v>148</v>
      </c>
      <c r="AC151">
        <v>-93</v>
      </c>
      <c r="AD151">
        <v>-132</v>
      </c>
      <c r="AE151">
        <v>-131.5</v>
      </c>
      <c r="AF151">
        <v>-128.19999999999999</v>
      </c>
      <c r="AG151">
        <v>686.5</v>
      </c>
      <c r="AI151">
        <v>148</v>
      </c>
      <c r="AJ151">
        <v>81.099999999999994</v>
      </c>
      <c r="AK151">
        <v>54.6</v>
      </c>
      <c r="AL151">
        <v>59.2</v>
      </c>
      <c r="AM151">
        <v>66.900000000000006</v>
      </c>
      <c r="AN151">
        <v>82.1</v>
      </c>
      <c r="BB151">
        <v>148</v>
      </c>
      <c r="BC151">
        <v>-171.5</v>
      </c>
      <c r="BD151">
        <v>-32.299999999999997</v>
      </c>
      <c r="BE151">
        <v>493.3</v>
      </c>
      <c r="BF151">
        <v>-6.1</v>
      </c>
      <c r="BG151">
        <v>68.3</v>
      </c>
      <c r="BI151">
        <v>148</v>
      </c>
      <c r="BJ151">
        <v>102.5</v>
      </c>
      <c r="BK151">
        <v>99.7</v>
      </c>
      <c r="BL151">
        <v>58.3</v>
      </c>
      <c r="BM151">
        <v>110.8</v>
      </c>
      <c r="BN151">
        <v>85.5</v>
      </c>
      <c r="BZ151">
        <v>148</v>
      </c>
      <c r="CA151">
        <v>423.2</v>
      </c>
      <c r="CB151">
        <v>556.20000000000005</v>
      </c>
      <c r="CC151">
        <v>-228.5</v>
      </c>
      <c r="CD151">
        <v>805.1</v>
      </c>
      <c r="CE151">
        <v>-198.6</v>
      </c>
      <c r="CG151">
        <v>148</v>
      </c>
      <c r="CH151">
        <v>90</v>
      </c>
      <c r="CI151">
        <v>65.3</v>
      </c>
      <c r="CJ151">
        <v>60.3</v>
      </c>
      <c r="CK151">
        <v>54.1</v>
      </c>
      <c r="CL151">
        <v>74.5</v>
      </c>
    </row>
    <row r="152" spans="1:90" x14ac:dyDescent="0.35">
      <c r="A152">
        <v>149</v>
      </c>
      <c r="B152">
        <v>83.6</v>
      </c>
      <c r="C152">
        <v>414</v>
      </c>
      <c r="D152">
        <v>188.2</v>
      </c>
      <c r="E152">
        <v>-0.1</v>
      </c>
      <c r="F152">
        <v>-0.5</v>
      </c>
      <c r="H152">
        <v>149</v>
      </c>
      <c r="I152">
        <v>26.3</v>
      </c>
      <c r="J152">
        <v>30.8</v>
      </c>
      <c r="K152">
        <v>34</v>
      </c>
      <c r="L152">
        <v>31.4</v>
      </c>
      <c r="M152">
        <v>35.4</v>
      </c>
      <c r="AB152">
        <v>149</v>
      </c>
      <c r="AC152">
        <v>-93</v>
      </c>
      <c r="AD152">
        <v>-130.19999999999999</v>
      </c>
      <c r="AE152">
        <v>-131.80000000000001</v>
      </c>
      <c r="AF152">
        <v>-128.1</v>
      </c>
      <c r="AG152">
        <v>697.5</v>
      </c>
      <c r="AI152">
        <v>149</v>
      </c>
      <c r="AJ152">
        <v>81.099999999999994</v>
      </c>
      <c r="AK152">
        <v>54.7</v>
      </c>
      <c r="AL152">
        <v>59.3</v>
      </c>
      <c r="AM152">
        <v>67</v>
      </c>
      <c r="AN152">
        <v>82.1</v>
      </c>
      <c r="BB152">
        <v>149</v>
      </c>
      <c r="BC152">
        <v>-171.4</v>
      </c>
      <c r="BD152">
        <v>-14.6</v>
      </c>
      <c r="BE152">
        <v>419.4</v>
      </c>
      <c r="BF152">
        <v>9.6</v>
      </c>
      <c r="BG152">
        <v>126.8</v>
      </c>
      <c r="BI152">
        <v>149</v>
      </c>
      <c r="BJ152">
        <v>102.5</v>
      </c>
      <c r="BK152">
        <v>99.7</v>
      </c>
      <c r="BL152">
        <v>58.4</v>
      </c>
      <c r="BM152">
        <v>110.8</v>
      </c>
      <c r="BN152">
        <v>85.5</v>
      </c>
      <c r="BZ152">
        <v>149</v>
      </c>
      <c r="CA152">
        <v>452.3</v>
      </c>
      <c r="CB152">
        <v>435.6</v>
      </c>
      <c r="CC152">
        <v>-228.5</v>
      </c>
      <c r="CD152">
        <v>824.6</v>
      </c>
      <c r="CE152">
        <v>-196.7</v>
      </c>
      <c r="CG152">
        <v>149</v>
      </c>
      <c r="CH152">
        <v>90</v>
      </c>
      <c r="CI152">
        <v>65.3</v>
      </c>
      <c r="CJ152">
        <v>60.3</v>
      </c>
      <c r="CK152">
        <v>54.1</v>
      </c>
      <c r="CL152">
        <v>74.599999999999994</v>
      </c>
    </row>
    <row r="153" spans="1:90" x14ac:dyDescent="0.35">
      <c r="A153">
        <v>150</v>
      </c>
      <c r="B153">
        <v>87</v>
      </c>
      <c r="C153">
        <v>416.1</v>
      </c>
      <c r="D153">
        <v>229.2</v>
      </c>
      <c r="E153">
        <v>-0.1</v>
      </c>
      <c r="F153">
        <v>-1</v>
      </c>
      <c r="H153">
        <v>150</v>
      </c>
      <c r="I153">
        <v>26.3</v>
      </c>
      <c r="J153">
        <v>30.8</v>
      </c>
      <c r="K153">
        <v>34.1</v>
      </c>
      <c r="L153">
        <v>31.4</v>
      </c>
      <c r="M153">
        <v>35.5</v>
      </c>
      <c r="AB153">
        <v>150</v>
      </c>
      <c r="AC153">
        <v>-93.1</v>
      </c>
      <c r="AD153">
        <v>-128.30000000000001</v>
      </c>
      <c r="AE153">
        <v>-132</v>
      </c>
      <c r="AF153">
        <v>-127.9</v>
      </c>
      <c r="AG153">
        <v>711.4</v>
      </c>
      <c r="AI153">
        <v>150</v>
      </c>
      <c r="AJ153">
        <v>81.099999999999994</v>
      </c>
      <c r="AK153">
        <v>54.7</v>
      </c>
      <c r="AL153">
        <v>59.3</v>
      </c>
      <c r="AM153">
        <v>67.099999999999994</v>
      </c>
      <c r="AN153">
        <v>82.1</v>
      </c>
      <c r="BB153">
        <v>150</v>
      </c>
      <c r="BC153">
        <v>-171.4</v>
      </c>
      <c r="BD153">
        <v>8.1</v>
      </c>
      <c r="BE153">
        <v>350.6</v>
      </c>
      <c r="BF153">
        <v>30.9</v>
      </c>
      <c r="BG153">
        <v>198.5</v>
      </c>
      <c r="BI153">
        <v>150</v>
      </c>
      <c r="BJ153">
        <v>102.5</v>
      </c>
      <c r="BK153">
        <v>99.7</v>
      </c>
      <c r="BL153">
        <v>58.4</v>
      </c>
      <c r="BM153">
        <v>110.8</v>
      </c>
      <c r="BN153">
        <v>85.6</v>
      </c>
      <c r="BZ153">
        <v>150</v>
      </c>
      <c r="CA153">
        <v>475.4</v>
      </c>
      <c r="CB153">
        <v>403.3</v>
      </c>
      <c r="CC153">
        <v>-228.3</v>
      </c>
      <c r="CD153">
        <v>842.5</v>
      </c>
      <c r="CE153">
        <v>-194.4</v>
      </c>
      <c r="CG153">
        <v>150</v>
      </c>
      <c r="CH153">
        <v>90.1</v>
      </c>
      <c r="CI153">
        <v>65.3</v>
      </c>
      <c r="CJ153">
        <v>60.4</v>
      </c>
      <c r="CK153">
        <v>54.2</v>
      </c>
      <c r="CL153">
        <v>74.7</v>
      </c>
    </row>
    <row r="154" spans="1:90" x14ac:dyDescent="0.35">
      <c r="A154">
        <v>151</v>
      </c>
      <c r="B154">
        <v>90.2</v>
      </c>
      <c r="C154">
        <v>418.5</v>
      </c>
      <c r="D154">
        <v>268.3</v>
      </c>
      <c r="E154">
        <v>-0.1</v>
      </c>
      <c r="F154">
        <v>-1.3</v>
      </c>
      <c r="H154">
        <v>151</v>
      </c>
      <c r="I154">
        <v>26.4</v>
      </c>
      <c r="J154">
        <v>30.8</v>
      </c>
      <c r="K154">
        <v>34.1</v>
      </c>
      <c r="L154">
        <v>31.4</v>
      </c>
      <c r="M154">
        <v>35.5</v>
      </c>
      <c r="AB154">
        <v>151</v>
      </c>
      <c r="AC154">
        <v>-93.1</v>
      </c>
      <c r="AD154">
        <v>-126.7</v>
      </c>
      <c r="AE154">
        <v>-132.30000000000001</v>
      </c>
      <c r="AF154">
        <v>-127.7</v>
      </c>
      <c r="AG154">
        <v>723.9</v>
      </c>
      <c r="AI154">
        <v>151</v>
      </c>
      <c r="AJ154">
        <v>81.2</v>
      </c>
      <c r="AK154">
        <v>54.8</v>
      </c>
      <c r="AL154">
        <v>59.4</v>
      </c>
      <c r="AM154">
        <v>67.400000000000006</v>
      </c>
      <c r="AN154">
        <v>82.1</v>
      </c>
      <c r="BB154">
        <v>151</v>
      </c>
      <c r="BC154">
        <v>-171.5</v>
      </c>
      <c r="BD154">
        <v>41.1</v>
      </c>
      <c r="BE154">
        <v>287.8</v>
      </c>
      <c r="BF154">
        <v>55.2</v>
      </c>
      <c r="BG154">
        <v>280.3</v>
      </c>
      <c r="BI154">
        <v>151</v>
      </c>
      <c r="BJ154">
        <v>102.5</v>
      </c>
      <c r="BK154">
        <v>99.7</v>
      </c>
      <c r="BL154">
        <v>58.5</v>
      </c>
      <c r="BM154">
        <v>110.8</v>
      </c>
      <c r="BN154">
        <v>85.6</v>
      </c>
      <c r="BZ154">
        <v>151</v>
      </c>
      <c r="CA154">
        <v>500.2</v>
      </c>
      <c r="CB154">
        <v>385</v>
      </c>
      <c r="CC154">
        <v>-227.7</v>
      </c>
      <c r="CD154">
        <v>855.8</v>
      </c>
      <c r="CE154">
        <v>-191.1</v>
      </c>
      <c r="CG154">
        <v>151</v>
      </c>
      <c r="CH154">
        <v>90.1</v>
      </c>
      <c r="CI154">
        <v>65.400000000000006</v>
      </c>
      <c r="CJ154">
        <v>60.5</v>
      </c>
      <c r="CK154">
        <v>54.3</v>
      </c>
      <c r="CL154">
        <v>74.8</v>
      </c>
    </row>
    <row r="155" spans="1:90" x14ac:dyDescent="0.35">
      <c r="A155">
        <v>152</v>
      </c>
      <c r="B155">
        <v>93</v>
      </c>
      <c r="C155">
        <v>426.9</v>
      </c>
      <c r="D155">
        <v>308.3</v>
      </c>
      <c r="E155">
        <v>-0.1</v>
      </c>
      <c r="F155">
        <v>-1.7</v>
      </c>
      <c r="H155">
        <v>152</v>
      </c>
      <c r="I155">
        <v>26.4</v>
      </c>
      <c r="J155">
        <v>30.9</v>
      </c>
      <c r="K155">
        <v>34.200000000000003</v>
      </c>
      <c r="L155">
        <v>31.5</v>
      </c>
      <c r="M155">
        <v>35.5</v>
      </c>
      <c r="AB155">
        <v>152</v>
      </c>
      <c r="AC155">
        <v>-93</v>
      </c>
      <c r="AD155">
        <v>-125.3</v>
      </c>
      <c r="AE155">
        <v>-132.6</v>
      </c>
      <c r="AF155">
        <v>-127.3</v>
      </c>
      <c r="AG155">
        <v>729.5</v>
      </c>
      <c r="AI155">
        <v>152</v>
      </c>
      <c r="AJ155">
        <v>81.2</v>
      </c>
      <c r="AK155">
        <v>54.9</v>
      </c>
      <c r="AL155">
        <v>59.5</v>
      </c>
      <c r="AM155">
        <v>67.7</v>
      </c>
      <c r="AN155">
        <v>82.1</v>
      </c>
      <c r="BB155">
        <v>152</v>
      </c>
      <c r="BC155">
        <v>-171.5</v>
      </c>
      <c r="BD155">
        <v>89.1</v>
      </c>
      <c r="BE155">
        <v>231.1</v>
      </c>
      <c r="BF155">
        <v>87.3</v>
      </c>
      <c r="BG155">
        <v>350.9</v>
      </c>
      <c r="BI155">
        <v>152</v>
      </c>
      <c r="BJ155">
        <v>102.5</v>
      </c>
      <c r="BK155">
        <v>99.8</v>
      </c>
      <c r="BL155">
        <v>58.6</v>
      </c>
      <c r="BM155">
        <v>110.8</v>
      </c>
      <c r="BN155">
        <v>85.7</v>
      </c>
      <c r="BZ155">
        <v>152</v>
      </c>
      <c r="CA155">
        <v>532.20000000000005</v>
      </c>
      <c r="CB155">
        <v>378</v>
      </c>
      <c r="CC155">
        <v>-226.7</v>
      </c>
      <c r="CD155">
        <v>861.8</v>
      </c>
      <c r="CE155">
        <v>-187.1</v>
      </c>
      <c r="CG155">
        <v>152</v>
      </c>
      <c r="CH155">
        <v>90.1</v>
      </c>
      <c r="CI155">
        <v>65.400000000000006</v>
      </c>
      <c r="CJ155">
        <v>60.5</v>
      </c>
      <c r="CK155">
        <v>54.3</v>
      </c>
      <c r="CL155">
        <v>74.8</v>
      </c>
    </row>
    <row r="156" spans="1:90" x14ac:dyDescent="0.35">
      <c r="A156">
        <v>153</v>
      </c>
      <c r="B156">
        <v>95.4</v>
      </c>
      <c r="C156">
        <v>440.8</v>
      </c>
      <c r="D156">
        <v>338.9</v>
      </c>
      <c r="E156">
        <v>0</v>
      </c>
      <c r="F156">
        <v>-1.8</v>
      </c>
      <c r="H156">
        <v>153</v>
      </c>
      <c r="I156">
        <v>26.4</v>
      </c>
      <c r="J156">
        <v>30.9</v>
      </c>
      <c r="K156">
        <v>34.200000000000003</v>
      </c>
      <c r="L156">
        <v>31.5</v>
      </c>
      <c r="M156">
        <v>35.6</v>
      </c>
      <c r="AB156">
        <v>153</v>
      </c>
      <c r="AC156">
        <v>-92.9</v>
      </c>
      <c r="AD156">
        <v>-124.4</v>
      </c>
      <c r="AE156">
        <v>-132.80000000000001</v>
      </c>
      <c r="AF156">
        <v>-127</v>
      </c>
      <c r="AG156">
        <v>737</v>
      </c>
      <c r="AI156">
        <v>153</v>
      </c>
      <c r="AJ156">
        <v>81.2</v>
      </c>
      <c r="AK156">
        <v>54.9</v>
      </c>
      <c r="AL156">
        <v>59.5</v>
      </c>
      <c r="AM156">
        <v>67.8</v>
      </c>
      <c r="AN156">
        <v>82.1</v>
      </c>
      <c r="BB156">
        <v>153</v>
      </c>
      <c r="BC156">
        <v>-171.3</v>
      </c>
      <c r="BD156">
        <v>138.80000000000001</v>
      </c>
      <c r="BE156">
        <v>179.8</v>
      </c>
      <c r="BF156">
        <v>130.9</v>
      </c>
      <c r="BG156">
        <v>404.3</v>
      </c>
      <c r="BI156">
        <v>153</v>
      </c>
      <c r="BJ156">
        <v>102.5</v>
      </c>
      <c r="BK156">
        <v>99.8</v>
      </c>
      <c r="BL156">
        <v>58.6</v>
      </c>
      <c r="BM156">
        <v>110.8</v>
      </c>
      <c r="BN156">
        <v>85.8</v>
      </c>
      <c r="BZ156">
        <v>153</v>
      </c>
      <c r="CA156">
        <v>567.4</v>
      </c>
      <c r="CB156">
        <v>371.4</v>
      </c>
      <c r="CC156">
        <v>-225.4</v>
      </c>
      <c r="CD156">
        <v>868.1</v>
      </c>
      <c r="CE156">
        <v>-182</v>
      </c>
      <c r="CG156">
        <v>153</v>
      </c>
      <c r="CH156">
        <v>90.1</v>
      </c>
      <c r="CI156">
        <v>65.5</v>
      </c>
      <c r="CJ156">
        <v>60.6</v>
      </c>
      <c r="CK156">
        <v>54.4</v>
      </c>
      <c r="CL156">
        <v>74.8</v>
      </c>
    </row>
    <row r="157" spans="1:90" x14ac:dyDescent="0.35">
      <c r="A157">
        <v>154</v>
      </c>
      <c r="B157">
        <v>97.7</v>
      </c>
      <c r="C157">
        <v>448.1</v>
      </c>
      <c r="D157">
        <v>357.1</v>
      </c>
      <c r="E157">
        <v>0</v>
      </c>
      <c r="F157">
        <v>-1.9</v>
      </c>
      <c r="H157">
        <v>154</v>
      </c>
      <c r="I157">
        <v>26.5</v>
      </c>
      <c r="J157">
        <v>30.9</v>
      </c>
      <c r="K157">
        <v>34.200000000000003</v>
      </c>
      <c r="L157">
        <v>31.5</v>
      </c>
      <c r="M157">
        <v>35.6</v>
      </c>
      <c r="AB157">
        <v>154</v>
      </c>
      <c r="AC157">
        <v>-92.7</v>
      </c>
      <c r="AD157">
        <v>-123.7</v>
      </c>
      <c r="AE157">
        <v>-132.9</v>
      </c>
      <c r="AF157">
        <v>-126.5</v>
      </c>
      <c r="AG157">
        <v>744.1</v>
      </c>
      <c r="AI157">
        <v>154</v>
      </c>
      <c r="AJ157">
        <v>81.3</v>
      </c>
      <c r="AK157">
        <v>55</v>
      </c>
      <c r="AL157">
        <v>59.6</v>
      </c>
      <c r="AM157">
        <v>67.8</v>
      </c>
      <c r="AN157">
        <v>82.2</v>
      </c>
      <c r="BB157">
        <v>154</v>
      </c>
      <c r="BC157">
        <v>-170.8</v>
      </c>
      <c r="BD157">
        <v>176.7</v>
      </c>
      <c r="BE157">
        <v>133.1</v>
      </c>
      <c r="BF157">
        <v>185.3</v>
      </c>
      <c r="BG157">
        <v>447.5</v>
      </c>
      <c r="BI157">
        <v>154</v>
      </c>
      <c r="BJ157">
        <v>102.6</v>
      </c>
      <c r="BK157">
        <v>99.9</v>
      </c>
      <c r="BL157">
        <v>58.6</v>
      </c>
      <c r="BM157">
        <v>110.8</v>
      </c>
      <c r="BN157">
        <v>85.8</v>
      </c>
      <c r="BZ157">
        <v>154</v>
      </c>
      <c r="CA157">
        <v>598.79999999999995</v>
      </c>
      <c r="CB157">
        <v>371.1</v>
      </c>
      <c r="CC157">
        <v>-224</v>
      </c>
      <c r="CD157">
        <v>880.2</v>
      </c>
      <c r="CE157">
        <v>-175.8</v>
      </c>
      <c r="CG157">
        <v>154</v>
      </c>
      <c r="CH157">
        <v>90.1</v>
      </c>
      <c r="CI157">
        <v>65.5</v>
      </c>
      <c r="CJ157">
        <v>60.6</v>
      </c>
      <c r="CK157">
        <v>54.4</v>
      </c>
      <c r="CL157">
        <v>74.8</v>
      </c>
    </row>
    <row r="158" spans="1:90" x14ac:dyDescent="0.35">
      <c r="A158">
        <v>155</v>
      </c>
      <c r="B158">
        <v>100.4</v>
      </c>
      <c r="C158">
        <v>446.4</v>
      </c>
      <c r="D158">
        <v>366.5</v>
      </c>
      <c r="E158">
        <v>0</v>
      </c>
      <c r="F158">
        <v>-1.9</v>
      </c>
      <c r="H158">
        <v>155</v>
      </c>
      <c r="I158">
        <v>26.5</v>
      </c>
      <c r="J158">
        <v>31</v>
      </c>
      <c r="K158">
        <v>34.200000000000003</v>
      </c>
      <c r="L158">
        <v>31.6</v>
      </c>
      <c r="M158">
        <v>35.700000000000003</v>
      </c>
      <c r="AB158">
        <v>155</v>
      </c>
      <c r="AC158">
        <v>-92.5</v>
      </c>
      <c r="AD158">
        <v>-123</v>
      </c>
      <c r="AE158">
        <v>-132.4</v>
      </c>
      <c r="AF158">
        <v>-126.1</v>
      </c>
      <c r="AG158">
        <v>750.5</v>
      </c>
      <c r="AI158">
        <v>155</v>
      </c>
      <c r="AJ158">
        <v>81.3</v>
      </c>
      <c r="AK158">
        <v>55.1</v>
      </c>
      <c r="AL158">
        <v>59.6</v>
      </c>
      <c r="AM158">
        <v>67.7</v>
      </c>
      <c r="AN158">
        <v>82.4</v>
      </c>
      <c r="BB158">
        <v>155</v>
      </c>
      <c r="BC158">
        <v>-170.3</v>
      </c>
      <c r="BD158">
        <v>203.9</v>
      </c>
      <c r="BE158">
        <v>84.6</v>
      </c>
      <c r="BF158">
        <v>246.6</v>
      </c>
      <c r="BG158">
        <v>487</v>
      </c>
      <c r="BI158">
        <v>155</v>
      </c>
      <c r="BJ158">
        <v>102.6</v>
      </c>
      <c r="BK158">
        <v>99.9</v>
      </c>
      <c r="BL158">
        <v>58.7</v>
      </c>
      <c r="BM158">
        <v>110.8</v>
      </c>
      <c r="BN158">
        <v>85.9</v>
      </c>
      <c r="BZ158">
        <v>155</v>
      </c>
      <c r="CA158">
        <v>632.70000000000005</v>
      </c>
      <c r="CB158">
        <v>360</v>
      </c>
      <c r="CC158">
        <v>-222.3</v>
      </c>
      <c r="CD158">
        <v>898</v>
      </c>
      <c r="CE158">
        <v>-169.7</v>
      </c>
      <c r="CG158">
        <v>155</v>
      </c>
      <c r="CH158">
        <v>90.1</v>
      </c>
      <c r="CI158">
        <v>65.5</v>
      </c>
      <c r="CJ158">
        <v>60.7</v>
      </c>
      <c r="CK158">
        <v>54.5</v>
      </c>
      <c r="CL158">
        <v>74.8</v>
      </c>
    </row>
    <row r="159" spans="1:90" x14ac:dyDescent="0.35">
      <c r="A159">
        <v>156</v>
      </c>
      <c r="B159">
        <v>103.8</v>
      </c>
      <c r="C159">
        <v>444.4</v>
      </c>
      <c r="D159">
        <v>374.4</v>
      </c>
      <c r="E159">
        <v>0.1</v>
      </c>
      <c r="F159">
        <v>-1.9</v>
      </c>
      <c r="H159">
        <v>156</v>
      </c>
      <c r="I159">
        <v>26.6</v>
      </c>
      <c r="J159">
        <v>31</v>
      </c>
      <c r="K159">
        <v>34.299999999999997</v>
      </c>
      <c r="L159">
        <v>31.6</v>
      </c>
      <c r="M159">
        <v>35.700000000000003</v>
      </c>
      <c r="AB159">
        <v>156</v>
      </c>
      <c r="AC159">
        <v>-92.3</v>
      </c>
      <c r="AD159">
        <v>-122.4</v>
      </c>
      <c r="AE159">
        <v>-131.6</v>
      </c>
      <c r="AF159">
        <v>-125.8</v>
      </c>
      <c r="AG159">
        <v>757.5</v>
      </c>
      <c r="AI159">
        <v>156</v>
      </c>
      <c r="AJ159">
        <v>81.400000000000006</v>
      </c>
      <c r="AK159">
        <v>55.1</v>
      </c>
      <c r="AL159">
        <v>59.7</v>
      </c>
      <c r="AM159">
        <v>67.7</v>
      </c>
      <c r="AN159">
        <v>82.4</v>
      </c>
      <c r="BB159">
        <v>156</v>
      </c>
      <c r="BC159">
        <v>-169.9</v>
      </c>
      <c r="BD159">
        <v>226.5</v>
      </c>
      <c r="BE159">
        <v>41.9</v>
      </c>
      <c r="BF159">
        <v>302.7</v>
      </c>
      <c r="BG159">
        <v>519.4</v>
      </c>
      <c r="BI159">
        <v>156</v>
      </c>
      <c r="BJ159">
        <v>102.6</v>
      </c>
      <c r="BK159">
        <v>99.9</v>
      </c>
      <c r="BL159">
        <v>58.7</v>
      </c>
      <c r="BM159">
        <v>110.8</v>
      </c>
      <c r="BN159">
        <v>85.9</v>
      </c>
      <c r="BZ159">
        <v>156</v>
      </c>
      <c r="CA159">
        <v>678.8</v>
      </c>
      <c r="CB159">
        <v>344.4</v>
      </c>
      <c r="CC159">
        <v>-220.2</v>
      </c>
      <c r="CD159">
        <v>910.2</v>
      </c>
      <c r="CE159">
        <v>-164.4</v>
      </c>
      <c r="CG159">
        <v>156</v>
      </c>
      <c r="CH159">
        <v>90.1</v>
      </c>
      <c r="CI159">
        <v>65.599999999999994</v>
      </c>
      <c r="CJ159">
        <v>60.8</v>
      </c>
      <c r="CK159">
        <v>54.6</v>
      </c>
      <c r="CL159">
        <v>74.8</v>
      </c>
    </row>
    <row r="160" spans="1:90" x14ac:dyDescent="0.35">
      <c r="A160">
        <v>157</v>
      </c>
      <c r="B160">
        <v>108.1</v>
      </c>
      <c r="C160">
        <v>443.1</v>
      </c>
      <c r="D160">
        <v>389.6</v>
      </c>
      <c r="E160">
        <v>0.2</v>
      </c>
      <c r="F160">
        <v>-2</v>
      </c>
      <c r="H160">
        <v>157</v>
      </c>
      <c r="I160">
        <v>26.6</v>
      </c>
      <c r="J160">
        <v>31</v>
      </c>
      <c r="K160">
        <v>34.299999999999997</v>
      </c>
      <c r="L160">
        <v>31.7</v>
      </c>
      <c r="M160">
        <v>35.799999999999997</v>
      </c>
      <c r="AB160">
        <v>157</v>
      </c>
      <c r="AC160">
        <v>-92</v>
      </c>
      <c r="AD160">
        <v>-121.6</v>
      </c>
      <c r="AE160">
        <v>-131</v>
      </c>
      <c r="AF160">
        <v>-125.4</v>
      </c>
      <c r="AG160">
        <v>765.1</v>
      </c>
      <c r="AI160">
        <v>157</v>
      </c>
      <c r="AJ160">
        <v>81.400000000000006</v>
      </c>
      <c r="AK160">
        <v>55.2</v>
      </c>
      <c r="AL160">
        <v>59.8</v>
      </c>
      <c r="AM160">
        <v>67.7</v>
      </c>
      <c r="AN160">
        <v>82.4</v>
      </c>
      <c r="BB160">
        <v>157</v>
      </c>
      <c r="BC160">
        <v>-169.7</v>
      </c>
      <c r="BD160">
        <v>248.4</v>
      </c>
      <c r="BE160">
        <v>17.899999999999999</v>
      </c>
      <c r="BF160">
        <v>348.4</v>
      </c>
      <c r="BG160">
        <v>540.70000000000005</v>
      </c>
      <c r="BI160">
        <v>157</v>
      </c>
      <c r="BJ160">
        <v>102.6</v>
      </c>
      <c r="BK160">
        <v>99.9</v>
      </c>
      <c r="BL160">
        <v>58.8</v>
      </c>
      <c r="BM160">
        <v>110.8</v>
      </c>
      <c r="BN160">
        <v>86</v>
      </c>
      <c r="BZ160">
        <v>157</v>
      </c>
      <c r="CA160">
        <v>737.4</v>
      </c>
      <c r="CB160">
        <v>316.5</v>
      </c>
      <c r="CC160">
        <v>-217.9</v>
      </c>
      <c r="CD160">
        <v>921.6</v>
      </c>
      <c r="CE160">
        <v>-159.80000000000001</v>
      </c>
      <c r="CG160">
        <v>157</v>
      </c>
      <c r="CH160">
        <v>90.1</v>
      </c>
      <c r="CI160">
        <v>65.599999999999994</v>
      </c>
      <c r="CJ160">
        <v>60.8</v>
      </c>
      <c r="CK160">
        <v>54.6</v>
      </c>
      <c r="CL160">
        <v>74.8</v>
      </c>
    </row>
    <row r="161" spans="1:90" x14ac:dyDescent="0.35">
      <c r="A161">
        <v>158</v>
      </c>
      <c r="B161">
        <v>112.4</v>
      </c>
      <c r="C161">
        <v>439.6</v>
      </c>
      <c r="D161">
        <v>408.4</v>
      </c>
      <c r="E161">
        <v>0.4</v>
      </c>
      <c r="F161">
        <v>-2</v>
      </c>
      <c r="H161">
        <v>158</v>
      </c>
      <c r="I161">
        <v>26.6</v>
      </c>
      <c r="J161">
        <v>31.1</v>
      </c>
      <c r="K161">
        <v>34.299999999999997</v>
      </c>
      <c r="L161">
        <v>31.7</v>
      </c>
      <c r="M161">
        <v>35.799999999999997</v>
      </c>
      <c r="AB161">
        <v>158</v>
      </c>
      <c r="AC161">
        <v>-91.8</v>
      </c>
      <c r="AD161">
        <v>-121</v>
      </c>
      <c r="AE161">
        <v>-130.9</v>
      </c>
      <c r="AF161">
        <v>-124.7</v>
      </c>
      <c r="AG161">
        <v>770.1</v>
      </c>
      <c r="AI161">
        <v>158</v>
      </c>
      <c r="AJ161">
        <v>81.400000000000006</v>
      </c>
      <c r="AK161">
        <v>55.2</v>
      </c>
      <c r="AL161">
        <v>59.8</v>
      </c>
      <c r="AM161">
        <v>67.7</v>
      </c>
      <c r="AN161">
        <v>82.4</v>
      </c>
      <c r="BB161">
        <v>158</v>
      </c>
      <c r="BC161">
        <v>-169.6</v>
      </c>
      <c r="BD161">
        <v>270.7</v>
      </c>
      <c r="BE161">
        <v>5.6</v>
      </c>
      <c r="BF161">
        <v>387.9</v>
      </c>
      <c r="BG161">
        <v>562.4</v>
      </c>
      <c r="BI161">
        <v>158</v>
      </c>
      <c r="BJ161">
        <v>102.6</v>
      </c>
      <c r="BK161">
        <v>100</v>
      </c>
      <c r="BL161">
        <v>58.8</v>
      </c>
      <c r="BM161">
        <v>110.8</v>
      </c>
      <c r="BN161">
        <v>86</v>
      </c>
      <c r="BZ161">
        <v>158</v>
      </c>
      <c r="CA161">
        <v>793.8</v>
      </c>
      <c r="CB161">
        <v>299.7</v>
      </c>
      <c r="CC161">
        <v>-215.7</v>
      </c>
      <c r="CD161">
        <v>923.3</v>
      </c>
      <c r="CE161">
        <v>-155.69999999999999</v>
      </c>
      <c r="CG161">
        <v>158</v>
      </c>
      <c r="CH161">
        <v>90.1</v>
      </c>
      <c r="CI161">
        <v>65.599999999999994</v>
      </c>
      <c r="CJ161">
        <v>60.9</v>
      </c>
      <c r="CK161">
        <v>54.7</v>
      </c>
      <c r="CL161">
        <v>74.900000000000006</v>
      </c>
    </row>
    <row r="162" spans="1:90" x14ac:dyDescent="0.35">
      <c r="A162">
        <v>159</v>
      </c>
      <c r="B162">
        <v>115</v>
      </c>
      <c r="C162">
        <v>432.5</v>
      </c>
      <c r="D162">
        <v>419.5</v>
      </c>
      <c r="E162">
        <v>0.4</v>
      </c>
      <c r="F162">
        <v>-2</v>
      </c>
      <c r="H162">
        <v>159</v>
      </c>
      <c r="I162">
        <v>26.7</v>
      </c>
      <c r="J162">
        <v>31.2</v>
      </c>
      <c r="K162">
        <v>34.299999999999997</v>
      </c>
      <c r="L162">
        <v>31.7</v>
      </c>
      <c r="M162">
        <v>35.799999999999997</v>
      </c>
      <c r="AB162">
        <v>159</v>
      </c>
      <c r="AC162">
        <v>-91.6</v>
      </c>
      <c r="AD162">
        <v>-120.6</v>
      </c>
      <c r="AE162">
        <v>-131.1</v>
      </c>
      <c r="AF162">
        <v>-124.1</v>
      </c>
      <c r="AG162">
        <v>774.8</v>
      </c>
      <c r="AI162">
        <v>159</v>
      </c>
      <c r="AJ162">
        <v>81.400000000000006</v>
      </c>
      <c r="AK162">
        <v>55.3</v>
      </c>
      <c r="AL162">
        <v>59.9</v>
      </c>
      <c r="AM162">
        <v>67.8</v>
      </c>
      <c r="AN162">
        <v>82.4</v>
      </c>
      <c r="BB162">
        <v>159</v>
      </c>
      <c r="BC162">
        <v>-169.7</v>
      </c>
      <c r="BD162">
        <v>292</v>
      </c>
      <c r="BE162">
        <v>-1.9</v>
      </c>
      <c r="BF162">
        <v>422.4</v>
      </c>
      <c r="BG162">
        <v>590</v>
      </c>
      <c r="BI162">
        <v>159</v>
      </c>
      <c r="BJ162">
        <v>102.6</v>
      </c>
      <c r="BK162">
        <v>100</v>
      </c>
      <c r="BL162">
        <v>58.9</v>
      </c>
      <c r="BM162">
        <v>110.8</v>
      </c>
      <c r="BN162">
        <v>86.1</v>
      </c>
      <c r="BZ162">
        <v>159</v>
      </c>
      <c r="CA162">
        <v>832.6</v>
      </c>
      <c r="CB162">
        <v>279.39999999999998</v>
      </c>
      <c r="CC162">
        <v>-213.6</v>
      </c>
      <c r="CD162">
        <v>887.7</v>
      </c>
      <c r="CE162">
        <v>-151.9</v>
      </c>
      <c r="CG162">
        <v>159</v>
      </c>
      <c r="CH162">
        <v>90.1</v>
      </c>
      <c r="CI162">
        <v>65.7</v>
      </c>
      <c r="CJ162">
        <v>61</v>
      </c>
      <c r="CK162">
        <v>54.7</v>
      </c>
      <c r="CL162">
        <v>75.099999999999994</v>
      </c>
    </row>
    <row r="163" spans="1:90" x14ac:dyDescent="0.35">
      <c r="A163">
        <v>160</v>
      </c>
      <c r="B163">
        <v>116.8</v>
      </c>
      <c r="C163">
        <v>421.6</v>
      </c>
      <c r="D163">
        <v>425.9</v>
      </c>
      <c r="E163">
        <v>0.5</v>
      </c>
      <c r="F163">
        <v>-1.9</v>
      </c>
      <c r="H163">
        <v>160</v>
      </c>
      <c r="I163">
        <v>26.7</v>
      </c>
      <c r="J163">
        <v>31.2</v>
      </c>
      <c r="K163">
        <v>34.4</v>
      </c>
      <c r="L163">
        <v>31.8</v>
      </c>
      <c r="M163">
        <v>35.9</v>
      </c>
      <c r="AB163">
        <v>160</v>
      </c>
      <c r="AC163">
        <v>-91.4</v>
      </c>
      <c r="AD163">
        <v>-120.2</v>
      </c>
      <c r="AE163">
        <v>-131.30000000000001</v>
      </c>
      <c r="AF163">
        <v>-123.8</v>
      </c>
      <c r="AG163">
        <v>779</v>
      </c>
      <c r="AI163">
        <v>160</v>
      </c>
      <c r="AJ163">
        <v>81.5</v>
      </c>
      <c r="AK163">
        <v>55.4</v>
      </c>
      <c r="AL163">
        <v>59.9</v>
      </c>
      <c r="AM163">
        <v>67.8</v>
      </c>
      <c r="AN163">
        <v>82.5</v>
      </c>
      <c r="BB163">
        <v>160</v>
      </c>
      <c r="BC163">
        <v>-170.1</v>
      </c>
      <c r="BD163">
        <v>313.60000000000002</v>
      </c>
      <c r="BE163">
        <v>-6.6</v>
      </c>
      <c r="BF163">
        <v>457.1</v>
      </c>
      <c r="BG163">
        <v>622.70000000000005</v>
      </c>
      <c r="BI163">
        <v>160</v>
      </c>
      <c r="BJ163">
        <v>102.6</v>
      </c>
      <c r="BK163">
        <v>100</v>
      </c>
      <c r="BL163">
        <v>58.9</v>
      </c>
      <c r="BM163">
        <v>110.8</v>
      </c>
      <c r="BN163">
        <v>86.2</v>
      </c>
      <c r="BZ163">
        <v>160</v>
      </c>
      <c r="CA163">
        <v>859</v>
      </c>
      <c r="CB163">
        <v>243</v>
      </c>
      <c r="CC163">
        <v>-211.1</v>
      </c>
      <c r="CD163">
        <v>811.9</v>
      </c>
      <c r="CE163">
        <v>-148.4</v>
      </c>
      <c r="CG163">
        <v>160</v>
      </c>
      <c r="CH163">
        <v>90.2</v>
      </c>
      <c r="CI163">
        <v>65.7</v>
      </c>
      <c r="CJ163">
        <v>61</v>
      </c>
      <c r="CK163">
        <v>54.8</v>
      </c>
      <c r="CL163">
        <v>75.2</v>
      </c>
    </row>
    <row r="164" spans="1:90" x14ac:dyDescent="0.35">
      <c r="A164">
        <v>161</v>
      </c>
      <c r="B164">
        <v>118.8</v>
      </c>
      <c r="C164">
        <v>408.3</v>
      </c>
      <c r="D164">
        <v>433.5</v>
      </c>
      <c r="E164">
        <v>0.5</v>
      </c>
      <c r="F164">
        <v>-1.9</v>
      </c>
      <c r="H164">
        <v>161</v>
      </c>
      <c r="I164">
        <v>26.7</v>
      </c>
      <c r="J164">
        <v>31.2</v>
      </c>
      <c r="K164">
        <v>34.4</v>
      </c>
      <c r="L164">
        <v>31.8</v>
      </c>
      <c r="M164">
        <v>35.9</v>
      </c>
      <c r="AB164">
        <v>161</v>
      </c>
      <c r="AC164">
        <v>-91</v>
      </c>
      <c r="AD164">
        <v>-119.9</v>
      </c>
      <c r="AE164">
        <v>-131.4</v>
      </c>
      <c r="AF164">
        <v>-123.6</v>
      </c>
      <c r="AG164">
        <v>778.5</v>
      </c>
      <c r="AI164">
        <v>161</v>
      </c>
      <c r="AJ164">
        <v>81.5</v>
      </c>
      <c r="AK164">
        <v>55.4</v>
      </c>
      <c r="AL164">
        <v>60</v>
      </c>
      <c r="AM164">
        <v>67.900000000000006</v>
      </c>
      <c r="AN164">
        <v>82.4</v>
      </c>
      <c r="BB164">
        <v>161</v>
      </c>
      <c r="BC164">
        <v>-170.6</v>
      </c>
      <c r="BD164">
        <v>338.9</v>
      </c>
      <c r="BE164">
        <v>-9.1</v>
      </c>
      <c r="BF164">
        <v>489.8</v>
      </c>
      <c r="BG164">
        <v>654.4</v>
      </c>
      <c r="BI164">
        <v>161</v>
      </c>
      <c r="BJ164">
        <v>102.6</v>
      </c>
      <c r="BK164">
        <v>100</v>
      </c>
      <c r="BL164">
        <v>58.9</v>
      </c>
      <c r="BM164">
        <v>110.8</v>
      </c>
      <c r="BN164">
        <v>86.2</v>
      </c>
      <c r="BZ164">
        <v>161</v>
      </c>
      <c r="CA164">
        <v>880.1</v>
      </c>
      <c r="CB164">
        <v>216.8</v>
      </c>
      <c r="CC164">
        <v>-208.1</v>
      </c>
      <c r="CD164">
        <v>737</v>
      </c>
      <c r="CE164">
        <v>-145</v>
      </c>
      <c r="CG164">
        <v>161</v>
      </c>
      <c r="CH164">
        <v>90.2</v>
      </c>
      <c r="CI164">
        <v>65.7</v>
      </c>
      <c r="CJ164">
        <v>61.1</v>
      </c>
      <c r="CK164">
        <v>54.9</v>
      </c>
      <c r="CL164">
        <v>75.2</v>
      </c>
    </row>
    <row r="165" spans="1:90" x14ac:dyDescent="0.35">
      <c r="A165">
        <v>162</v>
      </c>
      <c r="B165">
        <v>121.1</v>
      </c>
      <c r="C165">
        <v>404.5</v>
      </c>
      <c r="D165">
        <v>441.1</v>
      </c>
      <c r="E165">
        <v>0.5</v>
      </c>
      <c r="F165">
        <v>-1.9</v>
      </c>
      <c r="H165">
        <v>162</v>
      </c>
      <c r="I165">
        <v>26.8</v>
      </c>
      <c r="J165">
        <v>31.3</v>
      </c>
      <c r="K165">
        <v>34.4</v>
      </c>
      <c r="L165">
        <v>31.8</v>
      </c>
      <c r="M165">
        <v>35.9</v>
      </c>
      <c r="AB165">
        <v>162</v>
      </c>
      <c r="AC165">
        <v>-90.7</v>
      </c>
      <c r="AD165">
        <v>-119.6</v>
      </c>
      <c r="AE165">
        <v>-131.5</v>
      </c>
      <c r="AF165">
        <v>-123.6</v>
      </c>
      <c r="AG165">
        <v>775.7</v>
      </c>
      <c r="AI165">
        <v>162</v>
      </c>
      <c r="AJ165">
        <v>81.5</v>
      </c>
      <c r="AK165">
        <v>55.6</v>
      </c>
      <c r="AL165">
        <v>60</v>
      </c>
      <c r="AM165">
        <v>68</v>
      </c>
      <c r="AN165">
        <v>82.5</v>
      </c>
      <c r="BB165">
        <v>162</v>
      </c>
      <c r="BC165">
        <v>-171</v>
      </c>
      <c r="BD165">
        <v>369</v>
      </c>
      <c r="BE165">
        <v>-10.1</v>
      </c>
      <c r="BF165">
        <v>518.1</v>
      </c>
      <c r="BG165">
        <v>682.6</v>
      </c>
      <c r="BI165">
        <v>162</v>
      </c>
      <c r="BJ165">
        <v>102.6</v>
      </c>
      <c r="BK165">
        <v>100.1</v>
      </c>
      <c r="BL165">
        <v>59</v>
      </c>
      <c r="BM165">
        <v>110.8</v>
      </c>
      <c r="BN165">
        <v>86.3</v>
      </c>
      <c r="BZ165">
        <v>162</v>
      </c>
      <c r="CA165">
        <v>906.9</v>
      </c>
      <c r="CB165">
        <v>199.3</v>
      </c>
      <c r="CC165">
        <v>-205</v>
      </c>
      <c r="CD165">
        <v>672</v>
      </c>
      <c r="CE165">
        <v>-141.6</v>
      </c>
      <c r="CG165">
        <v>162</v>
      </c>
      <c r="CH165">
        <v>90.2</v>
      </c>
      <c r="CI165">
        <v>65.8</v>
      </c>
      <c r="CJ165">
        <v>61.2</v>
      </c>
      <c r="CK165">
        <v>54.9</v>
      </c>
      <c r="CL165">
        <v>75.3</v>
      </c>
    </row>
    <row r="166" spans="1:90" x14ac:dyDescent="0.35">
      <c r="A166">
        <v>163</v>
      </c>
      <c r="B166">
        <v>123.6</v>
      </c>
      <c r="C166">
        <v>406.2</v>
      </c>
      <c r="D166">
        <v>445.5</v>
      </c>
      <c r="E166">
        <v>0.5</v>
      </c>
      <c r="F166">
        <v>-1.9</v>
      </c>
      <c r="H166">
        <v>163</v>
      </c>
      <c r="I166">
        <v>26.8</v>
      </c>
      <c r="J166">
        <v>31.3</v>
      </c>
      <c r="K166">
        <v>34.4</v>
      </c>
      <c r="L166">
        <v>31.9</v>
      </c>
      <c r="M166">
        <v>36</v>
      </c>
      <c r="AB166">
        <v>163</v>
      </c>
      <c r="AC166">
        <v>-90.4</v>
      </c>
      <c r="AD166">
        <v>-119.3</v>
      </c>
      <c r="AE166">
        <v>-131.6</v>
      </c>
      <c r="AF166">
        <v>-123.7</v>
      </c>
      <c r="AG166">
        <v>775.1</v>
      </c>
      <c r="AI166">
        <v>163</v>
      </c>
      <c r="AJ166">
        <v>81.599999999999994</v>
      </c>
      <c r="AK166">
        <v>55.6</v>
      </c>
      <c r="AL166">
        <v>60.1</v>
      </c>
      <c r="AM166">
        <v>68.099999999999994</v>
      </c>
      <c r="AN166">
        <v>82.5</v>
      </c>
      <c r="BB166">
        <v>163</v>
      </c>
      <c r="BC166">
        <v>-170.9</v>
      </c>
      <c r="BD166">
        <v>401.1</v>
      </c>
      <c r="BE166">
        <v>-10.6</v>
      </c>
      <c r="BF166">
        <v>544.1</v>
      </c>
      <c r="BG166">
        <v>711.9</v>
      </c>
      <c r="BI166">
        <v>163</v>
      </c>
      <c r="BJ166">
        <v>102.6</v>
      </c>
      <c r="BK166">
        <v>100.1</v>
      </c>
      <c r="BL166">
        <v>59</v>
      </c>
      <c r="BM166">
        <v>110.8</v>
      </c>
      <c r="BN166">
        <v>86.3</v>
      </c>
      <c r="BZ166">
        <v>163</v>
      </c>
      <c r="CA166">
        <v>942.6</v>
      </c>
      <c r="CB166">
        <v>171.9</v>
      </c>
      <c r="CC166">
        <v>-202.3</v>
      </c>
      <c r="CD166">
        <v>612.20000000000005</v>
      </c>
      <c r="CE166">
        <v>-137.6</v>
      </c>
      <c r="CG166">
        <v>163</v>
      </c>
      <c r="CH166">
        <v>90.2</v>
      </c>
      <c r="CI166">
        <v>65.8</v>
      </c>
      <c r="CJ166">
        <v>61.2</v>
      </c>
      <c r="CK166">
        <v>54.9</v>
      </c>
      <c r="CL166">
        <v>75.3</v>
      </c>
    </row>
    <row r="167" spans="1:90" x14ac:dyDescent="0.35">
      <c r="A167">
        <v>164</v>
      </c>
      <c r="B167">
        <v>125.5</v>
      </c>
      <c r="C167">
        <v>404.4</v>
      </c>
      <c r="D167">
        <v>447.4</v>
      </c>
      <c r="E167">
        <v>0.5</v>
      </c>
      <c r="F167">
        <v>-1.8</v>
      </c>
      <c r="H167">
        <v>164</v>
      </c>
      <c r="I167">
        <v>26.8</v>
      </c>
      <c r="J167">
        <v>31.3</v>
      </c>
      <c r="K167">
        <v>34.5</v>
      </c>
      <c r="L167">
        <v>31.9</v>
      </c>
      <c r="M167">
        <v>36</v>
      </c>
      <c r="AB167">
        <v>164</v>
      </c>
      <c r="AC167">
        <v>-90.2</v>
      </c>
      <c r="AD167">
        <v>-119.1</v>
      </c>
      <c r="AE167">
        <v>-131.9</v>
      </c>
      <c r="AF167">
        <v>-123.8</v>
      </c>
      <c r="AG167">
        <v>774.5</v>
      </c>
      <c r="AI167">
        <v>164</v>
      </c>
      <c r="AJ167">
        <v>81.599999999999994</v>
      </c>
      <c r="AK167">
        <v>55.7</v>
      </c>
      <c r="AL167">
        <v>60.2</v>
      </c>
      <c r="AM167">
        <v>68.2</v>
      </c>
      <c r="AN167">
        <v>82.5</v>
      </c>
      <c r="BB167">
        <v>164</v>
      </c>
      <c r="BC167">
        <v>-170.4</v>
      </c>
      <c r="BD167">
        <v>432.4</v>
      </c>
      <c r="BE167">
        <v>-11</v>
      </c>
      <c r="BF167">
        <v>574.70000000000005</v>
      </c>
      <c r="BG167">
        <v>743.3</v>
      </c>
      <c r="BI167">
        <v>164</v>
      </c>
      <c r="BJ167">
        <v>102.7</v>
      </c>
      <c r="BK167">
        <v>100.1</v>
      </c>
      <c r="BL167">
        <v>59.1</v>
      </c>
      <c r="BM167">
        <v>110.8</v>
      </c>
      <c r="BN167">
        <v>86.4</v>
      </c>
      <c r="BZ167">
        <v>164</v>
      </c>
      <c r="CA167">
        <v>969.6</v>
      </c>
      <c r="CB167">
        <v>152</v>
      </c>
      <c r="CC167">
        <v>-199.4</v>
      </c>
      <c r="CD167">
        <v>554.9</v>
      </c>
      <c r="CE167">
        <v>-132.4</v>
      </c>
      <c r="CG167">
        <v>164</v>
      </c>
      <c r="CH167">
        <v>90.2</v>
      </c>
      <c r="CI167">
        <v>65.8</v>
      </c>
      <c r="CJ167">
        <v>61.3</v>
      </c>
      <c r="CK167">
        <v>55</v>
      </c>
      <c r="CL167">
        <v>75.3</v>
      </c>
    </row>
    <row r="168" spans="1:90" x14ac:dyDescent="0.35">
      <c r="A168">
        <v>165</v>
      </c>
      <c r="B168">
        <v>126.7</v>
      </c>
      <c r="C168">
        <v>410.6</v>
      </c>
      <c r="D168">
        <v>449.3</v>
      </c>
      <c r="E168">
        <v>0.5</v>
      </c>
      <c r="F168">
        <v>-1.8</v>
      </c>
      <c r="H168">
        <v>165</v>
      </c>
      <c r="I168">
        <v>26.9</v>
      </c>
      <c r="J168">
        <v>31.4</v>
      </c>
      <c r="K168">
        <v>34.5</v>
      </c>
      <c r="L168">
        <v>32</v>
      </c>
      <c r="M168">
        <v>36</v>
      </c>
      <c r="AB168">
        <v>165</v>
      </c>
      <c r="AC168">
        <v>-90</v>
      </c>
      <c r="AD168">
        <v>-118.8</v>
      </c>
      <c r="AE168">
        <v>-132.30000000000001</v>
      </c>
      <c r="AF168">
        <v>-123.8</v>
      </c>
      <c r="AG168">
        <v>773.6</v>
      </c>
      <c r="AI168">
        <v>165</v>
      </c>
      <c r="AJ168">
        <v>81.599999999999994</v>
      </c>
      <c r="AK168">
        <v>55.7</v>
      </c>
      <c r="AL168">
        <v>60.2</v>
      </c>
      <c r="AM168">
        <v>68.3</v>
      </c>
      <c r="AN168">
        <v>82.6</v>
      </c>
      <c r="BB168">
        <v>165</v>
      </c>
      <c r="BC168">
        <v>-169.4</v>
      </c>
      <c r="BD168">
        <v>456.7</v>
      </c>
      <c r="BE168">
        <v>-11.2</v>
      </c>
      <c r="BF168">
        <v>607.1</v>
      </c>
      <c r="BG168">
        <v>775.4</v>
      </c>
      <c r="BI168">
        <v>165</v>
      </c>
      <c r="BJ168">
        <v>102.7</v>
      </c>
      <c r="BK168">
        <v>100.1</v>
      </c>
      <c r="BL168">
        <v>59.1</v>
      </c>
      <c r="BM168">
        <v>110.8</v>
      </c>
      <c r="BN168">
        <v>86.4</v>
      </c>
      <c r="BZ168">
        <v>165</v>
      </c>
      <c r="CA168">
        <v>970.1</v>
      </c>
      <c r="CB168">
        <v>134.5</v>
      </c>
      <c r="CC168">
        <v>-195.4</v>
      </c>
      <c r="CD168">
        <v>498.2</v>
      </c>
      <c r="CE168">
        <v>-126.1</v>
      </c>
      <c r="CG168">
        <v>165</v>
      </c>
      <c r="CH168">
        <v>90.2</v>
      </c>
      <c r="CI168">
        <v>65.900000000000006</v>
      </c>
      <c r="CJ168">
        <v>61.3</v>
      </c>
      <c r="CK168">
        <v>55.1</v>
      </c>
      <c r="CL168">
        <v>75.3</v>
      </c>
    </row>
    <row r="169" spans="1:90" x14ac:dyDescent="0.35">
      <c r="A169">
        <v>166</v>
      </c>
      <c r="B169">
        <v>127.6</v>
      </c>
      <c r="C169">
        <v>413</v>
      </c>
      <c r="D169">
        <v>450.6</v>
      </c>
      <c r="E169">
        <v>0.6</v>
      </c>
      <c r="F169">
        <v>-1.7</v>
      </c>
      <c r="H169">
        <v>166</v>
      </c>
      <c r="I169">
        <v>26.9</v>
      </c>
      <c r="J169">
        <v>31.4</v>
      </c>
      <c r="K169">
        <v>34.6</v>
      </c>
      <c r="L169">
        <v>32</v>
      </c>
      <c r="M169">
        <v>36.1</v>
      </c>
      <c r="AB169">
        <v>166</v>
      </c>
      <c r="AC169">
        <v>-89.6</v>
      </c>
      <c r="AD169">
        <v>-118.5</v>
      </c>
      <c r="AE169">
        <v>-132.80000000000001</v>
      </c>
      <c r="AF169">
        <v>-123.7</v>
      </c>
      <c r="AG169">
        <v>772.6</v>
      </c>
      <c r="AI169">
        <v>166</v>
      </c>
      <c r="AJ169">
        <v>81.599999999999994</v>
      </c>
      <c r="AK169">
        <v>55.8</v>
      </c>
      <c r="AL169">
        <v>60.3</v>
      </c>
      <c r="AM169">
        <v>68.3</v>
      </c>
      <c r="AN169">
        <v>82.6</v>
      </c>
      <c r="BB169">
        <v>166</v>
      </c>
      <c r="BC169">
        <v>-167.4</v>
      </c>
      <c r="BD169">
        <v>475.3</v>
      </c>
      <c r="BE169">
        <v>-11.5</v>
      </c>
      <c r="BF169">
        <v>637.6</v>
      </c>
      <c r="BG169">
        <v>803</v>
      </c>
      <c r="BI169">
        <v>166</v>
      </c>
      <c r="BJ169">
        <v>102.7</v>
      </c>
      <c r="BK169">
        <v>100.2</v>
      </c>
      <c r="BL169">
        <v>59.1</v>
      </c>
      <c r="BM169">
        <v>110.8</v>
      </c>
      <c r="BN169">
        <v>86.5</v>
      </c>
      <c r="BZ169">
        <v>166</v>
      </c>
      <c r="CA169">
        <v>963.2</v>
      </c>
      <c r="CB169">
        <v>110.7</v>
      </c>
      <c r="CC169">
        <v>-189.9</v>
      </c>
      <c r="CD169">
        <v>441.5</v>
      </c>
      <c r="CE169">
        <v>-118</v>
      </c>
    </row>
    <row r="170" spans="1:90" x14ac:dyDescent="0.35">
      <c r="A170">
        <v>167</v>
      </c>
      <c r="B170">
        <v>128.80000000000001</v>
      </c>
      <c r="C170">
        <v>391.8</v>
      </c>
      <c r="D170">
        <v>453.4</v>
      </c>
      <c r="E170">
        <v>0.6</v>
      </c>
      <c r="F170">
        <v>-1.7</v>
      </c>
      <c r="H170">
        <v>167</v>
      </c>
      <c r="I170">
        <v>27</v>
      </c>
      <c r="J170">
        <v>31.4</v>
      </c>
      <c r="K170">
        <v>34.6</v>
      </c>
      <c r="L170">
        <v>32</v>
      </c>
      <c r="M170">
        <v>36.1</v>
      </c>
      <c r="AB170">
        <v>167</v>
      </c>
      <c r="AC170">
        <v>-89.1</v>
      </c>
      <c r="AD170">
        <v>-118.3</v>
      </c>
      <c r="AE170">
        <v>-134.1</v>
      </c>
      <c r="AF170">
        <v>-123.4</v>
      </c>
      <c r="AG170">
        <v>767.1</v>
      </c>
      <c r="AI170">
        <v>167</v>
      </c>
      <c r="AJ170">
        <v>81.7</v>
      </c>
      <c r="AK170">
        <v>55.9</v>
      </c>
      <c r="AL170">
        <v>60.3</v>
      </c>
      <c r="AM170">
        <v>68.3</v>
      </c>
      <c r="AN170">
        <v>82.6</v>
      </c>
      <c r="BB170">
        <v>167</v>
      </c>
      <c r="BC170">
        <v>-164.9</v>
      </c>
      <c r="BD170">
        <v>494.9</v>
      </c>
      <c r="BE170">
        <v>-11.7</v>
      </c>
      <c r="BF170">
        <v>666.6</v>
      </c>
      <c r="BG170">
        <v>824.1</v>
      </c>
      <c r="BI170">
        <v>167</v>
      </c>
      <c r="BJ170">
        <v>102.7</v>
      </c>
      <c r="BK170">
        <v>100.2</v>
      </c>
      <c r="BL170">
        <v>59.2</v>
      </c>
      <c r="BM170">
        <v>110.8</v>
      </c>
      <c r="BN170">
        <v>86.5</v>
      </c>
      <c r="BZ170">
        <v>167</v>
      </c>
      <c r="CA170">
        <v>967.4</v>
      </c>
      <c r="CB170">
        <v>89.2</v>
      </c>
      <c r="CC170">
        <v>-181.5</v>
      </c>
      <c r="CD170">
        <v>385.4</v>
      </c>
      <c r="CE170">
        <v>-105.5</v>
      </c>
    </row>
    <row r="171" spans="1:90" x14ac:dyDescent="0.35">
      <c r="A171">
        <v>168</v>
      </c>
      <c r="B171">
        <v>130.69999999999999</v>
      </c>
      <c r="C171">
        <v>356.1</v>
      </c>
      <c r="D171">
        <v>455.8</v>
      </c>
      <c r="E171">
        <v>0.7</v>
      </c>
      <c r="F171">
        <v>-1.7</v>
      </c>
      <c r="H171">
        <v>168</v>
      </c>
      <c r="I171">
        <v>27</v>
      </c>
      <c r="J171">
        <v>31.5</v>
      </c>
      <c r="K171">
        <v>34.6</v>
      </c>
      <c r="L171">
        <v>32</v>
      </c>
      <c r="M171">
        <v>36.1</v>
      </c>
      <c r="AB171">
        <v>168</v>
      </c>
      <c r="AC171">
        <v>-88.7</v>
      </c>
      <c r="AD171">
        <v>-118.1</v>
      </c>
      <c r="AE171">
        <v>-134.4</v>
      </c>
      <c r="AF171">
        <v>-122.8</v>
      </c>
      <c r="AG171">
        <v>759</v>
      </c>
      <c r="AI171">
        <v>168</v>
      </c>
      <c r="AJ171">
        <v>81.7</v>
      </c>
      <c r="AK171">
        <v>55.9</v>
      </c>
      <c r="AL171">
        <v>60.4</v>
      </c>
      <c r="AM171">
        <v>68.3</v>
      </c>
      <c r="AN171">
        <v>82.6</v>
      </c>
      <c r="BB171">
        <v>168</v>
      </c>
      <c r="BC171">
        <v>-163.30000000000001</v>
      </c>
      <c r="BD171">
        <v>518.70000000000005</v>
      </c>
      <c r="BE171">
        <v>-11.8</v>
      </c>
      <c r="BF171">
        <v>690.3</v>
      </c>
      <c r="BG171">
        <v>840</v>
      </c>
      <c r="BI171">
        <v>168</v>
      </c>
      <c r="BJ171">
        <v>102.7</v>
      </c>
      <c r="BK171">
        <v>100.2</v>
      </c>
      <c r="BL171">
        <v>59.2</v>
      </c>
      <c r="BM171">
        <v>110.8</v>
      </c>
      <c r="BN171">
        <v>86.6</v>
      </c>
      <c r="BZ171">
        <v>168</v>
      </c>
      <c r="CA171">
        <v>983.1</v>
      </c>
      <c r="CB171">
        <v>65.400000000000006</v>
      </c>
      <c r="CC171">
        <v>-170.8</v>
      </c>
      <c r="CD171">
        <v>331.3</v>
      </c>
      <c r="CE171">
        <v>-84</v>
      </c>
    </row>
    <row r="172" spans="1:90" x14ac:dyDescent="0.35">
      <c r="A172">
        <v>169</v>
      </c>
      <c r="B172">
        <v>132.9</v>
      </c>
      <c r="C172">
        <v>291.8</v>
      </c>
      <c r="D172">
        <v>452.6</v>
      </c>
      <c r="E172">
        <v>0.7</v>
      </c>
      <c r="F172">
        <v>-1.6</v>
      </c>
      <c r="H172">
        <v>169</v>
      </c>
      <c r="I172">
        <v>27</v>
      </c>
      <c r="J172">
        <v>31.5</v>
      </c>
      <c r="K172">
        <v>34.6</v>
      </c>
      <c r="L172">
        <v>32.1</v>
      </c>
      <c r="M172">
        <v>36.200000000000003</v>
      </c>
      <c r="AB172">
        <v>169</v>
      </c>
      <c r="AC172">
        <v>-88.5</v>
      </c>
      <c r="AD172">
        <v>-117.7</v>
      </c>
      <c r="AE172">
        <v>-134.1</v>
      </c>
      <c r="AF172">
        <v>-122.1</v>
      </c>
      <c r="AG172">
        <v>743.4</v>
      </c>
      <c r="AI172">
        <v>169</v>
      </c>
      <c r="AJ172">
        <v>81.7</v>
      </c>
      <c r="AK172">
        <v>56</v>
      </c>
      <c r="AL172">
        <v>60.4</v>
      </c>
      <c r="AM172">
        <v>68.2</v>
      </c>
      <c r="AN172">
        <v>82.6</v>
      </c>
      <c r="BB172">
        <v>169</v>
      </c>
      <c r="BC172">
        <v>-162</v>
      </c>
      <c r="BD172">
        <v>545.4</v>
      </c>
      <c r="BE172">
        <v>-11.8</v>
      </c>
      <c r="BF172">
        <v>711.5</v>
      </c>
      <c r="BG172">
        <v>852.7</v>
      </c>
      <c r="BI172">
        <v>169</v>
      </c>
      <c r="BJ172">
        <v>102.7</v>
      </c>
      <c r="BK172">
        <v>100.2</v>
      </c>
      <c r="BL172">
        <v>59.3</v>
      </c>
      <c r="BM172">
        <v>110.8</v>
      </c>
      <c r="BN172">
        <v>86.6</v>
      </c>
      <c r="BZ172">
        <v>169</v>
      </c>
      <c r="CA172">
        <v>1003.5</v>
      </c>
      <c r="CB172">
        <v>46.3</v>
      </c>
      <c r="CC172">
        <v>-160.69999999999999</v>
      </c>
      <c r="CD172">
        <v>280.39999999999998</v>
      </c>
      <c r="CE172">
        <v>-47.2</v>
      </c>
    </row>
    <row r="173" spans="1:90" x14ac:dyDescent="0.35">
      <c r="A173">
        <v>170</v>
      </c>
      <c r="B173">
        <v>135</v>
      </c>
      <c r="C173">
        <v>225.8</v>
      </c>
      <c r="D173">
        <v>445.9</v>
      </c>
      <c r="E173">
        <v>0.8</v>
      </c>
      <c r="F173">
        <v>-1.6</v>
      </c>
      <c r="H173">
        <v>170</v>
      </c>
      <c r="I173">
        <v>27</v>
      </c>
      <c r="J173">
        <v>31.5</v>
      </c>
      <c r="K173">
        <v>34.700000000000003</v>
      </c>
      <c r="L173">
        <v>32.1</v>
      </c>
      <c r="M173">
        <v>36.200000000000003</v>
      </c>
      <c r="AB173">
        <v>170</v>
      </c>
      <c r="AC173">
        <v>-88.3</v>
      </c>
      <c r="AD173">
        <v>-117.2</v>
      </c>
      <c r="AE173">
        <v>-133.80000000000001</v>
      </c>
      <c r="AF173">
        <v>-121.4</v>
      </c>
      <c r="AG173">
        <v>729.8</v>
      </c>
      <c r="AI173">
        <v>170</v>
      </c>
      <c r="AJ173">
        <v>81.8</v>
      </c>
      <c r="AK173">
        <v>56</v>
      </c>
      <c r="AL173">
        <v>60.5</v>
      </c>
      <c r="AM173">
        <v>68.3</v>
      </c>
      <c r="AN173">
        <v>82.6</v>
      </c>
      <c r="BB173">
        <v>170</v>
      </c>
      <c r="BC173">
        <v>-160.4</v>
      </c>
      <c r="BD173">
        <v>572.70000000000005</v>
      </c>
      <c r="BE173">
        <v>-11.8</v>
      </c>
      <c r="BF173">
        <v>738.7</v>
      </c>
      <c r="BG173">
        <v>864.7</v>
      </c>
      <c r="BI173">
        <v>170</v>
      </c>
      <c r="BJ173">
        <v>102.7</v>
      </c>
      <c r="BK173">
        <v>100.3</v>
      </c>
      <c r="BL173">
        <v>59.3</v>
      </c>
      <c r="BM173">
        <v>110.8</v>
      </c>
      <c r="BN173">
        <v>86.7</v>
      </c>
      <c r="BZ173">
        <v>170</v>
      </c>
      <c r="CA173">
        <v>984.3</v>
      </c>
      <c r="CB173">
        <v>31.8</v>
      </c>
      <c r="CC173">
        <v>-151.5</v>
      </c>
      <c r="CD173">
        <v>234.2</v>
      </c>
      <c r="CE173">
        <v>-1.5</v>
      </c>
    </row>
    <row r="174" spans="1:90" x14ac:dyDescent="0.35">
      <c r="A174">
        <v>171</v>
      </c>
      <c r="B174">
        <v>136.80000000000001</v>
      </c>
      <c r="C174">
        <v>174.4</v>
      </c>
      <c r="D174">
        <v>439.1</v>
      </c>
      <c r="E174">
        <v>0.8</v>
      </c>
      <c r="F174">
        <v>-1.5</v>
      </c>
      <c r="H174">
        <v>171</v>
      </c>
      <c r="I174">
        <v>27.1</v>
      </c>
      <c r="J174">
        <v>31.5</v>
      </c>
      <c r="K174">
        <v>34.700000000000003</v>
      </c>
      <c r="L174">
        <v>32.1</v>
      </c>
      <c r="M174">
        <v>36.299999999999997</v>
      </c>
      <c r="AB174">
        <v>171</v>
      </c>
      <c r="AC174">
        <v>-88.2</v>
      </c>
      <c r="AD174">
        <v>-116.5</v>
      </c>
      <c r="AE174">
        <v>-133.30000000000001</v>
      </c>
      <c r="AF174">
        <v>-120.9</v>
      </c>
      <c r="AG174">
        <v>722.4</v>
      </c>
      <c r="AI174">
        <v>171</v>
      </c>
      <c r="AJ174">
        <v>81.8</v>
      </c>
      <c r="AK174">
        <v>56.1</v>
      </c>
      <c r="AL174">
        <v>60.5</v>
      </c>
      <c r="AM174">
        <v>68.3</v>
      </c>
      <c r="AN174">
        <v>82.6</v>
      </c>
      <c r="BB174">
        <v>171</v>
      </c>
      <c r="BC174">
        <v>-158.19999999999999</v>
      </c>
      <c r="BD174">
        <v>595.1</v>
      </c>
      <c r="BE174">
        <v>-11.8</v>
      </c>
      <c r="BF174">
        <v>766.1</v>
      </c>
      <c r="BG174">
        <v>872.9</v>
      </c>
      <c r="BZ174">
        <v>171</v>
      </c>
      <c r="CA174">
        <v>905.6</v>
      </c>
      <c r="CB174">
        <v>22.9</v>
      </c>
      <c r="CC174">
        <v>-143.6</v>
      </c>
      <c r="CD174">
        <v>193.5</v>
      </c>
      <c r="CE174">
        <v>46.9</v>
      </c>
    </row>
    <row r="175" spans="1:90" x14ac:dyDescent="0.35">
      <c r="A175">
        <v>172</v>
      </c>
      <c r="B175">
        <v>137.5</v>
      </c>
      <c r="C175">
        <v>134.69999999999999</v>
      </c>
      <c r="D175">
        <v>435.9</v>
      </c>
      <c r="E175">
        <v>0.9</v>
      </c>
      <c r="F175">
        <v>-1.5</v>
      </c>
      <c r="H175">
        <v>172</v>
      </c>
      <c r="I175">
        <v>27.1</v>
      </c>
      <c r="J175">
        <v>31.6</v>
      </c>
      <c r="K175">
        <v>34.700000000000003</v>
      </c>
      <c r="L175">
        <v>32.1</v>
      </c>
      <c r="M175">
        <v>36.299999999999997</v>
      </c>
      <c r="AB175">
        <v>172</v>
      </c>
      <c r="AC175">
        <v>-88.2</v>
      </c>
      <c r="AD175">
        <v>-115.7</v>
      </c>
      <c r="AE175">
        <v>-132.5</v>
      </c>
      <c r="AF175">
        <v>-120.4</v>
      </c>
      <c r="AG175">
        <v>717</v>
      </c>
      <c r="AI175">
        <v>172</v>
      </c>
      <c r="AJ175">
        <v>81.8</v>
      </c>
      <c r="AK175">
        <v>56.1</v>
      </c>
      <c r="AL175">
        <v>60.6</v>
      </c>
      <c r="AM175">
        <v>68.3</v>
      </c>
      <c r="AN175">
        <v>82.6</v>
      </c>
      <c r="BB175">
        <v>172</v>
      </c>
      <c r="BC175">
        <v>-155.9</v>
      </c>
      <c r="BD175">
        <v>611.79999999999995</v>
      </c>
      <c r="BE175">
        <v>-11.7</v>
      </c>
      <c r="BF175">
        <v>787.3</v>
      </c>
      <c r="BG175">
        <v>886</v>
      </c>
      <c r="BZ175">
        <v>172</v>
      </c>
      <c r="CA175">
        <v>816.8</v>
      </c>
      <c r="CB175">
        <v>19.399999999999999</v>
      </c>
      <c r="CC175">
        <v>-137.19999999999999</v>
      </c>
      <c r="CD175">
        <v>157.1</v>
      </c>
      <c r="CE175">
        <v>161.69999999999999</v>
      </c>
    </row>
    <row r="176" spans="1:90" x14ac:dyDescent="0.35">
      <c r="A176">
        <v>173</v>
      </c>
      <c r="B176">
        <v>137.5</v>
      </c>
      <c r="C176">
        <v>103.4</v>
      </c>
      <c r="D176">
        <v>435.9</v>
      </c>
      <c r="E176">
        <v>0.9</v>
      </c>
      <c r="F176">
        <v>-1.5</v>
      </c>
      <c r="H176">
        <v>173</v>
      </c>
      <c r="I176">
        <v>27.1</v>
      </c>
      <c r="J176">
        <v>31.6</v>
      </c>
      <c r="K176">
        <v>34.799999999999997</v>
      </c>
      <c r="L176">
        <v>32.200000000000003</v>
      </c>
      <c r="M176">
        <v>36.299999999999997</v>
      </c>
      <c r="AB176">
        <v>173</v>
      </c>
      <c r="AC176">
        <v>-88.2</v>
      </c>
      <c r="AD176">
        <v>-114.7</v>
      </c>
      <c r="AE176">
        <v>-131.9</v>
      </c>
      <c r="AF176">
        <v>-119.7</v>
      </c>
      <c r="AG176">
        <v>707.5</v>
      </c>
      <c r="AI176">
        <v>173</v>
      </c>
      <c r="AJ176">
        <v>81.8</v>
      </c>
      <c r="AK176">
        <v>56.2</v>
      </c>
      <c r="AL176">
        <v>60.6</v>
      </c>
      <c r="AM176">
        <v>68.3</v>
      </c>
      <c r="AN176">
        <v>82.6</v>
      </c>
      <c r="BB176">
        <v>173</v>
      </c>
      <c r="BC176">
        <v>-153.4</v>
      </c>
      <c r="BD176">
        <v>627.5</v>
      </c>
      <c r="BE176">
        <v>-11.6</v>
      </c>
      <c r="BF176">
        <v>805.2</v>
      </c>
      <c r="BG176">
        <v>904</v>
      </c>
      <c r="BZ176">
        <v>173</v>
      </c>
      <c r="CA176">
        <v>740.2</v>
      </c>
      <c r="CB176">
        <v>18.399999999999999</v>
      </c>
      <c r="CC176">
        <v>-131.5</v>
      </c>
      <c r="CD176">
        <v>124.6</v>
      </c>
      <c r="CE176">
        <v>394.7</v>
      </c>
    </row>
    <row r="177" spans="1:83" x14ac:dyDescent="0.35">
      <c r="A177">
        <v>174</v>
      </c>
      <c r="B177">
        <v>137.4</v>
      </c>
      <c r="C177">
        <v>77.099999999999994</v>
      </c>
      <c r="D177">
        <v>441.1</v>
      </c>
      <c r="E177">
        <v>1</v>
      </c>
      <c r="F177">
        <v>-1.4</v>
      </c>
      <c r="H177">
        <v>174</v>
      </c>
      <c r="I177">
        <v>27.2</v>
      </c>
      <c r="J177">
        <v>31.6</v>
      </c>
      <c r="K177">
        <v>34.799999999999997</v>
      </c>
      <c r="L177">
        <v>32.200000000000003</v>
      </c>
      <c r="M177">
        <v>36.299999999999997</v>
      </c>
      <c r="AB177">
        <v>174</v>
      </c>
      <c r="AC177">
        <v>-88.1</v>
      </c>
      <c r="AD177">
        <v>-113.9</v>
      </c>
      <c r="AE177">
        <v>-131.80000000000001</v>
      </c>
      <c r="AF177">
        <v>-119.1</v>
      </c>
      <c r="AG177">
        <v>675.2</v>
      </c>
      <c r="AI177">
        <v>174</v>
      </c>
      <c r="AJ177">
        <v>81.8</v>
      </c>
      <c r="AK177">
        <v>56.3</v>
      </c>
      <c r="AL177">
        <v>60.7</v>
      </c>
      <c r="AM177">
        <v>68.5</v>
      </c>
      <c r="AN177">
        <v>82.5</v>
      </c>
      <c r="BB177">
        <v>174</v>
      </c>
      <c r="BC177">
        <v>-150.6</v>
      </c>
      <c r="BD177">
        <v>646.29999999999995</v>
      </c>
      <c r="BE177">
        <v>-11.5</v>
      </c>
      <c r="BF177">
        <v>825</v>
      </c>
      <c r="BG177">
        <v>924.9</v>
      </c>
      <c r="BZ177">
        <v>174</v>
      </c>
      <c r="CA177">
        <v>670.7</v>
      </c>
      <c r="CB177">
        <v>17.399999999999999</v>
      </c>
      <c r="CC177">
        <v>-125.2</v>
      </c>
      <c r="CD177">
        <v>95.9</v>
      </c>
      <c r="CE177">
        <v>556.79999999999995</v>
      </c>
    </row>
    <row r="178" spans="1:83" x14ac:dyDescent="0.35">
      <c r="A178">
        <v>175</v>
      </c>
      <c r="B178">
        <v>138.5</v>
      </c>
      <c r="C178">
        <v>51.2</v>
      </c>
      <c r="D178">
        <v>447.8</v>
      </c>
      <c r="E178">
        <v>1</v>
      </c>
      <c r="F178">
        <v>-1.4</v>
      </c>
      <c r="H178">
        <v>175</v>
      </c>
      <c r="I178">
        <v>27.2</v>
      </c>
      <c r="J178">
        <v>31.6</v>
      </c>
      <c r="K178">
        <v>34.799999999999997</v>
      </c>
      <c r="L178">
        <v>32.200000000000003</v>
      </c>
      <c r="M178">
        <v>36.4</v>
      </c>
      <c r="AB178">
        <v>175</v>
      </c>
      <c r="AC178">
        <v>-88</v>
      </c>
      <c r="AD178">
        <v>-113.3</v>
      </c>
      <c r="AE178">
        <v>-131.80000000000001</v>
      </c>
      <c r="AF178">
        <v>-118.4</v>
      </c>
      <c r="AG178">
        <v>630.1</v>
      </c>
      <c r="AI178">
        <v>175</v>
      </c>
      <c r="AJ178">
        <v>81.900000000000006</v>
      </c>
      <c r="AK178">
        <v>56.3</v>
      </c>
      <c r="AL178">
        <v>60.7</v>
      </c>
      <c r="AM178">
        <v>68.5</v>
      </c>
      <c r="AN178">
        <v>82.5</v>
      </c>
      <c r="BB178">
        <v>175</v>
      </c>
      <c r="BC178">
        <v>-147.80000000000001</v>
      </c>
      <c r="BD178">
        <v>662.3</v>
      </c>
      <c r="BE178">
        <v>-11.4</v>
      </c>
      <c r="BF178">
        <v>851.9</v>
      </c>
      <c r="BG178">
        <v>932.8</v>
      </c>
      <c r="BZ178">
        <v>175</v>
      </c>
      <c r="CA178">
        <v>604.9</v>
      </c>
      <c r="CB178">
        <v>16.5</v>
      </c>
      <c r="CC178">
        <v>-115.5</v>
      </c>
      <c r="CD178">
        <v>70.900000000000006</v>
      </c>
      <c r="CE178">
        <v>655.5</v>
      </c>
    </row>
    <row r="179" spans="1:83" x14ac:dyDescent="0.35">
      <c r="A179">
        <v>176</v>
      </c>
      <c r="B179">
        <v>141.19999999999999</v>
      </c>
      <c r="C179">
        <v>29.9</v>
      </c>
      <c r="D179">
        <v>452.8</v>
      </c>
      <c r="E179">
        <v>1</v>
      </c>
      <c r="F179">
        <v>-1.3</v>
      </c>
      <c r="H179">
        <v>176</v>
      </c>
      <c r="I179">
        <v>27.2</v>
      </c>
      <c r="J179">
        <v>31.6</v>
      </c>
      <c r="K179">
        <v>34.799999999999997</v>
      </c>
      <c r="L179">
        <v>32.299999999999997</v>
      </c>
      <c r="M179">
        <v>36.4</v>
      </c>
      <c r="AB179">
        <v>176</v>
      </c>
      <c r="AC179">
        <v>-87.9</v>
      </c>
      <c r="AD179">
        <v>-112.8</v>
      </c>
      <c r="AE179">
        <v>-131.69999999999999</v>
      </c>
      <c r="AF179">
        <v>-117.7</v>
      </c>
      <c r="AG179">
        <v>585.5</v>
      </c>
      <c r="AI179">
        <v>176</v>
      </c>
      <c r="AJ179">
        <v>81.900000000000006</v>
      </c>
      <c r="AK179">
        <v>56.3</v>
      </c>
      <c r="AL179">
        <v>60.8</v>
      </c>
      <c r="AM179">
        <v>68.400000000000006</v>
      </c>
      <c r="AN179">
        <v>82.5</v>
      </c>
      <c r="BB179">
        <v>176</v>
      </c>
      <c r="BC179">
        <v>-145.1</v>
      </c>
      <c r="BD179">
        <v>674.9</v>
      </c>
      <c r="BE179">
        <v>-11.3</v>
      </c>
      <c r="BF179">
        <v>887.6</v>
      </c>
      <c r="BG179">
        <v>885.7</v>
      </c>
      <c r="BZ179">
        <v>176</v>
      </c>
      <c r="CA179">
        <v>540.9</v>
      </c>
      <c r="CB179">
        <v>15.7</v>
      </c>
      <c r="CC179">
        <v>-99.9</v>
      </c>
      <c r="CD179">
        <v>48.9</v>
      </c>
      <c r="CE179">
        <v>719.4</v>
      </c>
    </row>
    <row r="180" spans="1:83" x14ac:dyDescent="0.35">
      <c r="A180">
        <v>177</v>
      </c>
      <c r="B180">
        <v>146.5</v>
      </c>
      <c r="C180">
        <v>18.3</v>
      </c>
      <c r="D180">
        <v>452.1</v>
      </c>
      <c r="E180">
        <v>1.1000000000000001</v>
      </c>
      <c r="F180">
        <v>-1.2</v>
      </c>
      <c r="H180">
        <v>177</v>
      </c>
      <c r="I180">
        <v>27.3</v>
      </c>
      <c r="J180">
        <v>31.6</v>
      </c>
      <c r="K180">
        <v>34.9</v>
      </c>
      <c r="L180">
        <v>32.299999999999997</v>
      </c>
      <c r="M180">
        <v>36.4</v>
      </c>
      <c r="AB180">
        <v>177</v>
      </c>
      <c r="AC180">
        <v>-87.7</v>
      </c>
      <c r="AD180">
        <v>-112.1</v>
      </c>
      <c r="AE180">
        <v>-131</v>
      </c>
      <c r="AF180">
        <v>-117</v>
      </c>
      <c r="AG180">
        <v>539.70000000000005</v>
      </c>
      <c r="AI180">
        <v>177</v>
      </c>
      <c r="AJ180">
        <v>82</v>
      </c>
      <c r="AK180">
        <v>56.4</v>
      </c>
      <c r="AL180">
        <v>60.8</v>
      </c>
      <c r="AM180">
        <v>68.599999999999994</v>
      </c>
      <c r="AN180">
        <v>82.5</v>
      </c>
      <c r="BB180">
        <v>177</v>
      </c>
      <c r="BC180">
        <v>-142.4</v>
      </c>
      <c r="BD180">
        <v>683.3</v>
      </c>
      <c r="BE180">
        <v>-11.2</v>
      </c>
      <c r="BF180">
        <v>922.1</v>
      </c>
      <c r="BG180">
        <v>792.5</v>
      </c>
      <c r="BZ180">
        <v>177</v>
      </c>
      <c r="CA180">
        <v>478.6</v>
      </c>
      <c r="CB180">
        <v>15.1</v>
      </c>
      <c r="CC180">
        <v>-79</v>
      </c>
      <c r="CD180">
        <v>29.5</v>
      </c>
      <c r="CE180">
        <v>769.5</v>
      </c>
    </row>
    <row r="181" spans="1:83" x14ac:dyDescent="0.35">
      <c r="A181">
        <v>178</v>
      </c>
      <c r="B181">
        <v>154.4</v>
      </c>
      <c r="C181">
        <v>12.6</v>
      </c>
      <c r="D181">
        <v>452.9</v>
      </c>
      <c r="E181">
        <v>1.1000000000000001</v>
      </c>
      <c r="F181">
        <v>-1.2</v>
      </c>
      <c r="H181">
        <v>178</v>
      </c>
      <c r="I181">
        <v>27.3</v>
      </c>
      <c r="J181">
        <v>31.6</v>
      </c>
      <c r="K181">
        <v>34.9</v>
      </c>
      <c r="L181">
        <v>32.299999999999997</v>
      </c>
      <c r="M181">
        <v>36.5</v>
      </c>
      <c r="AB181">
        <v>178</v>
      </c>
      <c r="AC181">
        <v>-87.6</v>
      </c>
      <c r="AD181">
        <v>-111.3</v>
      </c>
      <c r="AE181">
        <v>-129.80000000000001</v>
      </c>
      <c r="AF181">
        <v>-116.1</v>
      </c>
      <c r="AG181">
        <v>492.2</v>
      </c>
      <c r="AI181">
        <v>178</v>
      </c>
      <c r="AJ181">
        <v>82</v>
      </c>
      <c r="AK181">
        <v>56.4</v>
      </c>
      <c r="AL181">
        <v>60.9</v>
      </c>
      <c r="AM181">
        <v>68.900000000000006</v>
      </c>
      <c r="AN181">
        <v>82.6</v>
      </c>
      <c r="BB181">
        <v>178</v>
      </c>
      <c r="BC181">
        <v>-139.69999999999999</v>
      </c>
      <c r="BD181">
        <v>685.6</v>
      </c>
      <c r="BE181">
        <v>-11.1</v>
      </c>
      <c r="BF181">
        <v>944.4</v>
      </c>
      <c r="BG181">
        <v>707.1</v>
      </c>
      <c r="BZ181">
        <v>178</v>
      </c>
      <c r="CA181">
        <v>418.7</v>
      </c>
      <c r="CB181">
        <v>14.5</v>
      </c>
      <c r="CC181">
        <v>-52.5</v>
      </c>
      <c r="CD181">
        <v>11.6</v>
      </c>
      <c r="CE181">
        <v>808</v>
      </c>
    </row>
    <row r="182" spans="1:83" x14ac:dyDescent="0.35">
      <c r="A182">
        <v>179</v>
      </c>
      <c r="B182">
        <v>162.69999999999999</v>
      </c>
      <c r="C182">
        <v>9.1999999999999993</v>
      </c>
      <c r="D182">
        <v>456.9</v>
      </c>
      <c r="E182">
        <v>1.2</v>
      </c>
      <c r="F182">
        <v>-1.1000000000000001</v>
      </c>
      <c r="H182">
        <v>179</v>
      </c>
      <c r="I182">
        <v>27.3</v>
      </c>
      <c r="J182">
        <v>31.6</v>
      </c>
      <c r="K182">
        <v>34.9</v>
      </c>
      <c r="L182">
        <v>32.4</v>
      </c>
      <c r="M182">
        <v>36.5</v>
      </c>
      <c r="AB182">
        <v>179</v>
      </c>
      <c r="AC182">
        <v>-87.5</v>
      </c>
      <c r="AD182">
        <v>-110.4</v>
      </c>
      <c r="AE182">
        <v>-128.6</v>
      </c>
      <c r="AF182">
        <v>-115.1</v>
      </c>
      <c r="AG182">
        <v>444.9</v>
      </c>
      <c r="AI182">
        <v>179</v>
      </c>
      <c r="AJ182">
        <v>82</v>
      </c>
      <c r="AK182">
        <v>56.5</v>
      </c>
      <c r="AL182">
        <v>60.9</v>
      </c>
      <c r="AM182">
        <v>69.3</v>
      </c>
      <c r="AN182">
        <v>82.6</v>
      </c>
      <c r="BB182">
        <v>179</v>
      </c>
      <c r="BC182">
        <v>-136.4</v>
      </c>
      <c r="BD182">
        <v>687.2</v>
      </c>
      <c r="BE182">
        <v>-11</v>
      </c>
      <c r="BF182">
        <v>957.3</v>
      </c>
      <c r="BG182">
        <v>630.6</v>
      </c>
      <c r="BZ182">
        <v>179</v>
      </c>
      <c r="CA182">
        <v>362.7</v>
      </c>
      <c r="CB182">
        <v>13.9</v>
      </c>
      <c r="CC182">
        <v>-21</v>
      </c>
      <c r="CD182">
        <v>-6.9</v>
      </c>
      <c r="CE182">
        <v>837</v>
      </c>
    </row>
    <row r="183" spans="1:83" x14ac:dyDescent="0.35">
      <c r="A183">
        <v>180</v>
      </c>
      <c r="B183">
        <v>175.8</v>
      </c>
      <c r="C183">
        <v>7</v>
      </c>
      <c r="D183">
        <v>462.8</v>
      </c>
      <c r="E183">
        <v>1.3</v>
      </c>
      <c r="F183">
        <v>-1.1000000000000001</v>
      </c>
      <c r="H183">
        <v>180</v>
      </c>
      <c r="I183">
        <v>27.4</v>
      </c>
      <c r="J183">
        <v>31.6</v>
      </c>
      <c r="K183">
        <v>34.9</v>
      </c>
      <c r="L183">
        <v>32.4</v>
      </c>
      <c r="M183">
        <v>36.5</v>
      </c>
      <c r="AB183">
        <v>180</v>
      </c>
      <c r="AC183">
        <v>-87.3</v>
      </c>
      <c r="AD183">
        <v>-109.3</v>
      </c>
      <c r="AE183">
        <v>-127.8</v>
      </c>
      <c r="AF183">
        <v>-114.1</v>
      </c>
      <c r="AG183">
        <v>398.6</v>
      </c>
      <c r="AI183">
        <v>180</v>
      </c>
      <c r="AJ183">
        <v>82</v>
      </c>
      <c r="AK183">
        <v>56.5</v>
      </c>
      <c r="AL183">
        <v>60.9</v>
      </c>
      <c r="AM183">
        <v>69.599999999999994</v>
      </c>
      <c r="AN183">
        <v>82.6</v>
      </c>
      <c r="BB183">
        <v>180</v>
      </c>
      <c r="BC183">
        <v>-132.19999999999999</v>
      </c>
      <c r="BD183">
        <v>689</v>
      </c>
      <c r="BE183">
        <v>-10.9</v>
      </c>
      <c r="BF183">
        <v>972.1</v>
      </c>
      <c r="BG183">
        <v>557.9</v>
      </c>
      <c r="BZ183">
        <v>180</v>
      </c>
      <c r="CA183">
        <v>312.2</v>
      </c>
      <c r="CB183">
        <v>13.6</v>
      </c>
      <c r="CC183">
        <v>20.399999999999999</v>
      </c>
      <c r="CD183">
        <v>-24.2</v>
      </c>
      <c r="CE183">
        <v>860</v>
      </c>
    </row>
    <row r="184" spans="1:83" x14ac:dyDescent="0.35">
      <c r="A184">
        <v>181</v>
      </c>
      <c r="B184">
        <v>208.7</v>
      </c>
      <c r="C184">
        <v>5.5</v>
      </c>
      <c r="D184">
        <v>472.1</v>
      </c>
      <c r="E184">
        <v>1.3</v>
      </c>
      <c r="F184">
        <v>-1</v>
      </c>
      <c r="H184">
        <v>181</v>
      </c>
      <c r="I184">
        <v>27.4</v>
      </c>
      <c r="J184">
        <v>31.6</v>
      </c>
      <c r="K184">
        <v>34.9</v>
      </c>
      <c r="L184">
        <v>32.4</v>
      </c>
      <c r="M184">
        <v>36.6</v>
      </c>
      <c r="AB184">
        <v>181</v>
      </c>
      <c r="AC184">
        <v>-87.1</v>
      </c>
      <c r="AD184">
        <v>-108</v>
      </c>
      <c r="AE184">
        <v>-126.8</v>
      </c>
      <c r="AF184">
        <v>-113</v>
      </c>
      <c r="AG184">
        <v>342.3</v>
      </c>
      <c r="AI184">
        <v>181</v>
      </c>
      <c r="AJ184">
        <v>82</v>
      </c>
      <c r="AK184">
        <v>56.6</v>
      </c>
      <c r="AL184">
        <v>61</v>
      </c>
      <c r="AM184">
        <v>69.900000000000006</v>
      </c>
      <c r="AN184">
        <v>82.7</v>
      </c>
      <c r="BB184">
        <v>181</v>
      </c>
      <c r="BC184">
        <v>-126.4</v>
      </c>
      <c r="BD184">
        <v>692.3</v>
      </c>
      <c r="BE184">
        <v>-10.7</v>
      </c>
      <c r="BF184">
        <v>970.4</v>
      </c>
      <c r="BG184">
        <v>486.2</v>
      </c>
      <c r="BZ184">
        <v>181</v>
      </c>
      <c r="CA184">
        <v>268</v>
      </c>
      <c r="CB184">
        <v>13.4</v>
      </c>
      <c r="CC184">
        <v>98.4</v>
      </c>
      <c r="CD184">
        <v>-34</v>
      </c>
      <c r="CE184">
        <v>875.3</v>
      </c>
    </row>
    <row r="185" spans="1:83" x14ac:dyDescent="0.35">
      <c r="A185">
        <v>182</v>
      </c>
      <c r="B185">
        <v>274.3</v>
      </c>
      <c r="C185">
        <v>4.4000000000000004</v>
      </c>
      <c r="D185">
        <v>483.8</v>
      </c>
      <c r="E185">
        <v>1.3</v>
      </c>
      <c r="F185">
        <v>-1</v>
      </c>
      <c r="H185">
        <v>182</v>
      </c>
      <c r="I185">
        <v>27.4</v>
      </c>
      <c r="J185">
        <v>31.7</v>
      </c>
      <c r="K185">
        <v>35</v>
      </c>
      <c r="L185">
        <v>32.4</v>
      </c>
      <c r="M185">
        <v>36.6</v>
      </c>
      <c r="AB185">
        <v>182</v>
      </c>
      <c r="AC185">
        <v>-86.8</v>
      </c>
      <c r="AD185">
        <v>-106.6</v>
      </c>
      <c r="AE185">
        <v>-125.8</v>
      </c>
      <c r="AF185">
        <v>-111.5</v>
      </c>
      <c r="AG185">
        <v>262</v>
      </c>
      <c r="AI185">
        <v>182</v>
      </c>
      <c r="AJ185">
        <v>82.1</v>
      </c>
      <c r="AK185">
        <v>56.6</v>
      </c>
      <c r="AL185">
        <v>61.1</v>
      </c>
      <c r="AM185">
        <v>70</v>
      </c>
      <c r="AN185">
        <v>82.7</v>
      </c>
      <c r="BB185">
        <v>182</v>
      </c>
      <c r="BC185">
        <v>-118.6</v>
      </c>
      <c r="BD185">
        <v>698</v>
      </c>
      <c r="BE185">
        <v>-10.6</v>
      </c>
      <c r="BF185">
        <v>919.4</v>
      </c>
      <c r="BG185">
        <v>415.5</v>
      </c>
      <c r="BZ185">
        <v>182</v>
      </c>
      <c r="CA185">
        <v>229.4</v>
      </c>
      <c r="CB185">
        <v>13.3</v>
      </c>
      <c r="CC185">
        <v>177.7</v>
      </c>
      <c r="CD185">
        <v>-38.9</v>
      </c>
      <c r="CE185">
        <v>885.5</v>
      </c>
    </row>
    <row r="186" spans="1:83" x14ac:dyDescent="0.35">
      <c r="A186">
        <v>183</v>
      </c>
      <c r="B186">
        <v>353.1</v>
      </c>
      <c r="C186">
        <v>3.6</v>
      </c>
      <c r="D186">
        <v>491.4</v>
      </c>
      <c r="E186">
        <v>1.4</v>
      </c>
      <c r="F186">
        <v>-0.9</v>
      </c>
      <c r="H186">
        <v>183</v>
      </c>
      <c r="I186">
        <v>27.4</v>
      </c>
      <c r="J186">
        <v>31.7</v>
      </c>
      <c r="K186">
        <v>35</v>
      </c>
      <c r="L186">
        <v>32.5</v>
      </c>
      <c r="M186">
        <v>36.6</v>
      </c>
      <c r="AB186">
        <v>183</v>
      </c>
      <c r="AC186">
        <v>-86.4</v>
      </c>
      <c r="AD186">
        <v>-104.6</v>
      </c>
      <c r="AE186">
        <v>-124.8</v>
      </c>
      <c r="AF186">
        <v>-109.3</v>
      </c>
      <c r="AG186">
        <v>176.6</v>
      </c>
      <c r="AI186">
        <v>183</v>
      </c>
      <c r="AJ186">
        <v>82.1</v>
      </c>
      <c r="AK186">
        <v>56.7</v>
      </c>
      <c r="AL186">
        <v>61.1</v>
      </c>
      <c r="AM186">
        <v>70</v>
      </c>
      <c r="AN186">
        <v>82.7</v>
      </c>
      <c r="BB186">
        <v>183</v>
      </c>
      <c r="BC186">
        <v>-108.5</v>
      </c>
      <c r="BD186">
        <v>704</v>
      </c>
      <c r="BE186">
        <v>-10.5</v>
      </c>
      <c r="BF186">
        <v>826.6</v>
      </c>
      <c r="BG186">
        <v>347.3</v>
      </c>
      <c r="BZ186">
        <v>183</v>
      </c>
      <c r="CA186">
        <v>195.9</v>
      </c>
      <c r="CB186">
        <v>13.2</v>
      </c>
      <c r="CC186">
        <v>247.7</v>
      </c>
      <c r="CD186">
        <v>-42.4</v>
      </c>
      <c r="CE186">
        <v>894.3</v>
      </c>
    </row>
    <row r="187" spans="1:83" x14ac:dyDescent="0.35">
      <c r="A187">
        <v>184</v>
      </c>
      <c r="B187">
        <v>410.7</v>
      </c>
      <c r="C187">
        <v>3.3</v>
      </c>
      <c r="D187">
        <v>476.5</v>
      </c>
      <c r="E187">
        <v>1.4</v>
      </c>
      <c r="F187">
        <v>-0.9</v>
      </c>
      <c r="H187">
        <v>184</v>
      </c>
      <c r="I187">
        <v>27.5</v>
      </c>
      <c r="J187">
        <v>31.7</v>
      </c>
      <c r="K187">
        <v>35</v>
      </c>
      <c r="L187">
        <v>32.5</v>
      </c>
      <c r="M187">
        <v>36.6</v>
      </c>
      <c r="AB187">
        <v>184</v>
      </c>
      <c r="AC187">
        <v>-86.1</v>
      </c>
      <c r="AD187">
        <v>-101.8</v>
      </c>
      <c r="AE187">
        <v>-123</v>
      </c>
      <c r="AF187">
        <v>-106.7</v>
      </c>
      <c r="AG187">
        <v>116</v>
      </c>
      <c r="AI187">
        <v>184</v>
      </c>
      <c r="AJ187">
        <v>82.1</v>
      </c>
      <c r="AK187">
        <v>56.7</v>
      </c>
      <c r="AL187">
        <v>61.1</v>
      </c>
      <c r="AM187">
        <v>69.900000000000006</v>
      </c>
      <c r="AN187">
        <v>82.7</v>
      </c>
      <c r="BB187">
        <v>184</v>
      </c>
      <c r="BC187">
        <v>-96.9</v>
      </c>
      <c r="BD187">
        <v>701.3</v>
      </c>
      <c r="BE187">
        <v>-10.4</v>
      </c>
      <c r="BF187">
        <v>741.9</v>
      </c>
      <c r="BG187">
        <v>283.5</v>
      </c>
      <c r="BZ187">
        <v>184</v>
      </c>
      <c r="CA187">
        <v>167.4</v>
      </c>
      <c r="CB187">
        <v>13.1</v>
      </c>
      <c r="CC187">
        <v>318.60000000000002</v>
      </c>
      <c r="CD187">
        <v>-45.1</v>
      </c>
      <c r="CE187">
        <v>909.4</v>
      </c>
    </row>
    <row r="188" spans="1:83" x14ac:dyDescent="0.35">
      <c r="A188">
        <v>185</v>
      </c>
      <c r="B188">
        <v>442.8</v>
      </c>
      <c r="C188">
        <v>3.2</v>
      </c>
      <c r="D188">
        <v>417.6</v>
      </c>
      <c r="E188">
        <v>1.5</v>
      </c>
      <c r="F188">
        <v>-0.8</v>
      </c>
      <c r="H188">
        <v>185</v>
      </c>
      <c r="I188">
        <v>27.5</v>
      </c>
      <c r="J188">
        <v>31.7</v>
      </c>
      <c r="K188">
        <v>35.1</v>
      </c>
      <c r="L188">
        <v>32.5</v>
      </c>
      <c r="M188">
        <v>36.6</v>
      </c>
      <c r="AB188">
        <v>185</v>
      </c>
      <c r="AC188">
        <v>-85.8</v>
      </c>
      <c r="AD188">
        <v>-99</v>
      </c>
      <c r="AE188">
        <v>-120.1</v>
      </c>
      <c r="AF188">
        <v>-103.8</v>
      </c>
      <c r="AG188">
        <v>81.099999999999994</v>
      </c>
      <c r="AI188">
        <v>185</v>
      </c>
      <c r="AJ188">
        <v>82.1</v>
      </c>
      <c r="AK188">
        <v>56.8</v>
      </c>
      <c r="AL188">
        <v>61.2</v>
      </c>
      <c r="AM188">
        <v>69.7</v>
      </c>
      <c r="AN188">
        <v>82.7</v>
      </c>
      <c r="BB188">
        <v>185</v>
      </c>
      <c r="BC188">
        <v>-84.4</v>
      </c>
      <c r="BD188">
        <v>693.2</v>
      </c>
      <c r="BE188">
        <v>-10.3</v>
      </c>
      <c r="BF188">
        <v>665.6</v>
      </c>
      <c r="BG188">
        <v>225.9</v>
      </c>
      <c r="BZ188">
        <v>185</v>
      </c>
      <c r="CA188">
        <v>143.19999999999999</v>
      </c>
      <c r="CB188">
        <v>13</v>
      </c>
      <c r="CC188">
        <v>391</v>
      </c>
      <c r="CD188">
        <v>-47.3</v>
      </c>
      <c r="CE188">
        <v>925.7</v>
      </c>
    </row>
    <row r="189" spans="1:83" x14ac:dyDescent="0.35">
      <c r="A189">
        <v>186</v>
      </c>
      <c r="B189">
        <v>446.8</v>
      </c>
      <c r="C189">
        <v>3.1</v>
      </c>
      <c r="D189">
        <v>332.8</v>
      </c>
      <c r="E189">
        <v>1.5</v>
      </c>
      <c r="F189">
        <v>0.8</v>
      </c>
      <c r="H189">
        <v>186</v>
      </c>
      <c r="I189">
        <v>27.5</v>
      </c>
      <c r="J189">
        <v>31.7</v>
      </c>
      <c r="K189">
        <v>35.1</v>
      </c>
      <c r="L189">
        <v>32.5</v>
      </c>
      <c r="M189">
        <v>36.700000000000003</v>
      </c>
      <c r="AB189">
        <v>186</v>
      </c>
      <c r="AC189">
        <v>-85.5</v>
      </c>
      <c r="AD189">
        <v>-96.6</v>
      </c>
      <c r="AE189">
        <v>-116.6</v>
      </c>
      <c r="AF189">
        <v>-100.8</v>
      </c>
      <c r="AG189">
        <v>61.3</v>
      </c>
      <c r="AI189">
        <v>186</v>
      </c>
      <c r="AJ189">
        <v>82.2</v>
      </c>
      <c r="AK189">
        <v>56.8</v>
      </c>
      <c r="AL189">
        <v>61.2</v>
      </c>
      <c r="AM189">
        <v>69.7</v>
      </c>
      <c r="AN189">
        <v>82.7</v>
      </c>
      <c r="BB189">
        <v>186</v>
      </c>
      <c r="BC189">
        <v>-62.1</v>
      </c>
      <c r="BD189">
        <v>691.2</v>
      </c>
      <c r="BE189">
        <v>-10.1</v>
      </c>
      <c r="BF189">
        <v>592.6</v>
      </c>
      <c r="BG189">
        <v>175.5</v>
      </c>
      <c r="BZ189">
        <v>186</v>
      </c>
      <c r="CA189">
        <v>122.7</v>
      </c>
      <c r="CB189">
        <v>12.9</v>
      </c>
      <c r="CC189">
        <v>466.8</v>
      </c>
      <c r="CD189">
        <v>-49</v>
      </c>
      <c r="CE189">
        <v>939.6</v>
      </c>
    </row>
    <row r="190" spans="1:83" x14ac:dyDescent="0.35">
      <c r="A190">
        <v>187</v>
      </c>
      <c r="B190">
        <v>409.6</v>
      </c>
      <c r="C190">
        <v>3</v>
      </c>
      <c r="D190">
        <v>263</v>
      </c>
      <c r="E190">
        <v>1.6</v>
      </c>
      <c r="F190">
        <v>-0.7</v>
      </c>
      <c r="H190">
        <v>187</v>
      </c>
      <c r="I190">
        <v>27.5</v>
      </c>
      <c r="J190">
        <v>31.8</v>
      </c>
      <c r="K190">
        <v>35.1</v>
      </c>
      <c r="L190">
        <v>32.5</v>
      </c>
      <c r="M190">
        <v>36.700000000000003</v>
      </c>
      <c r="AB190">
        <v>187</v>
      </c>
      <c r="AC190">
        <v>-85.3</v>
      </c>
      <c r="AD190">
        <v>-94.5</v>
      </c>
      <c r="AE190">
        <v>-112.7</v>
      </c>
      <c r="AF190">
        <v>-97.8</v>
      </c>
      <c r="AG190">
        <v>49.5</v>
      </c>
      <c r="AI190">
        <v>187</v>
      </c>
      <c r="AJ190">
        <v>82.2</v>
      </c>
      <c r="AK190">
        <v>56.9</v>
      </c>
      <c r="AL190">
        <v>61.3</v>
      </c>
      <c r="AM190">
        <v>69.900000000000006</v>
      </c>
      <c r="AN190">
        <v>82.7</v>
      </c>
      <c r="BB190">
        <v>187</v>
      </c>
      <c r="BC190">
        <v>-1.5</v>
      </c>
      <c r="BD190">
        <v>694.6</v>
      </c>
      <c r="BE190">
        <v>-10</v>
      </c>
      <c r="BF190">
        <v>520.5</v>
      </c>
      <c r="BG190">
        <v>132.6</v>
      </c>
      <c r="BZ190">
        <v>187</v>
      </c>
      <c r="CA190">
        <v>104.7</v>
      </c>
      <c r="CB190">
        <v>12.8</v>
      </c>
      <c r="CC190">
        <v>546.1</v>
      </c>
      <c r="CD190">
        <v>-50.3</v>
      </c>
      <c r="CE190">
        <v>945.2</v>
      </c>
    </row>
    <row r="191" spans="1:83" x14ac:dyDescent="0.35">
      <c r="A191">
        <v>188</v>
      </c>
      <c r="B191">
        <v>339.3</v>
      </c>
      <c r="C191">
        <v>3</v>
      </c>
      <c r="D191">
        <v>207.3</v>
      </c>
      <c r="E191">
        <v>1.6</v>
      </c>
      <c r="F191">
        <v>-0.7</v>
      </c>
      <c r="H191">
        <v>188</v>
      </c>
      <c r="I191">
        <v>27.6</v>
      </c>
      <c r="J191">
        <v>31.8</v>
      </c>
      <c r="K191">
        <v>35.1</v>
      </c>
      <c r="L191">
        <v>32.6</v>
      </c>
      <c r="M191">
        <v>36.700000000000003</v>
      </c>
      <c r="AB191">
        <v>188</v>
      </c>
      <c r="AC191">
        <v>-85</v>
      </c>
      <c r="AD191">
        <v>-92.6</v>
      </c>
      <c r="AE191">
        <v>-108.8</v>
      </c>
      <c r="AF191">
        <v>-94.8</v>
      </c>
      <c r="AG191">
        <v>44.7</v>
      </c>
      <c r="AI191">
        <v>188</v>
      </c>
      <c r="AJ191">
        <v>82.2</v>
      </c>
      <c r="AK191">
        <v>56.9</v>
      </c>
      <c r="AL191">
        <v>61.3</v>
      </c>
      <c r="AM191">
        <v>69.900000000000006</v>
      </c>
      <c r="AN191">
        <v>82.7</v>
      </c>
      <c r="BB191">
        <v>188</v>
      </c>
      <c r="BC191">
        <v>62.6</v>
      </c>
      <c r="BD191">
        <v>694.7</v>
      </c>
      <c r="BE191">
        <v>-9.9</v>
      </c>
      <c r="BF191">
        <v>449.6</v>
      </c>
      <c r="BG191">
        <v>96.9</v>
      </c>
      <c r="BZ191">
        <v>188</v>
      </c>
      <c r="CA191">
        <v>87.8</v>
      </c>
      <c r="CB191">
        <v>12.8</v>
      </c>
      <c r="CC191">
        <v>617.5</v>
      </c>
      <c r="CD191">
        <v>-51.3</v>
      </c>
      <c r="CE191">
        <v>947.6</v>
      </c>
    </row>
    <row r="192" spans="1:83" x14ac:dyDescent="0.35">
      <c r="A192">
        <v>189</v>
      </c>
      <c r="B192">
        <v>272.39999999999998</v>
      </c>
      <c r="C192">
        <v>2.9</v>
      </c>
      <c r="D192">
        <v>154.1</v>
      </c>
      <c r="E192">
        <v>1.6</v>
      </c>
      <c r="F192">
        <v>-0.6</v>
      </c>
      <c r="H192">
        <v>189</v>
      </c>
      <c r="I192">
        <v>27.6</v>
      </c>
      <c r="J192">
        <v>31.8</v>
      </c>
      <c r="K192">
        <v>35.1</v>
      </c>
      <c r="L192">
        <v>32.6</v>
      </c>
      <c r="M192">
        <v>36.799999999999997</v>
      </c>
      <c r="AB192">
        <v>189</v>
      </c>
      <c r="AC192">
        <v>-84.8</v>
      </c>
      <c r="AD192">
        <v>-90.9</v>
      </c>
      <c r="AE192">
        <v>-104.9</v>
      </c>
      <c r="AF192">
        <v>-92</v>
      </c>
      <c r="AG192">
        <v>56.8</v>
      </c>
      <c r="AI192">
        <v>189</v>
      </c>
      <c r="AJ192">
        <v>82.2</v>
      </c>
      <c r="AK192">
        <v>56.9</v>
      </c>
      <c r="AL192">
        <v>61.9</v>
      </c>
      <c r="AM192">
        <v>69.900000000000006</v>
      </c>
      <c r="AN192">
        <v>82.8</v>
      </c>
      <c r="BB192">
        <v>189</v>
      </c>
      <c r="BC192">
        <v>116.5</v>
      </c>
      <c r="BD192">
        <v>669.7</v>
      </c>
      <c r="BE192">
        <v>-9.8000000000000007</v>
      </c>
      <c r="BF192">
        <v>380.2</v>
      </c>
      <c r="BG192">
        <v>67.5</v>
      </c>
      <c r="BZ192">
        <v>189</v>
      </c>
      <c r="CA192">
        <v>72.099999999999994</v>
      </c>
      <c r="CB192">
        <v>12.6</v>
      </c>
      <c r="CC192">
        <v>678.4</v>
      </c>
      <c r="CD192">
        <v>-52.3</v>
      </c>
      <c r="CE192">
        <v>949.7</v>
      </c>
    </row>
    <row r="193" spans="1:83" x14ac:dyDescent="0.35">
      <c r="A193">
        <v>190</v>
      </c>
      <c r="B193">
        <v>210.7</v>
      </c>
      <c r="C193">
        <v>3</v>
      </c>
      <c r="D193">
        <v>102.3</v>
      </c>
      <c r="E193">
        <v>1.7</v>
      </c>
      <c r="F193">
        <v>-0.6</v>
      </c>
      <c r="H193">
        <v>190</v>
      </c>
      <c r="I193">
        <v>27.6</v>
      </c>
      <c r="J193">
        <v>31.8</v>
      </c>
      <c r="K193">
        <v>35.200000000000003</v>
      </c>
      <c r="L193">
        <v>32.6</v>
      </c>
      <c r="M193">
        <v>36.799999999999997</v>
      </c>
      <c r="AB193">
        <v>190</v>
      </c>
      <c r="AC193">
        <v>-84.5</v>
      </c>
      <c r="AD193">
        <v>-89.3</v>
      </c>
      <c r="AE193">
        <v>-100.8</v>
      </c>
      <c r="AF193">
        <v>-88.9</v>
      </c>
      <c r="AG193">
        <v>66.5</v>
      </c>
      <c r="AI193">
        <v>190</v>
      </c>
      <c r="AJ193">
        <v>82.2</v>
      </c>
      <c r="AK193">
        <v>57</v>
      </c>
      <c r="AL193">
        <v>61.9</v>
      </c>
      <c r="AM193">
        <v>69.900000000000006</v>
      </c>
      <c r="AN193">
        <v>82.8</v>
      </c>
      <c r="BB193">
        <v>190</v>
      </c>
      <c r="BC193">
        <v>174.4</v>
      </c>
      <c r="BD193">
        <v>594.5</v>
      </c>
      <c r="BE193">
        <v>-9.6999999999999993</v>
      </c>
      <c r="BF193">
        <v>309.7</v>
      </c>
      <c r="BG193">
        <v>44.4</v>
      </c>
      <c r="BZ193">
        <v>190</v>
      </c>
      <c r="CA193">
        <v>58</v>
      </c>
      <c r="CB193">
        <v>12.7</v>
      </c>
      <c r="CC193">
        <v>743.7</v>
      </c>
      <c r="CD193">
        <v>-53.3</v>
      </c>
      <c r="CE193">
        <v>953.7</v>
      </c>
    </row>
    <row r="194" spans="1:83" x14ac:dyDescent="0.35">
      <c r="A194">
        <v>191</v>
      </c>
      <c r="B194">
        <v>143.80000000000001</v>
      </c>
      <c r="C194">
        <v>3</v>
      </c>
      <c r="D194">
        <v>71.900000000000006</v>
      </c>
      <c r="E194">
        <v>1.7</v>
      </c>
      <c r="F194">
        <v>-0.5</v>
      </c>
      <c r="H194">
        <v>191</v>
      </c>
      <c r="I194">
        <v>27.6</v>
      </c>
      <c r="J194">
        <v>31.8</v>
      </c>
      <c r="K194">
        <v>35.200000000000003</v>
      </c>
      <c r="L194">
        <v>32.6</v>
      </c>
      <c r="M194">
        <v>36.799999999999997</v>
      </c>
      <c r="AB194">
        <v>191</v>
      </c>
      <c r="AC194">
        <v>-84.3</v>
      </c>
      <c r="AD194">
        <v>-87.8</v>
      </c>
      <c r="AE194">
        <v>-96.4</v>
      </c>
      <c r="AF194">
        <v>-85.5</v>
      </c>
      <c r="AG194">
        <v>64.2</v>
      </c>
      <c r="AI194">
        <v>191</v>
      </c>
      <c r="AJ194">
        <v>82.3</v>
      </c>
      <c r="AK194">
        <v>57</v>
      </c>
      <c r="AL194">
        <v>62</v>
      </c>
      <c r="AM194">
        <v>69.8</v>
      </c>
      <c r="AN194">
        <v>82.8</v>
      </c>
      <c r="BB194">
        <v>191</v>
      </c>
      <c r="BC194">
        <v>234.8</v>
      </c>
      <c r="BD194">
        <v>508.6</v>
      </c>
      <c r="BE194">
        <v>-9.5</v>
      </c>
      <c r="BF194">
        <v>219.7</v>
      </c>
      <c r="BG194">
        <v>30.3</v>
      </c>
      <c r="BZ194">
        <v>191</v>
      </c>
      <c r="CA194">
        <v>45.1</v>
      </c>
      <c r="CB194">
        <v>12.6</v>
      </c>
      <c r="CC194">
        <v>815.2</v>
      </c>
      <c r="CD194">
        <v>-54.2</v>
      </c>
      <c r="CE194">
        <v>957.2</v>
      </c>
    </row>
    <row r="195" spans="1:83" x14ac:dyDescent="0.35">
      <c r="A195">
        <v>192</v>
      </c>
      <c r="B195">
        <v>85.1</v>
      </c>
      <c r="C195">
        <v>3</v>
      </c>
      <c r="D195">
        <v>57.9</v>
      </c>
      <c r="E195">
        <v>1.8</v>
      </c>
      <c r="F195">
        <v>-0.5</v>
      </c>
      <c r="H195">
        <v>192</v>
      </c>
      <c r="I195">
        <v>27.7</v>
      </c>
      <c r="J195">
        <v>31.9</v>
      </c>
      <c r="K195">
        <v>35.200000000000003</v>
      </c>
      <c r="L195">
        <v>32.6</v>
      </c>
      <c r="M195">
        <v>36.799999999999997</v>
      </c>
      <c r="AB195">
        <v>192</v>
      </c>
      <c r="AC195">
        <v>-84.3</v>
      </c>
      <c r="AD195">
        <v>-86.5</v>
      </c>
      <c r="AE195">
        <v>-92.3</v>
      </c>
      <c r="AF195">
        <v>-81.900000000000006</v>
      </c>
      <c r="AG195">
        <v>44.1</v>
      </c>
      <c r="AI195">
        <v>192</v>
      </c>
      <c r="AJ195">
        <v>82.3</v>
      </c>
      <c r="AK195">
        <v>57.1</v>
      </c>
      <c r="AL195">
        <v>62</v>
      </c>
      <c r="AM195">
        <v>69.8</v>
      </c>
      <c r="AN195">
        <v>82.8</v>
      </c>
      <c r="BB195">
        <v>192</v>
      </c>
      <c r="BC195">
        <v>285.5</v>
      </c>
      <c r="BD195">
        <v>427.3</v>
      </c>
      <c r="BE195">
        <v>-9.4</v>
      </c>
      <c r="BF195">
        <v>117.1</v>
      </c>
      <c r="BG195">
        <v>23.7</v>
      </c>
      <c r="BZ195">
        <v>192</v>
      </c>
      <c r="CA195">
        <v>36</v>
      </c>
      <c r="CB195">
        <v>12.5</v>
      </c>
      <c r="CC195">
        <v>876.1</v>
      </c>
      <c r="CD195">
        <v>-55</v>
      </c>
      <c r="CE195">
        <v>956.4</v>
      </c>
    </row>
    <row r="196" spans="1:83" x14ac:dyDescent="0.35">
      <c r="A196">
        <v>193</v>
      </c>
      <c r="B196">
        <v>52.5</v>
      </c>
      <c r="C196">
        <v>3.1</v>
      </c>
      <c r="D196">
        <v>50.5</v>
      </c>
      <c r="E196">
        <v>1.8</v>
      </c>
      <c r="F196">
        <v>-0.4</v>
      </c>
      <c r="H196">
        <v>193</v>
      </c>
      <c r="I196">
        <v>27.7</v>
      </c>
      <c r="J196">
        <v>31.9</v>
      </c>
      <c r="K196">
        <v>35.200000000000003</v>
      </c>
      <c r="L196">
        <v>32.700000000000003</v>
      </c>
      <c r="M196">
        <v>36.9</v>
      </c>
      <c r="AB196">
        <v>193</v>
      </c>
      <c r="AC196">
        <v>-84.4</v>
      </c>
      <c r="AD196">
        <v>-85.2</v>
      </c>
      <c r="AE196">
        <v>-88.6</v>
      </c>
      <c r="AF196">
        <v>-78.400000000000006</v>
      </c>
      <c r="AG196">
        <v>29.2</v>
      </c>
      <c r="AI196">
        <v>193</v>
      </c>
      <c r="AJ196">
        <v>82.3</v>
      </c>
      <c r="AK196">
        <v>57.1</v>
      </c>
      <c r="AL196">
        <v>62</v>
      </c>
      <c r="AM196">
        <v>69.8</v>
      </c>
      <c r="AN196">
        <v>82.8</v>
      </c>
      <c r="BB196">
        <v>193</v>
      </c>
      <c r="BC196">
        <v>323.89999999999998</v>
      </c>
      <c r="BD196">
        <v>350.2</v>
      </c>
      <c r="BE196">
        <v>-9.3000000000000007</v>
      </c>
      <c r="BF196">
        <v>53.4</v>
      </c>
      <c r="BG196">
        <v>18.5</v>
      </c>
      <c r="BZ196">
        <v>193</v>
      </c>
      <c r="CA196">
        <v>30.3</v>
      </c>
      <c r="CB196">
        <v>12.5</v>
      </c>
      <c r="CC196">
        <v>912.2</v>
      </c>
      <c r="CD196">
        <v>-55.6</v>
      </c>
      <c r="CE196">
        <v>939.7</v>
      </c>
    </row>
    <row r="197" spans="1:83" x14ac:dyDescent="0.35">
      <c r="A197">
        <v>194</v>
      </c>
      <c r="B197">
        <v>37.299999999999997</v>
      </c>
      <c r="C197">
        <v>3.1</v>
      </c>
      <c r="D197">
        <v>45.8</v>
      </c>
      <c r="E197">
        <v>1.8</v>
      </c>
      <c r="F197">
        <v>-0.4</v>
      </c>
      <c r="H197">
        <v>194</v>
      </c>
      <c r="I197">
        <v>27.7</v>
      </c>
      <c r="J197">
        <v>31.9</v>
      </c>
      <c r="K197">
        <v>35.200000000000003</v>
      </c>
      <c r="L197">
        <v>32.700000000000003</v>
      </c>
      <c r="M197">
        <v>36.9</v>
      </c>
      <c r="AB197">
        <v>194</v>
      </c>
      <c r="AC197">
        <v>-84.6</v>
      </c>
      <c r="AD197">
        <v>-84</v>
      </c>
      <c r="AE197">
        <v>-85.6</v>
      </c>
      <c r="AF197">
        <v>-75</v>
      </c>
      <c r="AG197">
        <v>27.5</v>
      </c>
      <c r="AI197">
        <v>194</v>
      </c>
      <c r="AJ197">
        <v>82.3</v>
      </c>
      <c r="AK197">
        <v>57.2</v>
      </c>
      <c r="AL197">
        <v>62</v>
      </c>
      <c r="AM197">
        <v>69.8</v>
      </c>
      <c r="AN197">
        <v>82.8</v>
      </c>
      <c r="BB197">
        <v>194</v>
      </c>
      <c r="BC197">
        <v>358.6</v>
      </c>
      <c r="BD197">
        <v>278.60000000000002</v>
      </c>
      <c r="BE197">
        <v>-9.1999999999999993</v>
      </c>
      <c r="BF197">
        <v>25.5</v>
      </c>
      <c r="BG197">
        <v>13.7</v>
      </c>
      <c r="BZ197">
        <v>194</v>
      </c>
      <c r="CA197">
        <v>27.1</v>
      </c>
      <c r="CB197">
        <v>12.5</v>
      </c>
      <c r="CC197">
        <v>938.2</v>
      </c>
      <c r="CD197">
        <v>-56.2</v>
      </c>
      <c r="CE197">
        <v>905</v>
      </c>
    </row>
    <row r="198" spans="1:83" x14ac:dyDescent="0.35">
      <c r="A198">
        <v>195</v>
      </c>
      <c r="B198">
        <v>29.3</v>
      </c>
      <c r="C198">
        <v>3.2</v>
      </c>
      <c r="D198">
        <v>42.7</v>
      </c>
      <c r="E198">
        <v>1.9</v>
      </c>
      <c r="F198">
        <v>-0.3</v>
      </c>
      <c r="H198">
        <v>195</v>
      </c>
      <c r="I198">
        <v>27.7</v>
      </c>
      <c r="J198">
        <v>31.9</v>
      </c>
      <c r="K198">
        <v>35.200000000000003</v>
      </c>
      <c r="L198">
        <v>32.700000000000003</v>
      </c>
      <c r="M198">
        <v>36.9</v>
      </c>
      <c r="AB198">
        <v>195</v>
      </c>
      <c r="AC198">
        <v>-84.7</v>
      </c>
      <c r="AD198">
        <v>-82.9</v>
      </c>
      <c r="AE198">
        <v>-83.2</v>
      </c>
      <c r="AF198">
        <v>-71.900000000000006</v>
      </c>
      <c r="AG198">
        <v>27.3</v>
      </c>
      <c r="AI198">
        <v>195</v>
      </c>
      <c r="AJ198">
        <v>82.3</v>
      </c>
      <c r="AK198">
        <v>57.2</v>
      </c>
      <c r="AL198">
        <v>62.1</v>
      </c>
      <c r="AM198">
        <v>69.8</v>
      </c>
      <c r="AN198">
        <v>82.9</v>
      </c>
      <c r="BB198">
        <v>195</v>
      </c>
      <c r="BC198">
        <v>398.3</v>
      </c>
      <c r="BD198">
        <v>211.5</v>
      </c>
      <c r="BE198">
        <v>-9</v>
      </c>
      <c r="BF198">
        <v>12.1</v>
      </c>
      <c r="BG198">
        <v>9.4</v>
      </c>
      <c r="BZ198">
        <v>195</v>
      </c>
      <c r="CA198">
        <v>25.6</v>
      </c>
      <c r="CB198">
        <v>12.5</v>
      </c>
      <c r="CC198">
        <v>966.5</v>
      </c>
      <c r="CD198">
        <v>-56.6</v>
      </c>
      <c r="CE198">
        <v>865.6</v>
      </c>
    </row>
    <row r="199" spans="1:83" x14ac:dyDescent="0.35">
      <c r="A199">
        <v>196</v>
      </c>
      <c r="B199">
        <v>24.3</v>
      </c>
      <c r="C199">
        <v>3.3</v>
      </c>
      <c r="D199">
        <v>40.4</v>
      </c>
      <c r="E199">
        <v>1.9</v>
      </c>
      <c r="F199">
        <v>-0.3</v>
      </c>
      <c r="H199">
        <v>196</v>
      </c>
      <c r="I199">
        <v>27.8</v>
      </c>
      <c r="J199">
        <v>32</v>
      </c>
      <c r="K199">
        <v>35.200000000000003</v>
      </c>
      <c r="L199">
        <v>32.700000000000003</v>
      </c>
      <c r="M199">
        <v>36.9</v>
      </c>
      <c r="AB199">
        <v>196</v>
      </c>
      <c r="AC199">
        <v>-84.6</v>
      </c>
      <c r="AD199">
        <v>-81.8</v>
      </c>
      <c r="AE199">
        <v>-81.3</v>
      </c>
      <c r="AF199">
        <v>-69.2</v>
      </c>
      <c r="AG199">
        <v>27.2</v>
      </c>
      <c r="AI199">
        <v>196</v>
      </c>
      <c r="AJ199">
        <v>82.4</v>
      </c>
      <c r="AK199">
        <v>57.2</v>
      </c>
      <c r="AL199">
        <v>62.1</v>
      </c>
      <c r="AM199">
        <v>69.8</v>
      </c>
      <c r="AN199">
        <v>82.9</v>
      </c>
      <c r="BB199">
        <v>196</v>
      </c>
      <c r="BC199">
        <v>443.8</v>
      </c>
      <c r="BD199">
        <v>143.5</v>
      </c>
      <c r="BE199">
        <v>-8.9</v>
      </c>
      <c r="BF199">
        <v>6.7</v>
      </c>
      <c r="BG199">
        <v>5.8</v>
      </c>
      <c r="BZ199">
        <v>196</v>
      </c>
      <c r="CA199">
        <v>24.6</v>
      </c>
      <c r="CB199">
        <v>12.5</v>
      </c>
      <c r="CC199">
        <v>1001</v>
      </c>
      <c r="CD199">
        <v>-56.9</v>
      </c>
      <c r="CE199">
        <v>814.9</v>
      </c>
    </row>
    <row r="200" spans="1:83" x14ac:dyDescent="0.35">
      <c r="A200">
        <v>197</v>
      </c>
      <c r="B200">
        <v>20.9</v>
      </c>
      <c r="C200">
        <v>3.3</v>
      </c>
      <c r="D200">
        <v>38.799999999999997</v>
      </c>
      <c r="E200">
        <v>1.9</v>
      </c>
      <c r="F200">
        <v>-0.2</v>
      </c>
      <c r="H200">
        <v>197</v>
      </c>
      <c r="I200">
        <v>27.8</v>
      </c>
      <c r="J200">
        <v>32.1</v>
      </c>
      <c r="K200">
        <v>35.200000000000003</v>
      </c>
      <c r="L200">
        <v>32.799999999999997</v>
      </c>
      <c r="M200">
        <v>37</v>
      </c>
      <c r="AB200">
        <v>197</v>
      </c>
      <c r="AC200">
        <v>-84.6</v>
      </c>
      <c r="AD200">
        <v>-80.7</v>
      </c>
      <c r="AE200">
        <v>-79.7</v>
      </c>
      <c r="AF200">
        <v>-66.900000000000006</v>
      </c>
      <c r="AG200">
        <v>27.1</v>
      </c>
      <c r="AI200">
        <v>197</v>
      </c>
      <c r="AJ200">
        <v>82.4</v>
      </c>
      <c r="AK200">
        <v>57.3</v>
      </c>
      <c r="AL200">
        <v>62.2</v>
      </c>
      <c r="AM200">
        <v>69.900000000000006</v>
      </c>
      <c r="AN200">
        <v>82.9</v>
      </c>
      <c r="BB200">
        <v>197</v>
      </c>
      <c r="BC200">
        <v>487</v>
      </c>
      <c r="BD200">
        <v>75.2</v>
      </c>
      <c r="BE200">
        <v>-8.8000000000000007</v>
      </c>
      <c r="BF200">
        <v>4.5999999999999996</v>
      </c>
      <c r="BG200">
        <v>2.7</v>
      </c>
      <c r="BZ200">
        <v>197</v>
      </c>
      <c r="CA200">
        <v>23.7</v>
      </c>
      <c r="CB200">
        <v>12.5</v>
      </c>
      <c r="CC200">
        <v>1035</v>
      </c>
      <c r="CD200">
        <v>-57.2</v>
      </c>
      <c r="CE200">
        <v>751.5</v>
      </c>
    </row>
    <row r="201" spans="1:83" x14ac:dyDescent="0.35">
      <c r="A201">
        <v>198</v>
      </c>
      <c r="B201">
        <v>18.5</v>
      </c>
      <c r="C201">
        <v>3.4</v>
      </c>
      <c r="D201">
        <v>37.700000000000003</v>
      </c>
      <c r="E201">
        <v>2</v>
      </c>
      <c r="F201">
        <v>-0.2</v>
      </c>
      <c r="H201">
        <v>198</v>
      </c>
      <c r="I201">
        <v>27.8</v>
      </c>
      <c r="J201">
        <v>32.299999999999997</v>
      </c>
      <c r="K201">
        <v>35.299999999999997</v>
      </c>
      <c r="L201">
        <v>32.799999999999997</v>
      </c>
      <c r="M201">
        <v>37</v>
      </c>
      <c r="AB201">
        <v>198</v>
      </c>
      <c r="AC201">
        <v>-84.7</v>
      </c>
      <c r="AD201">
        <v>-79.3</v>
      </c>
      <c r="AE201">
        <v>-78.2</v>
      </c>
      <c r="AF201">
        <v>-65</v>
      </c>
      <c r="AG201">
        <v>27.1</v>
      </c>
      <c r="AI201">
        <v>198</v>
      </c>
      <c r="AJ201">
        <v>82.4</v>
      </c>
      <c r="AK201">
        <v>57.3</v>
      </c>
      <c r="AL201">
        <v>62.2</v>
      </c>
      <c r="AM201">
        <v>69.900000000000006</v>
      </c>
      <c r="AN201">
        <v>82.9</v>
      </c>
      <c r="BB201">
        <v>198</v>
      </c>
      <c r="BC201">
        <v>520.6</v>
      </c>
      <c r="BD201">
        <v>23.1</v>
      </c>
      <c r="BE201">
        <v>-8.6999999999999993</v>
      </c>
      <c r="BF201">
        <v>3.2</v>
      </c>
      <c r="BG201">
        <v>-0.1</v>
      </c>
      <c r="BZ201">
        <v>198</v>
      </c>
      <c r="CA201">
        <v>23.1</v>
      </c>
      <c r="CB201">
        <v>12.5</v>
      </c>
      <c r="CC201">
        <v>1055</v>
      </c>
      <c r="CD201">
        <v>-57.5</v>
      </c>
      <c r="CE201">
        <v>690.2</v>
      </c>
    </row>
    <row r="202" spans="1:83" x14ac:dyDescent="0.35">
      <c r="A202">
        <v>199</v>
      </c>
      <c r="B202">
        <v>16.7</v>
      </c>
      <c r="C202">
        <v>3.4</v>
      </c>
      <c r="D202">
        <v>36.799999999999997</v>
      </c>
      <c r="E202">
        <v>2</v>
      </c>
      <c r="F202">
        <v>-0.1</v>
      </c>
      <c r="H202">
        <v>199</v>
      </c>
      <c r="I202">
        <v>27.8</v>
      </c>
      <c r="J202">
        <v>32.299999999999997</v>
      </c>
      <c r="K202">
        <v>35.299999999999997</v>
      </c>
      <c r="L202">
        <v>32.799999999999997</v>
      </c>
      <c r="M202">
        <v>37</v>
      </c>
      <c r="AB202">
        <v>199</v>
      </c>
      <c r="AC202">
        <v>-84.9</v>
      </c>
      <c r="AD202">
        <v>-76.400000000000006</v>
      </c>
      <c r="AE202">
        <v>-76.900000000000006</v>
      </c>
      <c r="AF202">
        <v>-63.3</v>
      </c>
      <c r="AG202">
        <v>27.1</v>
      </c>
      <c r="AI202">
        <v>199</v>
      </c>
      <c r="AJ202">
        <v>82.4</v>
      </c>
      <c r="AK202">
        <v>57.4</v>
      </c>
      <c r="AL202">
        <v>62.2</v>
      </c>
      <c r="AM202">
        <v>69.900000000000006</v>
      </c>
      <c r="AN202">
        <v>82.9</v>
      </c>
      <c r="BB202">
        <v>199</v>
      </c>
      <c r="BC202">
        <v>551.4</v>
      </c>
      <c r="BD202">
        <v>-4.2</v>
      </c>
      <c r="BE202">
        <v>-8.6</v>
      </c>
      <c r="BF202">
        <v>2.1</v>
      </c>
      <c r="BG202">
        <v>-2.6</v>
      </c>
      <c r="BZ202">
        <v>199</v>
      </c>
      <c r="CA202">
        <v>22.4</v>
      </c>
      <c r="CB202">
        <v>12.4</v>
      </c>
      <c r="CC202">
        <v>1047.3</v>
      </c>
      <c r="CD202">
        <v>-57.7</v>
      </c>
      <c r="CE202">
        <v>631.70000000000005</v>
      </c>
    </row>
    <row r="203" spans="1:83" x14ac:dyDescent="0.35">
      <c r="A203">
        <v>200</v>
      </c>
      <c r="B203">
        <v>15.5</v>
      </c>
      <c r="C203">
        <v>3.5</v>
      </c>
      <c r="D203">
        <v>36.1</v>
      </c>
      <c r="E203">
        <v>2</v>
      </c>
      <c r="F203">
        <v>-0.1</v>
      </c>
      <c r="H203">
        <v>200</v>
      </c>
      <c r="I203">
        <v>27.8</v>
      </c>
      <c r="J203">
        <v>32.4</v>
      </c>
      <c r="K203">
        <v>35.299999999999997</v>
      </c>
      <c r="L203">
        <v>32.799999999999997</v>
      </c>
      <c r="M203">
        <v>37</v>
      </c>
      <c r="AB203">
        <v>200</v>
      </c>
      <c r="AC203">
        <v>-85.1</v>
      </c>
      <c r="AD203">
        <v>-69.3</v>
      </c>
      <c r="AE203">
        <v>-75.599999999999994</v>
      </c>
      <c r="AF203">
        <v>-61.8</v>
      </c>
      <c r="AG203">
        <v>27.2</v>
      </c>
      <c r="AI203">
        <v>200</v>
      </c>
      <c r="AJ203">
        <v>82.4</v>
      </c>
      <c r="AK203">
        <v>57.4</v>
      </c>
      <c r="AL203">
        <v>62.3</v>
      </c>
      <c r="AM203">
        <v>69.900000000000006</v>
      </c>
      <c r="AN203">
        <v>82.9</v>
      </c>
      <c r="BB203">
        <v>200</v>
      </c>
      <c r="BC203">
        <v>585.79999999999995</v>
      </c>
      <c r="BD203">
        <v>-17.5</v>
      </c>
      <c r="BE203">
        <v>-8.5</v>
      </c>
      <c r="BF203">
        <v>1.2</v>
      </c>
      <c r="BG203">
        <v>-5.0999999999999996</v>
      </c>
      <c r="BZ203">
        <v>200</v>
      </c>
      <c r="CA203">
        <v>21.9</v>
      </c>
      <c r="CB203">
        <v>12.5</v>
      </c>
      <c r="CC203">
        <v>1020.3</v>
      </c>
      <c r="CD203">
        <v>-57.8</v>
      </c>
      <c r="CE203">
        <v>572.1</v>
      </c>
    </row>
    <row r="204" spans="1:83" x14ac:dyDescent="0.35">
      <c r="A204">
        <v>201</v>
      </c>
      <c r="B204">
        <v>14.4</v>
      </c>
      <c r="C204">
        <v>3.6</v>
      </c>
      <c r="D204">
        <v>35.700000000000003</v>
      </c>
      <c r="E204">
        <v>2.1</v>
      </c>
      <c r="F204">
        <v>-0.1</v>
      </c>
      <c r="H204">
        <v>201</v>
      </c>
      <c r="I204">
        <v>27.9</v>
      </c>
      <c r="J204">
        <v>32.4</v>
      </c>
      <c r="K204">
        <v>35.4</v>
      </c>
      <c r="L204">
        <v>32.799999999999997</v>
      </c>
      <c r="M204">
        <v>37.1</v>
      </c>
      <c r="AB204">
        <v>201</v>
      </c>
      <c r="AC204">
        <v>-85.4</v>
      </c>
      <c r="AD204">
        <v>-56.1</v>
      </c>
      <c r="AE204">
        <v>-74.400000000000006</v>
      </c>
      <c r="AF204">
        <v>-60.7</v>
      </c>
      <c r="AG204">
        <v>27.4</v>
      </c>
      <c r="AI204">
        <v>201</v>
      </c>
      <c r="AJ204">
        <v>82.4</v>
      </c>
      <c r="AK204">
        <v>57.4</v>
      </c>
      <c r="AL204">
        <v>62.3</v>
      </c>
      <c r="AM204">
        <v>69.900000000000006</v>
      </c>
      <c r="AN204">
        <v>82.9</v>
      </c>
      <c r="BB204">
        <v>201</v>
      </c>
      <c r="BC204">
        <v>620.5</v>
      </c>
      <c r="BD204">
        <v>-25.2</v>
      </c>
      <c r="BE204">
        <v>-8.4</v>
      </c>
      <c r="BF204">
        <v>0.7</v>
      </c>
      <c r="BG204">
        <v>-7.5</v>
      </c>
      <c r="BZ204">
        <v>201</v>
      </c>
      <c r="CA204">
        <v>21.5</v>
      </c>
      <c r="CB204">
        <v>12.6</v>
      </c>
      <c r="CC204">
        <v>1013.2</v>
      </c>
      <c r="CD204">
        <v>-57.9</v>
      </c>
      <c r="CE204">
        <v>502.2</v>
      </c>
    </row>
    <row r="205" spans="1:83" x14ac:dyDescent="0.35">
      <c r="A205">
        <v>202</v>
      </c>
      <c r="B205">
        <v>13.4</v>
      </c>
      <c r="C205">
        <v>3.7</v>
      </c>
      <c r="D205">
        <v>35.6</v>
      </c>
      <c r="E205">
        <v>2.1</v>
      </c>
      <c r="F205">
        <v>-0.1</v>
      </c>
      <c r="AB205">
        <v>202</v>
      </c>
      <c r="AC205">
        <v>-85.6</v>
      </c>
      <c r="AD205">
        <v>-36.4</v>
      </c>
      <c r="AE205">
        <v>-73.099999999999994</v>
      </c>
      <c r="AF205">
        <v>-59.7</v>
      </c>
      <c r="AG205">
        <v>27.5</v>
      </c>
      <c r="AI205">
        <v>202</v>
      </c>
      <c r="AJ205">
        <v>82.5</v>
      </c>
      <c r="AK205">
        <v>57.5</v>
      </c>
      <c r="AL205">
        <v>62.3</v>
      </c>
      <c r="AM205">
        <v>70</v>
      </c>
      <c r="AN205">
        <v>83</v>
      </c>
      <c r="BB205">
        <v>202</v>
      </c>
      <c r="BC205">
        <v>650.4</v>
      </c>
      <c r="BD205">
        <v>-29.3</v>
      </c>
      <c r="BE205">
        <v>-8.1999999999999993</v>
      </c>
      <c r="BF205">
        <v>0.3</v>
      </c>
      <c r="BG205">
        <v>-9.5</v>
      </c>
      <c r="BZ205">
        <v>202</v>
      </c>
      <c r="CA205">
        <v>21.1</v>
      </c>
      <c r="CB205">
        <v>12.6</v>
      </c>
      <c r="CC205">
        <v>1037.8</v>
      </c>
      <c r="CD205">
        <v>-58</v>
      </c>
      <c r="CE205">
        <v>403.4</v>
      </c>
    </row>
    <row r="206" spans="1:83" x14ac:dyDescent="0.35">
      <c r="A206">
        <v>203</v>
      </c>
      <c r="B206">
        <v>12.6</v>
      </c>
      <c r="C206">
        <v>3.8</v>
      </c>
      <c r="D206">
        <v>35.5</v>
      </c>
      <c r="E206">
        <v>2.1</v>
      </c>
      <c r="F206">
        <v>0</v>
      </c>
      <c r="AB206">
        <v>203</v>
      </c>
      <c r="AC206">
        <v>-85.8</v>
      </c>
      <c r="AD206">
        <v>-13.3</v>
      </c>
      <c r="AE206">
        <v>-71.900000000000006</v>
      </c>
      <c r="AF206">
        <v>-58.8</v>
      </c>
      <c r="AG206">
        <v>27.6</v>
      </c>
      <c r="BB206">
        <v>203</v>
      </c>
      <c r="BC206">
        <v>672.7</v>
      </c>
      <c r="BD206">
        <v>-30.7</v>
      </c>
      <c r="BE206">
        <v>-8.1</v>
      </c>
      <c r="BF206">
        <v>-0.1</v>
      </c>
      <c r="BG206">
        <v>-11.1</v>
      </c>
      <c r="BZ206">
        <v>203</v>
      </c>
      <c r="CA206">
        <v>20.8</v>
      </c>
      <c r="CB206">
        <v>12.7</v>
      </c>
      <c r="CC206">
        <v>1042.8</v>
      </c>
      <c r="CD206">
        <v>-58</v>
      </c>
      <c r="CE206">
        <v>285.3</v>
      </c>
    </row>
    <row r="207" spans="1:83" x14ac:dyDescent="0.35">
      <c r="A207">
        <v>204</v>
      </c>
      <c r="B207">
        <v>11.9</v>
      </c>
      <c r="C207">
        <v>3.9</v>
      </c>
      <c r="D207">
        <v>35.4</v>
      </c>
      <c r="E207">
        <v>2.1</v>
      </c>
      <c r="F207">
        <v>0</v>
      </c>
      <c r="AB207">
        <v>204</v>
      </c>
      <c r="AC207">
        <v>-86</v>
      </c>
      <c r="AD207">
        <v>13</v>
      </c>
      <c r="AE207">
        <v>-70.7</v>
      </c>
      <c r="AF207">
        <v>-58</v>
      </c>
      <c r="AG207">
        <v>27.7</v>
      </c>
      <c r="BB207">
        <v>204</v>
      </c>
      <c r="BC207">
        <v>687.1</v>
      </c>
      <c r="BD207">
        <v>-31.3</v>
      </c>
      <c r="BE207">
        <v>-8</v>
      </c>
      <c r="BF207">
        <v>-0.3</v>
      </c>
      <c r="BG207">
        <v>-12.5</v>
      </c>
      <c r="BZ207">
        <v>204</v>
      </c>
      <c r="CA207">
        <v>20.5</v>
      </c>
      <c r="CB207">
        <v>12.7</v>
      </c>
      <c r="CC207">
        <v>969.4</v>
      </c>
      <c r="CD207">
        <v>-58.1</v>
      </c>
      <c r="CE207">
        <v>175.9</v>
      </c>
    </row>
    <row r="208" spans="1:83" x14ac:dyDescent="0.35">
      <c r="A208">
        <v>205</v>
      </c>
      <c r="B208">
        <v>11.4</v>
      </c>
      <c r="C208">
        <v>4</v>
      </c>
      <c r="D208">
        <v>35.4</v>
      </c>
      <c r="E208">
        <v>2.2000000000000002</v>
      </c>
      <c r="F208">
        <v>0.1</v>
      </c>
      <c r="AB208">
        <v>205</v>
      </c>
      <c r="AC208">
        <v>-86</v>
      </c>
      <c r="AD208">
        <v>79.2</v>
      </c>
      <c r="AE208">
        <v>-69.400000000000006</v>
      </c>
      <c r="AF208">
        <v>-57.2</v>
      </c>
      <c r="AG208">
        <v>31.2</v>
      </c>
      <c r="BB208">
        <v>205</v>
      </c>
      <c r="BC208">
        <v>696.8</v>
      </c>
      <c r="BD208">
        <v>-31.8</v>
      </c>
      <c r="BE208">
        <v>-7.9</v>
      </c>
      <c r="BF208">
        <v>-0.6</v>
      </c>
      <c r="BG208">
        <v>-13.5</v>
      </c>
      <c r="BZ208">
        <v>205</v>
      </c>
      <c r="CA208">
        <v>20.3</v>
      </c>
      <c r="CB208">
        <v>12.7</v>
      </c>
      <c r="CC208">
        <v>877.1</v>
      </c>
      <c r="CD208">
        <v>-58.1</v>
      </c>
      <c r="CE208">
        <v>96.4</v>
      </c>
    </row>
    <row r="209" spans="1:83" x14ac:dyDescent="0.35">
      <c r="A209">
        <v>206</v>
      </c>
      <c r="B209">
        <v>11.1</v>
      </c>
      <c r="C209">
        <v>4.0999999999999996</v>
      </c>
      <c r="D209">
        <v>35.4</v>
      </c>
      <c r="E209">
        <v>2.2000000000000002</v>
      </c>
      <c r="F209">
        <v>0.1</v>
      </c>
      <c r="AB209">
        <v>206</v>
      </c>
      <c r="AC209">
        <v>-85.9</v>
      </c>
      <c r="AD209">
        <v>193</v>
      </c>
      <c r="AE209">
        <v>-68.099999999999994</v>
      </c>
      <c r="AF209">
        <v>-56.7</v>
      </c>
      <c r="AG209">
        <v>52.5</v>
      </c>
      <c r="BB209">
        <v>206</v>
      </c>
      <c r="BC209">
        <v>704.2</v>
      </c>
      <c r="BD209">
        <v>-32.200000000000003</v>
      </c>
      <c r="BE209">
        <v>-7.8</v>
      </c>
      <c r="BF209">
        <v>-0.8</v>
      </c>
      <c r="BG209">
        <v>-14.1</v>
      </c>
      <c r="BZ209">
        <v>206</v>
      </c>
      <c r="CA209">
        <v>20.100000000000001</v>
      </c>
      <c r="CB209">
        <v>12.7</v>
      </c>
      <c r="CC209">
        <v>800.3</v>
      </c>
      <c r="CD209">
        <v>-58.2</v>
      </c>
      <c r="CE209">
        <v>46.5</v>
      </c>
    </row>
    <row r="210" spans="1:83" x14ac:dyDescent="0.35">
      <c r="A210">
        <v>207</v>
      </c>
      <c r="B210">
        <v>10.8</v>
      </c>
      <c r="C210">
        <v>4.3</v>
      </c>
      <c r="D210">
        <v>35.4</v>
      </c>
      <c r="E210">
        <v>2.2999999999999998</v>
      </c>
      <c r="F210">
        <v>0.1</v>
      </c>
      <c r="AB210">
        <v>207</v>
      </c>
      <c r="AC210">
        <v>-85.9</v>
      </c>
      <c r="AD210">
        <v>279.3</v>
      </c>
      <c r="AE210">
        <v>-67.099999999999994</v>
      </c>
      <c r="AF210">
        <v>-56.3</v>
      </c>
      <c r="AG210">
        <v>65.7</v>
      </c>
      <c r="BB210">
        <v>207</v>
      </c>
      <c r="BC210">
        <v>711.5</v>
      </c>
      <c r="BD210">
        <v>-32.6</v>
      </c>
      <c r="BE210">
        <v>-7.7</v>
      </c>
      <c r="BF210">
        <v>-0.9</v>
      </c>
      <c r="BG210">
        <v>-14.7</v>
      </c>
      <c r="BZ210">
        <v>207</v>
      </c>
      <c r="CA210">
        <v>19.899999999999999</v>
      </c>
      <c r="CB210">
        <v>12.7</v>
      </c>
      <c r="CC210">
        <v>734.3</v>
      </c>
      <c r="CD210">
        <v>-58.2</v>
      </c>
      <c r="CE210">
        <v>17.899999999999999</v>
      </c>
    </row>
    <row r="211" spans="1:83" x14ac:dyDescent="0.35">
      <c r="A211">
        <v>208</v>
      </c>
      <c r="B211">
        <v>10.5</v>
      </c>
      <c r="C211">
        <v>4.4000000000000004</v>
      </c>
      <c r="D211">
        <v>35.4</v>
      </c>
      <c r="E211">
        <v>2.2999999999999998</v>
      </c>
      <c r="F211">
        <v>0.2</v>
      </c>
      <c r="AB211">
        <v>208</v>
      </c>
      <c r="AC211">
        <v>-85.8</v>
      </c>
      <c r="AD211">
        <v>350.8</v>
      </c>
      <c r="AE211">
        <v>-66.3</v>
      </c>
      <c r="AF211">
        <v>-56.1</v>
      </c>
      <c r="AG211">
        <v>65.599999999999994</v>
      </c>
      <c r="BB211">
        <v>208</v>
      </c>
      <c r="BC211">
        <v>718.2</v>
      </c>
      <c r="BD211">
        <v>-32.799999999999997</v>
      </c>
      <c r="BE211">
        <v>-7.6</v>
      </c>
      <c r="BF211">
        <v>-0.9</v>
      </c>
      <c r="BG211">
        <v>-15</v>
      </c>
      <c r="BZ211">
        <v>208</v>
      </c>
      <c r="CA211">
        <v>19.8</v>
      </c>
      <c r="CB211">
        <v>12.8</v>
      </c>
      <c r="CC211">
        <v>674.6</v>
      </c>
      <c r="CD211">
        <v>-58.2</v>
      </c>
      <c r="CE211">
        <v>3.6</v>
      </c>
    </row>
    <row r="212" spans="1:83" x14ac:dyDescent="0.35">
      <c r="A212">
        <v>209</v>
      </c>
      <c r="B212">
        <v>10.3</v>
      </c>
      <c r="C212">
        <v>4.5</v>
      </c>
      <c r="D212">
        <v>35.4</v>
      </c>
      <c r="E212">
        <v>2.2999999999999998</v>
      </c>
      <c r="F212">
        <v>0.2</v>
      </c>
      <c r="AB212">
        <v>209</v>
      </c>
      <c r="AC212">
        <v>-85.8</v>
      </c>
      <c r="AD212">
        <v>411.5</v>
      </c>
      <c r="AE212">
        <v>-65.599999999999994</v>
      </c>
      <c r="AF212">
        <v>-56.1</v>
      </c>
      <c r="AG212">
        <v>61.6</v>
      </c>
      <c r="BB212">
        <v>209</v>
      </c>
      <c r="BC212">
        <v>722.8</v>
      </c>
      <c r="BD212">
        <v>-32.9</v>
      </c>
      <c r="BE212">
        <v>-7.5</v>
      </c>
      <c r="BF212">
        <v>-0.9</v>
      </c>
      <c r="BG212">
        <v>-14.9</v>
      </c>
      <c r="BZ212">
        <v>209</v>
      </c>
      <c r="CA212">
        <v>19.7</v>
      </c>
      <c r="CB212">
        <v>12.8</v>
      </c>
      <c r="CC212">
        <v>617.70000000000005</v>
      </c>
      <c r="CD212">
        <v>-58.2</v>
      </c>
      <c r="CE212">
        <v>-2.4</v>
      </c>
    </row>
    <row r="213" spans="1:83" x14ac:dyDescent="0.35">
      <c r="A213">
        <v>210</v>
      </c>
      <c r="B213">
        <v>10</v>
      </c>
      <c r="C213">
        <v>4.5999999999999996</v>
      </c>
      <c r="D213">
        <v>35.5</v>
      </c>
      <c r="E213">
        <v>2.4</v>
      </c>
      <c r="F213">
        <v>0.3</v>
      </c>
      <c r="AB213">
        <v>210</v>
      </c>
      <c r="AC213">
        <v>-85.7</v>
      </c>
      <c r="AD213">
        <v>455.5</v>
      </c>
      <c r="AE213">
        <v>-64.900000000000006</v>
      </c>
      <c r="AF213">
        <v>-56</v>
      </c>
      <c r="AG213">
        <v>58.8</v>
      </c>
      <c r="BB213">
        <v>210</v>
      </c>
      <c r="BC213">
        <v>726.6</v>
      </c>
      <c r="BD213">
        <v>-32.9</v>
      </c>
      <c r="BE213">
        <v>-7.4</v>
      </c>
      <c r="BF213">
        <v>-0.9</v>
      </c>
      <c r="BG213">
        <v>-14.7</v>
      </c>
      <c r="BZ213">
        <v>210</v>
      </c>
      <c r="CA213">
        <v>19.600000000000001</v>
      </c>
      <c r="CB213">
        <v>12.8</v>
      </c>
      <c r="CC213">
        <v>561.20000000000005</v>
      </c>
      <c r="CD213">
        <v>-58.2</v>
      </c>
      <c r="CE213">
        <v>-5.6</v>
      </c>
    </row>
    <row r="214" spans="1:83" x14ac:dyDescent="0.35">
      <c r="A214">
        <v>211</v>
      </c>
      <c r="B214">
        <v>9.8000000000000007</v>
      </c>
      <c r="C214">
        <v>4.5999999999999996</v>
      </c>
      <c r="D214">
        <v>35.5</v>
      </c>
      <c r="E214">
        <v>2.4</v>
      </c>
      <c r="F214">
        <v>0.3</v>
      </c>
      <c r="AB214">
        <v>211</v>
      </c>
      <c r="AC214">
        <v>-85.6</v>
      </c>
      <c r="AD214">
        <v>488.9</v>
      </c>
      <c r="AE214">
        <v>-64.099999999999994</v>
      </c>
      <c r="AF214">
        <v>-55.6</v>
      </c>
      <c r="AG214">
        <v>57.9</v>
      </c>
      <c r="BB214">
        <v>211</v>
      </c>
      <c r="BC214">
        <v>728.3</v>
      </c>
      <c r="BD214">
        <v>-32.9</v>
      </c>
      <c r="BE214">
        <v>-7.3</v>
      </c>
      <c r="BF214">
        <v>-0.9</v>
      </c>
      <c r="BG214">
        <v>-14.5</v>
      </c>
      <c r="BZ214">
        <v>211</v>
      </c>
      <c r="CA214">
        <v>19.5</v>
      </c>
      <c r="CB214">
        <v>12.8</v>
      </c>
      <c r="CC214">
        <v>504.2</v>
      </c>
      <c r="CD214">
        <v>-58.2</v>
      </c>
      <c r="CE214">
        <v>-8.1</v>
      </c>
    </row>
    <row r="215" spans="1:83" x14ac:dyDescent="0.35">
      <c r="A215">
        <v>212</v>
      </c>
      <c r="B215">
        <v>9.6999999999999993</v>
      </c>
      <c r="C215">
        <v>4.7</v>
      </c>
      <c r="D215">
        <v>35.6</v>
      </c>
      <c r="E215">
        <v>2.4</v>
      </c>
      <c r="F215">
        <v>0.3</v>
      </c>
      <c r="AB215">
        <v>212</v>
      </c>
      <c r="AC215">
        <v>-85.5</v>
      </c>
      <c r="AD215">
        <v>521</v>
      </c>
      <c r="AE215">
        <v>-63.4</v>
      </c>
      <c r="AF215">
        <v>-55</v>
      </c>
      <c r="AG215">
        <v>57.4</v>
      </c>
      <c r="BB215">
        <v>212</v>
      </c>
      <c r="BC215">
        <v>732.5</v>
      </c>
      <c r="BD215">
        <v>-32.9</v>
      </c>
      <c r="BE215">
        <v>-7.2</v>
      </c>
      <c r="BF215">
        <v>-0.9</v>
      </c>
      <c r="BG215">
        <v>-14.3</v>
      </c>
      <c r="BZ215">
        <v>212</v>
      </c>
      <c r="CA215">
        <v>19.399999999999999</v>
      </c>
      <c r="CB215">
        <v>12.9</v>
      </c>
      <c r="CC215">
        <v>447</v>
      </c>
      <c r="CD215">
        <v>-58.2</v>
      </c>
      <c r="CE215">
        <v>-10.1</v>
      </c>
    </row>
    <row r="216" spans="1:83" x14ac:dyDescent="0.35">
      <c r="A216">
        <v>213</v>
      </c>
      <c r="B216">
        <v>9.5</v>
      </c>
      <c r="C216">
        <v>4.8</v>
      </c>
      <c r="D216">
        <v>35.6</v>
      </c>
      <c r="E216">
        <v>2.5</v>
      </c>
      <c r="F216">
        <v>0.4</v>
      </c>
      <c r="AB216">
        <v>213</v>
      </c>
      <c r="AC216">
        <v>-85.3</v>
      </c>
      <c r="AD216">
        <v>550.79999999999995</v>
      </c>
      <c r="AE216">
        <v>-62.8</v>
      </c>
      <c r="AF216">
        <v>-54.4</v>
      </c>
      <c r="AG216">
        <v>57.7</v>
      </c>
      <c r="BB216">
        <v>213</v>
      </c>
      <c r="BC216">
        <v>746.4</v>
      </c>
      <c r="BD216">
        <v>-32.799999999999997</v>
      </c>
      <c r="BE216">
        <v>-7.1</v>
      </c>
      <c r="BF216">
        <v>-0.8</v>
      </c>
      <c r="BG216">
        <v>-14.2</v>
      </c>
      <c r="BZ216">
        <v>213</v>
      </c>
      <c r="CA216">
        <v>19.399999999999999</v>
      </c>
      <c r="CB216">
        <v>12.9</v>
      </c>
      <c r="CC216">
        <v>390.9</v>
      </c>
      <c r="CD216">
        <v>-58.2</v>
      </c>
      <c r="CE216">
        <v>-11.7</v>
      </c>
    </row>
    <row r="217" spans="1:83" x14ac:dyDescent="0.35">
      <c r="A217">
        <v>214</v>
      </c>
      <c r="B217">
        <v>9.4</v>
      </c>
      <c r="C217">
        <v>4.8</v>
      </c>
      <c r="D217">
        <v>35.700000000000003</v>
      </c>
      <c r="E217">
        <v>2.5</v>
      </c>
      <c r="F217">
        <v>0.4</v>
      </c>
      <c r="AB217">
        <v>214</v>
      </c>
      <c r="AC217">
        <v>-84.9</v>
      </c>
      <c r="AD217">
        <v>576.79999999999995</v>
      </c>
      <c r="AE217">
        <v>-62.2</v>
      </c>
      <c r="AF217">
        <v>-53.7</v>
      </c>
      <c r="AG217">
        <v>58</v>
      </c>
      <c r="BB217">
        <v>214</v>
      </c>
      <c r="BC217">
        <v>759</v>
      </c>
      <c r="BD217">
        <v>-32.799999999999997</v>
      </c>
      <c r="BE217">
        <v>-7</v>
      </c>
      <c r="BF217">
        <v>-0.8</v>
      </c>
      <c r="BG217">
        <v>-14.1</v>
      </c>
      <c r="BZ217">
        <v>214</v>
      </c>
      <c r="CA217">
        <v>19.3</v>
      </c>
      <c r="CB217">
        <v>13</v>
      </c>
      <c r="CC217">
        <v>336.8</v>
      </c>
      <c r="CD217">
        <v>-58.2</v>
      </c>
      <c r="CE217">
        <v>-13.1</v>
      </c>
    </row>
    <row r="218" spans="1:83" x14ac:dyDescent="0.35">
      <c r="A218">
        <v>215</v>
      </c>
      <c r="B218">
        <v>9.1999999999999993</v>
      </c>
      <c r="C218">
        <v>4.9000000000000004</v>
      </c>
      <c r="D218">
        <v>35.799999999999997</v>
      </c>
      <c r="E218">
        <v>2.5</v>
      </c>
      <c r="F218">
        <v>0.5</v>
      </c>
      <c r="AB218">
        <v>215</v>
      </c>
      <c r="AC218">
        <v>-84.6</v>
      </c>
      <c r="AD218">
        <v>597.29999999999995</v>
      </c>
      <c r="AE218">
        <v>-61.7</v>
      </c>
      <c r="AF218">
        <v>-53.2</v>
      </c>
      <c r="AG218">
        <v>57.6</v>
      </c>
      <c r="BB218">
        <v>215</v>
      </c>
      <c r="BC218">
        <v>765.3</v>
      </c>
      <c r="BD218">
        <v>-32.799999999999997</v>
      </c>
      <c r="BE218">
        <v>-6.9</v>
      </c>
      <c r="BF218">
        <v>-0.7</v>
      </c>
      <c r="BG218">
        <v>-14</v>
      </c>
      <c r="BZ218">
        <v>215</v>
      </c>
      <c r="CA218">
        <v>19.3</v>
      </c>
      <c r="CB218">
        <v>13</v>
      </c>
      <c r="CC218">
        <v>286.3</v>
      </c>
      <c r="CD218">
        <v>-58.1</v>
      </c>
      <c r="CE218">
        <v>-14.1</v>
      </c>
    </row>
    <row r="219" spans="1:83" x14ac:dyDescent="0.35">
      <c r="A219">
        <v>216</v>
      </c>
      <c r="B219">
        <v>9.1</v>
      </c>
      <c r="C219">
        <v>5</v>
      </c>
      <c r="D219">
        <v>35.799999999999997</v>
      </c>
      <c r="E219">
        <v>2.5</v>
      </c>
      <c r="F219">
        <v>0.5</v>
      </c>
      <c r="AB219">
        <v>216</v>
      </c>
      <c r="AC219">
        <v>-84.4</v>
      </c>
      <c r="AD219">
        <v>610.9</v>
      </c>
      <c r="AE219">
        <v>-61.4</v>
      </c>
      <c r="AF219">
        <v>-52.7</v>
      </c>
      <c r="AG219">
        <v>57.6</v>
      </c>
      <c r="BB219">
        <v>216</v>
      </c>
      <c r="BC219">
        <v>775.4</v>
      </c>
      <c r="BD219">
        <v>-32.700000000000003</v>
      </c>
      <c r="BE219">
        <v>-6.8</v>
      </c>
      <c r="BF219">
        <v>-0.6</v>
      </c>
      <c r="BG219">
        <v>-14</v>
      </c>
      <c r="BZ219">
        <v>216</v>
      </c>
      <c r="CA219">
        <v>19.2</v>
      </c>
      <c r="CB219">
        <v>13</v>
      </c>
      <c r="CC219">
        <v>240.1</v>
      </c>
      <c r="CD219">
        <v>-58.1</v>
      </c>
      <c r="CE219">
        <v>-15.1</v>
      </c>
    </row>
    <row r="220" spans="1:83" x14ac:dyDescent="0.35">
      <c r="A220">
        <v>217</v>
      </c>
      <c r="B220">
        <v>9</v>
      </c>
      <c r="C220">
        <v>5.0999999999999996</v>
      </c>
      <c r="D220">
        <v>35.799999999999997</v>
      </c>
      <c r="E220">
        <v>2.6</v>
      </c>
      <c r="F220">
        <v>0.5</v>
      </c>
      <c r="AB220">
        <v>217</v>
      </c>
      <c r="AC220">
        <v>-84.4</v>
      </c>
      <c r="AD220">
        <v>618</v>
      </c>
      <c r="AE220">
        <v>-61.3</v>
      </c>
      <c r="AF220">
        <v>-52.2</v>
      </c>
      <c r="AG220">
        <v>57.6</v>
      </c>
      <c r="BB220">
        <v>217</v>
      </c>
      <c r="BC220">
        <v>784.6</v>
      </c>
      <c r="BD220">
        <v>-32.6</v>
      </c>
      <c r="BE220">
        <v>-6.7</v>
      </c>
      <c r="BF220">
        <v>-0.6</v>
      </c>
      <c r="BG220">
        <v>-13.9</v>
      </c>
      <c r="BZ220">
        <v>217</v>
      </c>
      <c r="CA220">
        <v>19.3</v>
      </c>
      <c r="CB220">
        <v>13</v>
      </c>
      <c r="CC220">
        <v>198.6</v>
      </c>
      <c r="CD220">
        <v>-58.1</v>
      </c>
      <c r="CE220">
        <v>-15.8</v>
      </c>
    </row>
    <row r="221" spans="1:83" x14ac:dyDescent="0.35">
      <c r="A221">
        <v>218</v>
      </c>
      <c r="B221">
        <v>8.9</v>
      </c>
      <c r="C221">
        <v>5.0999999999999996</v>
      </c>
      <c r="D221">
        <v>35.9</v>
      </c>
      <c r="E221">
        <v>2.6</v>
      </c>
      <c r="F221">
        <v>0.6</v>
      </c>
      <c r="AB221">
        <v>218</v>
      </c>
      <c r="AC221">
        <v>-84.3</v>
      </c>
      <c r="AD221">
        <v>624.20000000000005</v>
      </c>
      <c r="AE221">
        <v>-61.3</v>
      </c>
      <c r="AF221">
        <v>-51.7</v>
      </c>
      <c r="AG221">
        <v>57.2</v>
      </c>
      <c r="BB221">
        <v>218</v>
      </c>
      <c r="BC221">
        <v>789.4</v>
      </c>
      <c r="BD221">
        <v>-32.5</v>
      </c>
      <c r="BE221">
        <v>-6.7</v>
      </c>
      <c r="BF221">
        <v>-0.5</v>
      </c>
      <c r="BG221">
        <v>-14</v>
      </c>
      <c r="BZ221">
        <v>218</v>
      </c>
      <c r="CA221">
        <v>19.399999999999999</v>
      </c>
      <c r="CB221">
        <v>13.1</v>
      </c>
      <c r="CC221">
        <v>161</v>
      </c>
      <c r="CD221">
        <v>-58.1</v>
      </c>
      <c r="CE221">
        <v>-16.5</v>
      </c>
    </row>
    <row r="222" spans="1:83" x14ac:dyDescent="0.35">
      <c r="A222">
        <v>219</v>
      </c>
      <c r="B222">
        <v>8.8000000000000007</v>
      </c>
      <c r="C222">
        <v>5.2</v>
      </c>
      <c r="D222">
        <v>35.9</v>
      </c>
      <c r="E222">
        <v>2.6</v>
      </c>
      <c r="F222">
        <v>0.6</v>
      </c>
      <c r="AB222">
        <v>219</v>
      </c>
      <c r="AC222">
        <v>-84.3</v>
      </c>
      <c r="AD222">
        <v>632.79999999999995</v>
      </c>
      <c r="AE222">
        <v>-61.3</v>
      </c>
      <c r="AF222">
        <v>-51.2</v>
      </c>
      <c r="AG222">
        <v>56.8</v>
      </c>
      <c r="BB222">
        <v>219</v>
      </c>
      <c r="BC222">
        <v>792.6</v>
      </c>
      <c r="BD222">
        <v>-32.4</v>
      </c>
      <c r="BE222">
        <v>-6.6</v>
      </c>
      <c r="BF222">
        <v>-0.4</v>
      </c>
      <c r="BG222">
        <v>-14</v>
      </c>
      <c r="BZ222">
        <v>219</v>
      </c>
      <c r="CA222">
        <v>19.399999999999999</v>
      </c>
      <c r="CB222">
        <v>13.1</v>
      </c>
      <c r="CC222">
        <v>122.3</v>
      </c>
      <c r="CD222">
        <v>-58</v>
      </c>
      <c r="CE222">
        <v>-17</v>
      </c>
    </row>
    <row r="223" spans="1:83" x14ac:dyDescent="0.35">
      <c r="A223">
        <v>220</v>
      </c>
      <c r="B223">
        <v>8.6999999999999993</v>
      </c>
      <c r="C223">
        <v>5.3</v>
      </c>
      <c r="D223">
        <v>36</v>
      </c>
      <c r="E223">
        <v>2.7</v>
      </c>
      <c r="F223">
        <v>0.6</v>
      </c>
      <c r="AB223">
        <v>220</v>
      </c>
      <c r="AC223">
        <v>-84.3</v>
      </c>
      <c r="AD223">
        <v>642.29999999999995</v>
      </c>
      <c r="AE223">
        <v>-61.3</v>
      </c>
      <c r="AF223">
        <v>-50.7</v>
      </c>
      <c r="AG223">
        <v>56.4</v>
      </c>
      <c r="BB223">
        <v>220</v>
      </c>
      <c r="BC223">
        <v>779.1</v>
      </c>
      <c r="BD223">
        <v>-32.200000000000003</v>
      </c>
      <c r="BE223">
        <v>-6.5</v>
      </c>
      <c r="BF223">
        <v>-0.3</v>
      </c>
      <c r="BG223">
        <v>-14</v>
      </c>
      <c r="BZ223">
        <v>220</v>
      </c>
      <c r="CA223">
        <v>19.399999999999999</v>
      </c>
      <c r="CB223">
        <v>13.1</v>
      </c>
      <c r="CC223">
        <v>79</v>
      </c>
      <c r="CD223">
        <v>-58</v>
      </c>
      <c r="CE223">
        <v>-17.5</v>
      </c>
    </row>
    <row r="224" spans="1:83" x14ac:dyDescent="0.35">
      <c r="A224">
        <v>221</v>
      </c>
      <c r="B224">
        <v>8.6999999999999993</v>
      </c>
      <c r="C224">
        <v>5.4</v>
      </c>
      <c r="D224">
        <v>36</v>
      </c>
      <c r="E224">
        <v>2.7</v>
      </c>
      <c r="F224">
        <v>0.6</v>
      </c>
      <c r="AB224">
        <v>221</v>
      </c>
      <c r="AC224">
        <v>-84.3</v>
      </c>
      <c r="AD224">
        <v>648.4</v>
      </c>
      <c r="AE224">
        <v>-61.3</v>
      </c>
      <c r="AF224">
        <v>-50.1</v>
      </c>
      <c r="AG224">
        <v>56</v>
      </c>
      <c r="BB224">
        <v>221</v>
      </c>
      <c r="BC224">
        <v>734.2</v>
      </c>
      <c r="BD224">
        <v>-32.1</v>
      </c>
      <c r="BE224">
        <v>-6.4</v>
      </c>
      <c r="BF224">
        <v>-0.2</v>
      </c>
      <c r="BG224">
        <v>-13.9</v>
      </c>
      <c r="BZ224">
        <v>221</v>
      </c>
      <c r="CA224">
        <v>19.399999999999999</v>
      </c>
      <c r="CB224">
        <v>13.1</v>
      </c>
      <c r="CC224">
        <v>49.9</v>
      </c>
      <c r="CD224">
        <v>-57.9</v>
      </c>
      <c r="CE224">
        <v>-18</v>
      </c>
    </row>
    <row r="225" spans="28:83" x14ac:dyDescent="0.35">
      <c r="AB225">
        <v>222</v>
      </c>
      <c r="AC225">
        <v>-84.5</v>
      </c>
      <c r="AD225">
        <v>654</v>
      </c>
      <c r="AE225">
        <v>-61.4</v>
      </c>
      <c r="AF225">
        <v>-49.6</v>
      </c>
      <c r="AG225">
        <v>55.4</v>
      </c>
      <c r="BB225">
        <v>222</v>
      </c>
      <c r="BC225">
        <v>657.6</v>
      </c>
      <c r="BD225">
        <v>-32</v>
      </c>
      <c r="BE225">
        <v>-6.3</v>
      </c>
      <c r="BF225">
        <v>-0.1</v>
      </c>
      <c r="BG225">
        <v>-13.8</v>
      </c>
      <c r="BZ225">
        <v>222</v>
      </c>
      <c r="CA225">
        <v>19.399999999999999</v>
      </c>
      <c r="CB225">
        <v>13.1</v>
      </c>
      <c r="CC225">
        <v>35.4</v>
      </c>
      <c r="CD225">
        <v>-57.9</v>
      </c>
      <c r="CE225">
        <v>-18.399999999999999</v>
      </c>
    </row>
    <row r="226" spans="28:83" x14ac:dyDescent="0.35">
      <c r="AB226">
        <v>223</v>
      </c>
      <c r="AC226">
        <v>-84.8</v>
      </c>
      <c r="AD226">
        <v>660.3</v>
      </c>
      <c r="AE226">
        <v>-61.3</v>
      </c>
      <c r="AF226">
        <v>-49.1</v>
      </c>
      <c r="AG226">
        <v>54.8</v>
      </c>
      <c r="BB226">
        <v>223</v>
      </c>
      <c r="BC226">
        <v>573.6</v>
      </c>
      <c r="BD226">
        <v>-31.9</v>
      </c>
      <c r="BE226">
        <v>-6.3</v>
      </c>
      <c r="BF226">
        <v>0</v>
      </c>
      <c r="BG226">
        <v>-13.8</v>
      </c>
      <c r="BZ226">
        <v>223</v>
      </c>
      <c r="CA226">
        <v>19.399999999999999</v>
      </c>
      <c r="CB226">
        <v>13.1</v>
      </c>
      <c r="CC226">
        <v>26.2</v>
      </c>
      <c r="CD226">
        <v>-57.8</v>
      </c>
      <c r="CE226">
        <v>-18.7</v>
      </c>
    </row>
    <row r="227" spans="28:83" x14ac:dyDescent="0.35">
      <c r="AB227">
        <v>224</v>
      </c>
      <c r="AC227">
        <v>-85.2</v>
      </c>
      <c r="AD227">
        <v>667.3</v>
      </c>
      <c r="AE227">
        <v>-60.8</v>
      </c>
      <c r="AF227">
        <v>-48.5</v>
      </c>
      <c r="AG227">
        <v>54.9</v>
      </c>
      <c r="BB227">
        <v>224</v>
      </c>
      <c r="BC227">
        <v>492.9</v>
      </c>
      <c r="BD227">
        <v>-31.7</v>
      </c>
      <c r="BE227">
        <v>-6.2</v>
      </c>
      <c r="BF227">
        <v>0.1</v>
      </c>
      <c r="BG227">
        <v>-13.7</v>
      </c>
      <c r="BZ227">
        <v>224</v>
      </c>
      <c r="CA227">
        <v>19.399999999999999</v>
      </c>
      <c r="CB227">
        <v>13.1</v>
      </c>
      <c r="CC227">
        <v>20.100000000000001</v>
      </c>
      <c r="CD227">
        <v>-57.8</v>
      </c>
      <c r="CE227">
        <v>-19</v>
      </c>
    </row>
    <row r="228" spans="28:83" x14ac:dyDescent="0.35">
      <c r="AB228">
        <v>225</v>
      </c>
      <c r="AC228">
        <v>-85.6</v>
      </c>
      <c r="AD228">
        <v>673.8</v>
      </c>
      <c r="AE228">
        <v>-59.9</v>
      </c>
      <c r="AF228">
        <v>-47.9</v>
      </c>
      <c r="AG228">
        <v>55.2</v>
      </c>
      <c r="BB228">
        <v>225</v>
      </c>
      <c r="BC228">
        <v>414.6</v>
      </c>
      <c r="BD228">
        <v>-31.6</v>
      </c>
      <c r="BE228">
        <v>-6.1</v>
      </c>
      <c r="BF228">
        <v>0.2</v>
      </c>
      <c r="BG228">
        <v>-13.5</v>
      </c>
      <c r="BZ228">
        <v>225</v>
      </c>
      <c r="CA228">
        <v>19.399999999999999</v>
      </c>
      <c r="CB228">
        <v>13.1</v>
      </c>
      <c r="CC228">
        <v>15.8</v>
      </c>
      <c r="CD228">
        <v>-57.7</v>
      </c>
      <c r="CE228">
        <v>-19.3</v>
      </c>
    </row>
    <row r="229" spans="28:83" x14ac:dyDescent="0.35">
      <c r="AB229">
        <v>226</v>
      </c>
      <c r="AC229">
        <v>-85.8</v>
      </c>
      <c r="AD229">
        <v>679</v>
      </c>
      <c r="AE229">
        <v>-58.7</v>
      </c>
      <c r="AF229">
        <v>-47.2</v>
      </c>
      <c r="AG229">
        <v>56</v>
      </c>
      <c r="BB229">
        <v>226</v>
      </c>
      <c r="BC229">
        <v>339.9</v>
      </c>
      <c r="BD229">
        <v>-31.5</v>
      </c>
      <c r="BE229">
        <v>-6</v>
      </c>
      <c r="BF229">
        <v>0.3</v>
      </c>
      <c r="BG229">
        <v>-13.4</v>
      </c>
      <c r="BZ229">
        <v>226</v>
      </c>
      <c r="CA229">
        <v>19.399999999999999</v>
      </c>
      <c r="CB229">
        <v>13.1</v>
      </c>
      <c r="CC229">
        <v>12.8</v>
      </c>
      <c r="CD229">
        <v>-57.7</v>
      </c>
      <c r="CE229">
        <v>-19.5</v>
      </c>
    </row>
    <row r="230" spans="28:83" x14ac:dyDescent="0.35">
      <c r="AB230">
        <v>227</v>
      </c>
      <c r="AC230">
        <v>-86.1</v>
      </c>
      <c r="AD230">
        <v>685.1</v>
      </c>
      <c r="AE230">
        <v>-56.8</v>
      </c>
      <c r="AF230">
        <v>-46.3</v>
      </c>
      <c r="AG230">
        <v>56.3</v>
      </c>
      <c r="BB230">
        <v>227</v>
      </c>
      <c r="BC230">
        <v>270.2</v>
      </c>
      <c r="BD230">
        <v>-31.3</v>
      </c>
      <c r="BE230">
        <v>-5.9</v>
      </c>
      <c r="BF230">
        <v>0.4</v>
      </c>
      <c r="BG230">
        <v>-13.3</v>
      </c>
      <c r="BZ230">
        <v>227</v>
      </c>
      <c r="CA230">
        <v>19.399999999999999</v>
      </c>
      <c r="CB230">
        <v>13.1</v>
      </c>
      <c r="CC230">
        <v>10.5</v>
      </c>
      <c r="CD230">
        <v>-57.6</v>
      </c>
      <c r="CE230">
        <v>-19.8</v>
      </c>
    </row>
    <row r="231" spans="28:83" x14ac:dyDescent="0.35">
      <c r="AB231">
        <v>228</v>
      </c>
      <c r="AC231">
        <v>-86.2</v>
      </c>
      <c r="AD231">
        <v>692.4</v>
      </c>
      <c r="AE231">
        <v>-53.8</v>
      </c>
      <c r="AF231">
        <v>-44.7</v>
      </c>
      <c r="AG231">
        <v>56.8</v>
      </c>
      <c r="BB231">
        <v>228</v>
      </c>
      <c r="BC231">
        <v>200.4</v>
      </c>
      <c r="BD231">
        <v>-31.2</v>
      </c>
      <c r="BE231">
        <v>-5.8</v>
      </c>
      <c r="BF231">
        <v>0.5</v>
      </c>
      <c r="BG231">
        <v>-13.2</v>
      </c>
      <c r="BZ231">
        <v>228</v>
      </c>
      <c r="CA231">
        <v>19.399999999999999</v>
      </c>
      <c r="CB231">
        <v>13.1</v>
      </c>
      <c r="CC231">
        <v>8.6999999999999993</v>
      </c>
      <c r="CD231">
        <v>-57.6</v>
      </c>
      <c r="CE231">
        <v>-20</v>
      </c>
    </row>
    <row r="232" spans="28:83" x14ac:dyDescent="0.35">
      <c r="AB232">
        <v>229</v>
      </c>
      <c r="AC232">
        <v>-86.3</v>
      </c>
      <c r="AD232">
        <v>698.4</v>
      </c>
      <c r="AE232">
        <v>-48.8</v>
      </c>
      <c r="AF232">
        <v>-41.7</v>
      </c>
      <c r="AG232">
        <v>56.9</v>
      </c>
      <c r="BB232">
        <v>229</v>
      </c>
      <c r="BC232">
        <v>116.9</v>
      </c>
      <c r="BD232">
        <v>-31.1</v>
      </c>
      <c r="BE232">
        <v>-5.8</v>
      </c>
      <c r="BF232">
        <v>0.6</v>
      </c>
      <c r="BG232">
        <v>-13.2</v>
      </c>
      <c r="BZ232">
        <v>229</v>
      </c>
      <c r="CA232">
        <v>19.399999999999999</v>
      </c>
      <c r="CB232">
        <v>13.1</v>
      </c>
      <c r="CC232">
        <v>7.3</v>
      </c>
      <c r="CD232">
        <v>-57.6</v>
      </c>
      <c r="CE232">
        <v>-20.2</v>
      </c>
    </row>
    <row r="233" spans="28:83" x14ac:dyDescent="0.35">
      <c r="AB233">
        <v>230</v>
      </c>
      <c r="AC233">
        <v>-86.4</v>
      </c>
      <c r="AD233">
        <v>701.6</v>
      </c>
      <c r="AE233">
        <v>-40.6</v>
      </c>
      <c r="AF233">
        <v>-35.9</v>
      </c>
      <c r="AG233">
        <v>56.9</v>
      </c>
      <c r="BB233">
        <v>230</v>
      </c>
      <c r="BC233">
        <v>39.799999999999997</v>
      </c>
      <c r="BD233">
        <v>-30.9</v>
      </c>
      <c r="BE233">
        <v>-5.7</v>
      </c>
      <c r="BF233">
        <v>0.7</v>
      </c>
      <c r="BG233">
        <v>-13.1</v>
      </c>
    </row>
    <row r="234" spans="28:83" x14ac:dyDescent="0.35">
      <c r="AB234">
        <v>231</v>
      </c>
      <c r="AC234">
        <v>-86.5</v>
      </c>
      <c r="AD234">
        <v>703.4</v>
      </c>
      <c r="AE234">
        <v>-29.2</v>
      </c>
      <c r="AF234">
        <v>-26.5</v>
      </c>
      <c r="AG234">
        <v>57.5</v>
      </c>
      <c r="BB234">
        <v>231</v>
      </c>
      <c r="BC234">
        <v>-6.4</v>
      </c>
      <c r="BD234">
        <v>-30.8</v>
      </c>
      <c r="BE234">
        <v>-5.6</v>
      </c>
      <c r="BF234">
        <v>0.8</v>
      </c>
      <c r="BG234">
        <v>-13</v>
      </c>
    </row>
    <row r="235" spans="28:83" x14ac:dyDescent="0.35">
      <c r="AB235">
        <v>232</v>
      </c>
      <c r="AC235">
        <v>-86.5</v>
      </c>
      <c r="AD235">
        <v>703.5</v>
      </c>
      <c r="AE235">
        <v>-17</v>
      </c>
      <c r="AF235">
        <v>-6.7</v>
      </c>
      <c r="AG235">
        <v>58.2</v>
      </c>
      <c r="BB235">
        <v>232</v>
      </c>
      <c r="BC235">
        <v>-27.8</v>
      </c>
      <c r="BD235">
        <v>-30.6</v>
      </c>
      <c r="BE235">
        <v>-5.6</v>
      </c>
      <c r="BF235">
        <v>0.9</v>
      </c>
      <c r="BG235">
        <v>-13</v>
      </c>
    </row>
    <row r="236" spans="28:83" x14ac:dyDescent="0.35">
      <c r="AB236">
        <v>233</v>
      </c>
      <c r="AC236">
        <v>-86.4</v>
      </c>
      <c r="AD236">
        <v>701.2</v>
      </c>
      <c r="AE236">
        <v>-3.8</v>
      </c>
      <c r="AF236">
        <v>51.1</v>
      </c>
      <c r="AG236">
        <v>59.1</v>
      </c>
      <c r="BB236">
        <v>233</v>
      </c>
      <c r="BC236">
        <v>-38.700000000000003</v>
      </c>
      <c r="BD236">
        <v>-30.5</v>
      </c>
      <c r="BE236">
        <v>-5.5</v>
      </c>
      <c r="BF236">
        <v>1</v>
      </c>
      <c r="BG236">
        <v>-12.9</v>
      </c>
    </row>
    <row r="237" spans="28:83" x14ac:dyDescent="0.35">
      <c r="AB237">
        <v>234</v>
      </c>
      <c r="AC237">
        <v>-86.3</v>
      </c>
      <c r="AD237">
        <v>699.3</v>
      </c>
      <c r="AE237">
        <v>11.6</v>
      </c>
      <c r="AF237">
        <v>127.6</v>
      </c>
      <c r="AG237">
        <v>59.1</v>
      </c>
      <c r="BB237">
        <v>234</v>
      </c>
      <c r="BC237">
        <v>-43.6</v>
      </c>
      <c r="BD237">
        <v>-30.4</v>
      </c>
      <c r="BE237">
        <v>-5.4</v>
      </c>
      <c r="BF237">
        <v>1.1000000000000001</v>
      </c>
      <c r="BG237">
        <v>-12.8</v>
      </c>
    </row>
    <row r="238" spans="28:83" x14ac:dyDescent="0.35">
      <c r="AB238">
        <v>235</v>
      </c>
      <c r="AC238">
        <v>-86.3</v>
      </c>
      <c r="AD238">
        <v>699.2</v>
      </c>
      <c r="AE238">
        <v>32</v>
      </c>
      <c r="AF238">
        <v>197.8</v>
      </c>
      <c r="AG238">
        <v>59.4</v>
      </c>
      <c r="BB238">
        <v>235</v>
      </c>
      <c r="BC238">
        <v>-45</v>
      </c>
      <c r="BD238">
        <v>-30.3</v>
      </c>
      <c r="BE238">
        <v>-5.3</v>
      </c>
      <c r="BF238">
        <v>1.2</v>
      </c>
      <c r="BG238">
        <v>-12.8</v>
      </c>
    </row>
    <row r="239" spans="28:83" x14ac:dyDescent="0.35">
      <c r="AB239">
        <v>236</v>
      </c>
      <c r="AC239">
        <v>-86.4</v>
      </c>
      <c r="AD239">
        <v>703.5</v>
      </c>
      <c r="AE239">
        <v>77.2</v>
      </c>
      <c r="AF239">
        <v>263.2</v>
      </c>
      <c r="AG239">
        <v>59.7</v>
      </c>
      <c r="BB239">
        <v>236</v>
      </c>
      <c r="BC239">
        <v>-45.7</v>
      </c>
      <c r="BD239">
        <v>-30.2</v>
      </c>
      <c r="BE239">
        <v>-5.3</v>
      </c>
      <c r="BF239">
        <v>1.3</v>
      </c>
      <c r="BG239">
        <v>-12.7</v>
      </c>
    </row>
    <row r="240" spans="28:83" x14ac:dyDescent="0.35">
      <c r="AB240">
        <v>237</v>
      </c>
      <c r="AC240">
        <v>-86.6</v>
      </c>
      <c r="AD240">
        <v>706.4</v>
      </c>
      <c r="AE240">
        <v>164.9</v>
      </c>
      <c r="AF240">
        <v>323.2</v>
      </c>
      <c r="AG240">
        <v>59.8</v>
      </c>
      <c r="BB240">
        <v>237</v>
      </c>
      <c r="BC240">
        <v>-46.1</v>
      </c>
      <c r="BD240">
        <v>-30.1</v>
      </c>
      <c r="BE240">
        <v>-5.2</v>
      </c>
      <c r="BF240">
        <v>1.3</v>
      </c>
      <c r="BG240">
        <v>-12.7</v>
      </c>
    </row>
    <row r="241" spans="28:59" x14ac:dyDescent="0.35">
      <c r="AB241">
        <v>238</v>
      </c>
      <c r="AC241">
        <v>-86.9</v>
      </c>
      <c r="AD241">
        <v>705</v>
      </c>
      <c r="AE241">
        <v>252.6</v>
      </c>
      <c r="AF241">
        <v>379.5</v>
      </c>
      <c r="AG241">
        <v>59.8</v>
      </c>
      <c r="BB241">
        <v>238</v>
      </c>
      <c r="BC241">
        <v>-46.5</v>
      </c>
      <c r="BD241">
        <v>-30</v>
      </c>
      <c r="BE241">
        <v>-5.0999999999999996</v>
      </c>
      <c r="BF241">
        <v>1.4</v>
      </c>
      <c r="BG241">
        <v>-12.6</v>
      </c>
    </row>
    <row r="242" spans="28:59" x14ac:dyDescent="0.35">
      <c r="AB242">
        <v>239</v>
      </c>
      <c r="AC242">
        <v>-87.3</v>
      </c>
      <c r="AD242">
        <v>705.2</v>
      </c>
      <c r="AE242">
        <v>315.60000000000002</v>
      </c>
      <c r="AF242">
        <v>435.2</v>
      </c>
      <c r="AG242">
        <v>59.5</v>
      </c>
      <c r="BB242">
        <v>239</v>
      </c>
      <c r="BC242">
        <v>-46.8</v>
      </c>
      <c r="BD242">
        <v>-29.9</v>
      </c>
      <c r="BE242">
        <v>-5.0999999999999996</v>
      </c>
      <c r="BF242">
        <v>1.5</v>
      </c>
      <c r="BG242">
        <v>-12.6</v>
      </c>
    </row>
    <row r="243" spans="28:59" x14ac:dyDescent="0.35">
      <c r="AB243">
        <v>240</v>
      </c>
      <c r="AC243">
        <v>-87.7</v>
      </c>
      <c r="AD243">
        <v>714</v>
      </c>
      <c r="AE243">
        <v>360.7</v>
      </c>
      <c r="AF243">
        <v>484.5</v>
      </c>
      <c r="AG243">
        <v>58.1</v>
      </c>
    </row>
    <row r="244" spans="28:59" x14ac:dyDescent="0.35">
      <c r="AB244">
        <v>241</v>
      </c>
      <c r="AC244">
        <v>-88</v>
      </c>
      <c r="AD244">
        <v>719.9</v>
      </c>
      <c r="AE244">
        <v>397.5</v>
      </c>
      <c r="AF244">
        <v>526.4</v>
      </c>
      <c r="AG244">
        <v>57.2</v>
      </c>
    </row>
    <row r="245" spans="28:59" x14ac:dyDescent="0.35">
      <c r="AB245">
        <v>242</v>
      </c>
      <c r="AC245">
        <v>-87.9</v>
      </c>
      <c r="AD245">
        <v>713</v>
      </c>
      <c r="AE245">
        <v>425</v>
      </c>
      <c r="AF245">
        <v>561.6</v>
      </c>
      <c r="AG245">
        <v>57.6</v>
      </c>
    </row>
    <row r="246" spans="28:59" x14ac:dyDescent="0.35">
      <c r="AB246">
        <v>243</v>
      </c>
      <c r="AC246">
        <v>-87.6</v>
      </c>
      <c r="AD246">
        <v>713.5</v>
      </c>
      <c r="AE246">
        <v>446.7</v>
      </c>
      <c r="AF246">
        <v>587.9</v>
      </c>
      <c r="AG246">
        <v>58.7</v>
      </c>
    </row>
    <row r="247" spans="28:59" x14ac:dyDescent="0.35">
      <c r="AB247">
        <v>244</v>
      </c>
      <c r="AC247">
        <v>-87.4</v>
      </c>
      <c r="AD247">
        <v>713.2</v>
      </c>
      <c r="AE247">
        <v>467.4</v>
      </c>
      <c r="AF247">
        <v>607.6</v>
      </c>
      <c r="AG247">
        <v>58.5</v>
      </c>
    </row>
    <row r="248" spans="28:59" x14ac:dyDescent="0.35">
      <c r="AB248">
        <v>245</v>
      </c>
      <c r="AC248">
        <v>-87.4</v>
      </c>
      <c r="AD248">
        <v>706.7</v>
      </c>
      <c r="AE248">
        <v>484.7</v>
      </c>
      <c r="AF248">
        <v>621.20000000000005</v>
      </c>
      <c r="AG248">
        <v>58.5</v>
      </c>
    </row>
    <row r="249" spans="28:59" x14ac:dyDescent="0.35">
      <c r="AB249">
        <v>246</v>
      </c>
      <c r="AC249">
        <v>-87.5</v>
      </c>
      <c r="AD249">
        <v>672.3</v>
      </c>
      <c r="AE249">
        <v>496.7</v>
      </c>
      <c r="AF249">
        <v>630.29999999999995</v>
      </c>
      <c r="AG249">
        <v>58.7</v>
      </c>
    </row>
    <row r="250" spans="28:59" x14ac:dyDescent="0.35">
      <c r="AB250">
        <v>247</v>
      </c>
      <c r="AC250">
        <v>-87.6</v>
      </c>
      <c r="AD250">
        <v>624.5</v>
      </c>
      <c r="AE250">
        <v>505.5</v>
      </c>
      <c r="AF250">
        <v>636.9</v>
      </c>
      <c r="AG250">
        <v>59.7</v>
      </c>
    </row>
    <row r="251" spans="28:59" x14ac:dyDescent="0.35">
      <c r="AB251">
        <v>248</v>
      </c>
      <c r="AC251">
        <v>-87.6</v>
      </c>
      <c r="AD251">
        <v>563.9</v>
      </c>
      <c r="AE251">
        <v>515</v>
      </c>
      <c r="AF251">
        <v>644.9</v>
      </c>
      <c r="AG251">
        <v>60.5</v>
      </c>
    </row>
    <row r="252" spans="28:59" x14ac:dyDescent="0.35">
      <c r="AB252">
        <v>249</v>
      </c>
      <c r="AC252">
        <v>-87.6</v>
      </c>
      <c r="AD252">
        <v>403.4</v>
      </c>
      <c r="AE252">
        <v>527.6</v>
      </c>
      <c r="AF252">
        <v>653.9</v>
      </c>
      <c r="AG252">
        <v>60.4</v>
      </c>
    </row>
    <row r="253" spans="28:59" x14ac:dyDescent="0.35">
      <c r="AB253">
        <v>250</v>
      </c>
      <c r="AC253">
        <v>-87.6</v>
      </c>
      <c r="AD253">
        <v>186.8</v>
      </c>
      <c r="AE253">
        <v>540</v>
      </c>
      <c r="AF253">
        <v>660</v>
      </c>
      <c r="AG253">
        <v>60.1</v>
      </c>
    </row>
    <row r="254" spans="28:59" x14ac:dyDescent="0.35">
      <c r="AB254">
        <v>251</v>
      </c>
      <c r="AC254">
        <v>-87.6</v>
      </c>
      <c r="AD254">
        <v>73.099999999999994</v>
      </c>
      <c r="AE254">
        <v>552.4</v>
      </c>
      <c r="AF254">
        <v>661.7</v>
      </c>
      <c r="AG254">
        <v>60.5</v>
      </c>
    </row>
    <row r="255" spans="28:59" x14ac:dyDescent="0.35">
      <c r="AB255">
        <v>252</v>
      </c>
      <c r="AC255">
        <v>-87.5</v>
      </c>
      <c r="AD255">
        <v>34.4</v>
      </c>
      <c r="AE255">
        <v>559.79999999999995</v>
      </c>
      <c r="AF255">
        <v>662.4</v>
      </c>
      <c r="AG255">
        <v>61.1</v>
      </c>
    </row>
    <row r="256" spans="28:59" x14ac:dyDescent="0.35">
      <c r="AB256">
        <v>253</v>
      </c>
      <c r="AC256">
        <v>-87.6</v>
      </c>
      <c r="AD256">
        <v>17.2</v>
      </c>
      <c r="AE256">
        <v>561</v>
      </c>
      <c r="AF256">
        <v>663.6</v>
      </c>
      <c r="AG256">
        <v>61.5</v>
      </c>
    </row>
    <row r="257" spans="28:33" x14ac:dyDescent="0.35">
      <c r="AB257">
        <v>254</v>
      </c>
      <c r="AC257">
        <v>-87.7</v>
      </c>
      <c r="AD257">
        <v>6.9</v>
      </c>
      <c r="AE257">
        <v>560.1</v>
      </c>
      <c r="AF257">
        <v>664.1</v>
      </c>
      <c r="AG257">
        <v>61.9</v>
      </c>
    </row>
    <row r="258" spans="28:33" x14ac:dyDescent="0.35">
      <c r="AB258">
        <v>255</v>
      </c>
      <c r="AC258">
        <v>-87.8</v>
      </c>
      <c r="AD258">
        <v>0</v>
      </c>
      <c r="AE258">
        <v>560.20000000000005</v>
      </c>
      <c r="AF258">
        <v>664.2</v>
      </c>
      <c r="AG258">
        <v>61.5</v>
      </c>
    </row>
    <row r="259" spans="28:33" x14ac:dyDescent="0.35">
      <c r="AB259">
        <v>256</v>
      </c>
      <c r="AC259">
        <v>-87.8</v>
      </c>
      <c r="AD259">
        <v>-5</v>
      </c>
      <c r="AE259">
        <v>560</v>
      </c>
      <c r="AF259">
        <v>665.4</v>
      </c>
      <c r="AG259">
        <v>61.5</v>
      </c>
    </row>
    <row r="260" spans="28:33" x14ac:dyDescent="0.35">
      <c r="AB260">
        <v>257</v>
      </c>
      <c r="AC260">
        <v>-87.8</v>
      </c>
      <c r="AD260">
        <v>-8.8000000000000007</v>
      </c>
      <c r="AE260">
        <v>556.29999999999995</v>
      </c>
      <c r="AF260">
        <v>665.3</v>
      </c>
      <c r="AG260">
        <v>61.5</v>
      </c>
    </row>
    <row r="261" spans="28:33" x14ac:dyDescent="0.35">
      <c r="AB261">
        <v>258</v>
      </c>
      <c r="AC261">
        <v>-87.8</v>
      </c>
      <c r="AD261">
        <v>-11.7</v>
      </c>
      <c r="AE261">
        <v>551.4</v>
      </c>
      <c r="AF261">
        <v>659.7</v>
      </c>
      <c r="AG261">
        <v>61.4</v>
      </c>
    </row>
    <row r="262" spans="28:33" x14ac:dyDescent="0.35">
      <c r="AB262">
        <v>259</v>
      </c>
      <c r="AC262">
        <v>-87.9</v>
      </c>
      <c r="AD262">
        <v>-14.1</v>
      </c>
      <c r="AE262">
        <v>549.9</v>
      </c>
      <c r="AF262">
        <v>647.9</v>
      </c>
      <c r="AG262">
        <v>61.6</v>
      </c>
    </row>
    <row r="263" spans="28:33" x14ac:dyDescent="0.35">
      <c r="AB263">
        <v>260</v>
      </c>
      <c r="AC263">
        <v>-87.9</v>
      </c>
      <c r="AD263">
        <v>-16</v>
      </c>
      <c r="AE263">
        <v>553.4</v>
      </c>
      <c r="AF263">
        <v>635.5</v>
      </c>
      <c r="AG263">
        <v>61.5</v>
      </c>
    </row>
    <row r="264" spans="28:33" x14ac:dyDescent="0.35">
      <c r="AB264">
        <v>261</v>
      </c>
      <c r="AC264">
        <v>-88</v>
      </c>
      <c r="AD264">
        <v>-17.5</v>
      </c>
      <c r="AE264">
        <v>559.9</v>
      </c>
      <c r="AF264">
        <v>625.79999999999995</v>
      </c>
      <c r="AG264">
        <v>61.4</v>
      </c>
    </row>
    <row r="265" spans="28:33" x14ac:dyDescent="0.35">
      <c r="AB265">
        <v>262</v>
      </c>
      <c r="AC265">
        <v>-88.1</v>
      </c>
      <c r="AD265">
        <v>-18.8</v>
      </c>
      <c r="AE265">
        <v>563.1</v>
      </c>
      <c r="AF265">
        <v>621.6</v>
      </c>
      <c r="AG265">
        <v>60.5</v>
      </c>
    </row>
    <row r="266" spans="28:33" x14ac:dyDescent="0.35">
      <c r="AB266">
        <v>263</v>
      </c>
      <c r="AC266">
        <v>-88.2</v>
      </c>
      <c r="AD266">
        <v>-19.899999999999999</v>
      </c>
      <c r="AE266">
        <v>559.4</v>
      </c>
      <c r="AF266">
        <v>621.70000000000005</v>
      </c>
      <c r="AG266">
        <v>60.5</v>
      </c>
    </row>
    <row r="267" spans="28:33" x14ac:dyDescent="0.35">
      <c r="AB267">
        <v>264</v>
      </c>
      <c r="AC267">
        <v>-88.2</v>
      </c>
      <c r="AD267">
        <v>-20.9</v>
      </c>
      <c r="AE267">
        <v>550.70000000000005</v>
      </c>
      <c r="AF267">
        <v>625.70000000000005</v>
      </c>
      <c r="AG267">
        <v>60.4</v>
      </c>
    </row>
    <row r="268" spans="28:33" x14ac:dyDescent="0.35">
      <c r="AB268">
        <v>265</v>
      </c>
      <c r="AC268">
        <v>-88.3</v>
      </c>
      <c r="AD268">
        <v>-21.6</v>
      </c>
      <c r="AE268">
        <v>542.1</v>
      </c>
      <c r="AF268">
        <v>634.20000000000005</v>
      </c>
      <c r="AG268">
        <v>60</v>
      </c>
    </row>
    <row r="269" spans="28:33" x14ac:dyDescent="0.35">
      <c r="AB269">
        <v>266</v>
      </c>
      <c r="AC269">
        <v>-88.2</v>
      </c>
      <c r="AD269">
        <v>-22.3</v>
      </c>
      <c r="AE269">
        <v>541.5</v>
      </c>
      <c r="AF269">
        <v>640.20000000000005</v>
      </c>
      <c r="AG269">
        <v>58</v>
      </c>
    </row>
    <row r="270" spans="28:33" x14ac:dyDescent="0.35">
      <c r="AB270">
        <v>267</v>
      </c>
      <c r="AC270">
        <v>-88.2</v>
      </c>
      <c r="AD270">
        <v>-22.9</v>
      </c>
      <c r="AE270">
        <v>551.6</v>
      </c>
      <c r="AF270">
        <v>641.20000000000005</v>
      </c>
      <c r="AG270">
        <v>57.5</v>
      </c>
    </row>
    <row r="271" spans="28:33" x14ac:dyDescent="0.35">
      <c r="AB271">
        <v>268</v>
      </c>
      <c r="AC271">
        <v>-88.2</v>
      </c>
      <c r="AD271">
        <v>-23.4</v>
      </c>
      <c r="AE271">
        <v>566.70000000000005</v>
      </c>
      <c r="AF271">
        <v>642.20000000000005</v>
      </c>
      <c r="AG271">
        <v>59.5</v>
      </c>
    </row>
    <row r="272" spans="28:33" x14ac:dyDescent="0.35">
      <c r="AB272">
        <v>269</v>
      </c>
      <c r="AC272">
        <v>-88.2</v>
      </c>
      <c r="AD272">
        <v>-23</v>
      </c>
      <c r="AE272">
        <v>588.4</v>
      </c>
      <c r="AF272">
        <v>644.20000000000005</v>
      </c>
      <c r="AG272">
        <v>61.6</v>
      </c>
    </row>
    <row r="273" spans="28:33" x14ac:dyDescent="0.35">
      <c r="AB273">
        <v>270</v>
      </c>
      <c r="AC273">
        <v>-88.2</v>
      </c>
      <c r="AD273">
        <v>-15.7</v>
      </c>
      <c r="AE273">
        <v>617.5</v>
      </c>
      <c r="AF273">
        <v>639.5</v>
      </c>
      <c r="AG273">
        <v>61.6</v>
      </c>
    </row>
    <row r="274" spans="28:33" x14ac:dyDescent="0.35">
      <c r="AB274">
        <v>271</v>
      </c>
      <c r="AC274">
        <v>-88.1</v>
      </c>
      <c r="AD274">
        <v>24.4</v>
      </c>
      <c r="AE274">
        <v>632.29999999999995</v>
      </c>
      <c r="AF274">
        <v>626.70000000000005</v>
      </c>
      <c r="AG274">
        <v>61.5</v>
      </c>
    </row>
    <row r="275" spans="28:33" x14ac:dyDescent="0.35">
      <c r="AB275">
        <v>272</v>
      </c>
      <c r="AC275">
        <v>-88</v>
      </c>
      <c r="AD275">
        <v>117.9</v>
      </c>
      <c r="AE275">
        <v>629.1</v>
      </c>
      <c r="AF275">
        <v>613</v>
      </c>
      <c r="AG275">
        <v>61.4</v>
      </c>
    </row>
    <row r="276" spans="28:33" x14ac:dyDescent="0.35">
      <c r="AB276">
        <v>273</v>
      </c>
      <c r="AC276">
        <v>-87.7</v>
      </c>
      <c r="AD276">
        <v>224.6</v>
      </c>
      <c r="AE276">
        <v>622.4</v>
      </c>
      <c r="AF276">
        <v>600.4</v>
      </c>
      <c r="AG276">
        <v>60.5</v>
      </c>
    </row>
    <row r="277" spans="28:33" x14ac:dyDescent="0.35">
      <c r="AB277">
        <v>274</v>
      </c>
      <c r="AC277">
        <v>-87.4</v>
      </c>
      <c r="AD277">
        <v>319.5</v>
      </c>
      <c r="AE277">
        <v>617.79999999999995</v>
      </c>
      <c r="AF277">
        <v>588.6</v>
      </c>
      <c r="AG277">
        <v>58.5</v>
      </c>
    </row>
    <row r="278" spans="28:33" x14ac:dyDescent="0.35">
      <c r="AB278">
        <v>275</v>
      </c>
      <c r="AC278">
        <v>-87</v>
      </c>
      <c r="AD278">
        <v>376.4</v>
      </c>
      <c r="AE278">
        <v>610.4</v>
      </c>
      <c r="AF278">
        <v>577.4</v>
      </c>
      <c r="AG278">
        <v>58.2</v>
      </c>
    </row>
    <row r="279" spans="28:33" x14ac:dyDescent="0.35">
      <c r="AB279">
        <v>276</v>
      </c>
      <c r="AC279">
        <v>-86.8</v>
      </c>
      <c r="AD279">
        <v>359.7</v>
      </c>
      <c r="AE279">
        <v>601.4</v>
      </c>
      <c r="AF279">
        <v>569.70000000000005</v>
      </c>
      <c r="AG279">
        <v>57.7</v>
      </c>
    </row>
    <row r="280" spans="28:33" x14ac:dyDescent="0.35">
      <c r="AB280">
        <v>277</v>
      </c>
      <c r="AC280">
        <v>-86.8</v>
      </c>
      <c r="AD280">
        <v>313.89999999999998</v>
      </c>
      <c r="AE280">
        <v>592.70000000000005</v>
      </c>
      <c r="AF280">
        <v>566.29999999999995</v>
      </c>
      <c r="AG280">
        <v>57.5</v>
      </c>
    </row>
    <row r="281" spans="28:33" x14ac:dyDescent="0.35">
      <c r="AB281">
        <v>278</v>
      </c>
      <c r="AC281">
        <v>-86.7</v>
      </c>
      <c r="AD281">
        <v>267.5</v>
      </c>
      <c r="AE281">
        <v>589.9</v>
      </c>
      <c r="AF281">
        <v>566.4</v>
      </c>
      <c r="AG281">
        <v>57.8</v>
      </c>
    </row>
    <row r="282" spans="28:33" x14ac:dyDescent="0.35">
      <c r="AB282">
        <v>279</v>
      </c>
      <c r="AC282">
        <v>-86.5</v>
      </c>
      <c r="AD282">
        <v>211.2</v>
      </c>
      <c r="AE282">
        <v>592.9</v>
      </c>
      <c r="AF282">
        <v>577.70000000000005</v>
      </c>
      <c r="AG282">
        <v>57.1</v>
      </c>
    </row>
    <row r="283" spans="28:33" x14ac:dyDescent="0.35">
      <c r="AB283">
        <v>280</v>
      </c>
      <c r="AC283">
        <v>-86.1</v>
      </c>
      <c r="AD283">
        <v>127.6</v>
      </c>
      <c r="AE283">
        <v>595</v>
      </c>
      <c r="AF283">
        <v>595.6</v>
      </c>
      <c r="AG283">
        <v>56.5</v>
      </c>
    </row>
    <row r="284" spans="28:33" x14ac:dyDescent="0.35">
      <c r="AB284">
        <v>281</v>
      </c>
      <c r="AC284">
        <v>-85.7</v>
      </c>
      <c r="AD284">
        <v>55.3</v>
      </c>
      <c r="AE284">
        <v>597.79999999999995</v>
      </c>
      <c r="AF284">
        <v>622</v>
      </c>
      <c r="AG284">
        <v>57</v>
      </c>
    </row>
    <row r="285" spans="28:33" x14ac:dyDescent="0.35">
      <c r="AB285">
        <v>282</v>
      </c>
      <c r="AC285">
        <v>-85</v>
      </c>
      <c r="AD285">
        <v>21.9</v>
      </c>
      <c r="AE285">
        <v>612.20000000000005</v>
      </c>
      <c r="AF285">
        <v>668.7</v>
      </c>
      <c r="AG285">
        <v>57.4</v>
      </c>
    </row>
    <row r="286" spans="28:33" x14ac:dyDescent="0.35">
      <c r="AB286">
        <v>283</v>
      </c>
      <c r="AC286">
        <v>-84</v>
      </c>
      <c r="AD286">
        <v>6.4</v>
      </c>
      <c r="AE286">
        <v>633.9</v>
      </c>
      <c r="AF286">
        <v>682.1</v>
      </c>
      <c r="AG286">
        <v>57.7</v>
      </c>
    </row>
    <row r="287" spans="28:33" x14ac:dyDescent="0.35">
      <c r="AB287">
        <v>284</v>
      </c>
      <c r="AC287">
        <v>-82.6</v>
      </c>
      <c r="AD287">
        <v>-2.6</v>
      </c>
      <c r="AE287">
        <v>651.29999999999995</v>
      </c>
      <c r="AF287">
        <v>635.29999999999995</v>
      </c>
      <c r="AG287">
        <v>57.5</v>
      </c>
    </row>
    <row r="288" spans="28:33" x14ac:dyDescent="0.35">
      <c r="AB288">
        <v>285</v>
      </c>
      <c r="AC288">
        <v>-80.599999999999994</v>
      </c>
      <c r="AD288">
        <v>-8.4</v>
      </c>
      <c r="AE288">
        <v>662.8</v>
      </c>
      <c r="AF288">
        <v>583.9</v>
      </c>
      <c r="AG288">
        <v>57.5</v>
      </c>
    </row>
    <row r="289" spans="28:33" x14ac:dyDescent="0.35">
      <c r="AB289">
        <v>286</v>
      </c>
      <c r="AC289">
        <v>-78.599999999999994</v>
      </c>
      <c r="AD289">
        <v>-12.3</v>
      </c>
      <c r="AE289">
        <v>671.4</v>
      </c>
      <c r="AF289">
        <v>532.29999999999995</v>
      </c>
      <c r="AG289">
        <v>57.8</v>
      </c>
    </row>
    <row r="290" spans="28:33" x14ac:dyDescent="0.35">
      <c r="AB290">
        <v>287</v>
      </c>
      <c r="AC290">
        <v>-76.599999999999994</v>
      </c>
      <c r="AD290">
        <v>-15.2</v>
      </c>
      <c r="AE290">
        <v>641.29999999999995</v>
      </c>
      <c r="AF290">
        <v>443.3</v>
      </c>
      <c r="AG290">
        <v>57.8</v>
      </c>
    </row>
    <row r="291" spans="28:33" x14ac:dyDescent="0.35">
      <c r="AB291">
        <v>288</v>
      </c>
      <c r="AC291">
        <v>-74.599999999999994</v>
      </c>
      <c r="AD291">
        <v>-17.399999999999999</v>
      </c>
      <c r="AE291">
        <v>592.20000000000005</v>
      </c>
      <c r="AF291">
        <v>296.39999999999998</v>
      </c>
      <c r="AG291">
        <v>57.7</v>
      </c>
    </row>
    <row r="292" spans="28:33" x14ac:dyDescent="0.35">
      <c r="AB292">
        <v>289</v>
      </c>
      <c r="AC292">
        <v>-72.7</v>
      </c>
      <c r="AD292">
        <v>-19</v>
      </c>
      <c r="AE292">
        <v>544</v>
      </c>
      <c r="AF292">
        <v>163.1</v>
      </c>
      <c r="AG292">
        <v>56.6</v>
      </c>
    </row>
    <row r="293" spans="28:33" x14ac:dyDescent="0.35">
      <c r="AB293">
        <v>290</v>
      </c>
      <c r="AC293">
        <v>-70.900000000000006</v>
      </c>
      <c r="AD293">
        <v>-20.100000000000001</v>
      </c>
      <c r="AE293">
        <v>476.7</v>
      </c>
      <c r="AF293">
        <v>82.8</v>
      </c>
      <c r="AG293">
        <v>55.6</v>
      </c>
    </row>
    <row r="294" spans="28:33" x14ac:dyDescent="0.35">
      <c r="AB294">
        <v>291</v>
      </c>
      <c r="AC294">
        <v>-69.3</v>
      </c>
      <c r="AD294">
        <v>-20.5</v>
      </c>
      <c r="AE294">
        <v>333.9</v>
      </c>
      <c r="AF294">
        <v>45.4</v>
      </c>
      <c r="AG294">
        <v>54.4</v>
      </c>
    </row>
    <row r="295" spans="28:33" x14ac:dyDescent="0.35">
      <c r="AB295">
        <v>292</v>
      </c>
      <c r="AC295">
        <v>-67.8</v>
      </c>
      <c r="AD295">
        <v>-20.6</v>
      </c>
      <c r="AE295">
        <v>168.8</v>
      </c>
      <c r="AF295">
        <v>28.8</v>
      </c>
      <c r="AG295">
        <v>53.8</v>
      </c>
    </row>
    <row r="296" spans="28:33" x14ac:dyDescent="0.35">
      <c r="AB296">
        <v>293</v>
      </c>
      <c r="AC296">
        <v>-66.3</v>
      </c>
      <c r="AD296">
        <v>-20.7</v>
      </c>
      <c r="AE296">
        <v>74.7</v>
      </c>
      <c r="AF296">
        <v>20.100000000000001</v>
      </c>
      <c r="AG296">
        <v>53.5</v>
      </c>
    </row>
    <row r="297" spans="28:33" x14ac:dyDescent="0.35">
      <c r="AB297">
        <v>294</v>
      </c>
      <c r="AC297">
        <v>-65</v>
      </c>
      <c r="AD297">
        <v>-20.8</v>
      </c>
      <c r="AE297">
        <v>40.1</v>
      </c>
      <c r="AF297">
        <v>14.5</v>
      </c>
      <c r="AG297">
        <v>53.4</v>
      </c>
    </row>
    <row r="298" spans="28:33" x14ac:dyDescent="0.35">
      <c r="AB298">
        <v>295</v>
      </c>
      <c r="AC298">
        <v>-63.7</v>
      </c>
      <c r="AD298">
        <v>-20.9</v>
      </c>
      <c r="AE298">
        <v>25.6</v>
      </c>
      <c r="AF298">
        <v>11.3</v>
      </c>
      <c r="AG298">
        <v>53</v>
      </c>
    </row>
    <row r="299" spans="28:33" x14ac:dyDescent="0.35">
      <c r="AB299">
        <v>296</v>
      </c>
      <c r="AC299">
        <v>-62.4</v>
      </c>
      <c r="AD299">
        <v>-21</v>
      </c>
      <c r="AE299">
        <v>23.7</v>
      </c>
      <c r="AF299">
        <v>10.4</v>
      </c>
      <c r="AG299">
        <v>52.6</v>
      </c>
    </row>
    <row r="300" spans="28:33" x14ac:dyDescent="0.35">
      <c r="AB300">
        <v>297</v>
      </c>
      <c r="AC300">
        <v>-61.2</v>
      </c>
      <c r="AD300">
        <v>-21</v>
      </c>
      <c r="AE300">
        <v>52.5</v>
      </c>
      <c r="AF300">
        <v>15.8</v>
      </c>
      <c r="AG300">
        <v>52.6</v>
      </c>
    </row>
    <row r="301" spans="28:33" x14ac:dyDescent="0.35">
      <c r="AB301">
        <v>298</v>
      </c>
      <c r="AC301">
        <v>-60</v>
      </c>
      <c r="AD301">
        <v>-21.1</v>
      </c>
      <c r="AE301">
        <v>112.3</v>
      </c>
      <c r="AF301">
        <v>33.9</v>
      </c>
      <c r="AG301">
        <v>52.8</v>
      </c>
    </row>
    <row r="302" spans="28:33" x14ac:dyDescent="0.35">
      <c r="AB302">
        <v>299</v>
      </c>
      <c r="AC302">
        <v>-58.8</v>
      </c>
      <c r="AD302">
        <v>-21.1</v>
      </c>
      <c r="AE302">
        <v>133.9</v>
      </c>
      <c r="AF302">
        <v>42</v>
      </c>
      <c r="AG302">
        <v>53.8</v>
      </c>
    </row>
    <row r="303" spans="28:33" x14ac:dyDescent="0.35">
      <c r="AB303">
        <v>300</v>
      </c>
      <c r="AC303">
        <v>-57.8</v>
      </c>
      <c r="AD303">
        <v>-21.1</v>
      </c>
      <c r="AE303">
        <v>99.9</v>
      </c>
      <c r="AF303">
        <v>42.2</v>
      </c>
      <c r="AG303">
        <v>54.9</v>
      </c>
    </row>
    <row r="304" spans="28:33" x14ac:dyDescent="0.35">
      <c r="AB304">
        <v>301</v>
      </c>
      <c r="AC304">
        <v>-56.9</v>
      </c>
      <c r="AD304">
        <v>-21.2</v>
      </c>
      <c r="AE304">
        <v>52.2</v>
      </c>
      <c r="AF304">
        <v>42.2</v>
      </c>
      <c r="AG304">
        <v>54.7</v>
      </c>
    </row>
    <row r="305" spans="28:33" x14ac:dyDescent="0.35">
      <c r="AB305">
        <v>302</v>
      </c>
      <c r="AC305">
        <v>-56.1</v>
      </c>
      <c r="AD305">
        <v>-21.2</v>
      </c>
      <c r="AE305">
        <v>26.2</v>
      </c>
      <c r="AF305">
        <v>42.2</v>
      </c>
      <c r="AG305">
        <v>54.4</v>
      </c>
    </row>
    <row r="306" spans="28:33" x14ac:dyDescent="0.35">
      <c r="AB306">
        <v>303</v>
      </c>
      <c r="AC306">
        <v>-55.4</v>
      </c>
      <c r="AD306">
        <v>-21.2</v>
      </c>
      <c r="AE306">
        <v>13.8</v>
      </c>
      <c r="AF306">
        <v>42.3</v>
      </c>
      <c r="AG306">
        <v>54.7</v>
      </c>
    </row>
    <row r="307" spans="28:33" x14ac:dyDescent="0.35">
      <c r="AB307">
        <v>304</v>
      </c>
      <c r="AC307">
        <v>-54.6</v>
      </c>
      <c r="AD307">
        <v>-21.2</v>
      </c>
      <c r="AE307">
        <v>6.5</v>
      </c>
      <c r="AF307">
        <v>42.4</v>
      </c>
      <c r="AG307">
        <v>55</v>
      </c>
    </row>
    <row r="308" spans="28:33" x14ac:dyDescent="0.35">
      <c r="AB308">
        <v>305</v>
      </c>
      <c r="AC308">
        <v>-53.9</v>
      </c>
      <c r="AD308">
        <v>-21.1</v>
      </c>
      <c r="AE308">
        <v>1.9</v>
      </c>
      <c r="AF308">
        <v>42.3</v>
      </c>
      <c r="AG308">
        <v>55.1</v>
      </c>
    </row>
    <row r="309" spans="28:33" x14ac:dyDescent="0.35">
      <c r="AB309">
        <v>306</v>
      </c>
      <c r="AC309">
        <v>-53.2</v>
      </c>
      <c r="AD309">
        <v>-21.1</v>
      </c>
      <c r="AE309">
        <v>-1.4</v>
      </c>
      <c r="AF309">
        <v>42.3</v>
      </c>
      <c r="AG309">
        <v>55.1</v>
      </c>
    </row>
    <row r="310" spans="28:33" x14ac:dyDescent="0.35">
      <c r="AB310">
        <v>307</v>
      </c>
      <c r="AC310">
        <v>-52.6</v>
      </c>
      <c r="AD310">
        <v>-21.1</v>
      </c>
      <c r="AE310">
        <v>-3.8</v>
      </c>
      <c r="AF310">
        <v>42.2</v>
      </c>
      <c r="AG310">
        <v>54.6</v>
      </c>
    </row>
    <row r="311" spans="28:33" x14ac:dyDescent="0.35">
      <c r="AB311">
        <v>308</v>
      </c>
      <c r="AC311">
        <v>-52.1</v>
      </c>
      <c r="AD311">
        <v>-21.1</v>
      </c>
      <c r="AE311">
        <v>-5.5</v>
      </c>
      <c r="AF311">
        <v>42.1</v>
      </c>
      <c r="AG311">
        <v>55.1</v>
      </c>
    </row>
    <row r="312" spans="28:33" x14ac:dyDescent="0.35">
      <c r="AB312">
        <v>309</v>
      </c>
      <c r="AC312">
        <v>-51.5</v>
      </c>
      <c r="AD312">
        <v>-21</v>
      </c>
      <c r="AE312">
        <v>-6.9</v>
      </c>
      <c r="AF312">
        <v>42.3</v>
      </c>
      <c r="AG312">
        <v>55.1</v>
      </c>
    </row>
    <row r="313" spans="28:33" x14ac:dyDescent="0.35">
      <c r="AB313">
        <v>310</v>
      </c>
      <c r="AC313">
        <v>-50.9</v>
      </c>
      <c r="AD313">
        <v>-21</v>
      </c>
      <c r="AE313">
        <v>-8</v>
      </c>
      <c r="AF313">
        <v>42.2</v>
      </c>
      <c r="AG313">
        <v>54.6</v>
      </c>
    </row>
    <row r="314" spans="28:33" x14ac:dyDescent="0.35">
      <c r="AB314">
        <v>311</v>
      </c>
      <c r="AC314">
        <v>-50.2</v>
      </c>
      <c r="AD314">
        <v>-21</v>
      </c>
      <c r="AE314">
        <v>-9</v>
      </c>
      <c r="AF314">
        <v>40.9</v>
      </c>
      <c r="AG314">
        <v>54.3</v>
      </c>
    </row>
    <row r="315" spans="28:33" x14ac:dyDescent="0.35">
      <c r="AB315">
        <v>312</v>
      </c>
      <c r="AC315">
        <v>-49.7</v>
      </c>
      <c r="AD315">
        <v>-20.9</v>
      </c>
      <c r="AE315">
        <v>-9.6999999999999993</v>
      </c>
      <c r="AF315">
        <v>29.1</v>
      </c>
      <c r="AG315">
        <v>53.8</v>
      </c>
    </row>
    <row r="316" spans="28:33" x14ac:dyDescent="0.35">
      <c r="AB316">
        <v>313</v>
      </c>
      <c r="AC316">
        <v>-49.2</v>
      </c>
      <c r="AD316">
        <v>-20.9</v>
      </c>
      <c r="AE316">
        <v>-10.4</v>
      </c>
      <c r="AF316">
        <v>21.5</v>
      </c>
      <c r="AG316">
        <v>53</v>
      </c>
    </row>
    <row r="317" spans="28:33" x14ac:dyDescent="0.35">
      <c r="AB317">
        <v>314</v>
      </c>
      <c r="AC317">
        <v>-48.6</v>
      </c>
      <c r="AD317">
        <v>-20.8</v>
      </c>
      <c r="AE317">
        <v>-10.9</v>
      </c>
      <c r="AF317">
        <v>18.600000000000001</v>
      </c>
      <c r="AG317">
        <v>53.4</v>
      </c>
    </row>
    <row r="318" spans="28:33" x14ac:dyDescent="0.35">
      <c r="AB318">
        <v>315</v>
      </c>
      <c r="AC318">
        <v>-48.1</v>
      </c>
      <c r="AD318">
        <v>-20.8</v>
      </c>
      <c r="AE318">
        <v>-11.7</v>
      </c>
      <c r="AF318">
        <v>8.9</v>
      </c>
      <c r="AG318">
        <v>53.8</v>
      </c>
    </row>
    <row r="319" spans="28:33" x14ac:dyDescent="0.35">
      <c r="AB319">
        <v>316</v>
      </c>
      <c r="AC319">
        <v>-47.5</v>
      </c>
      <c r="AD319">
        <v>-20.7</v>
      </c>
      <c r="AE319">
        <v>-12.4</v>
      </c>
      <c r="AF319">
        <v>8.4</v>
      </c>
      <c r="AG319">
        <v>53.9</v>
      </c>
    </row>
    <row r="320" spans="28:33" x14ac:dyDescent="0.35">
      <c r="AB320">
        <v>317</v>
      </c>
      <c r="AC320">
        <v>-47</v>
      </c>
      <c r="AD320">
        <v>-20.7</v>
      </c>
      <c r="AE320">
        <v>-12.8</v>
      </c>
      <c r="AF320">
        <v>8.5</v>
      </c>
      <c r="AG320">
        <v>54.7</v>
      </c>
    </row>
    <row r="321" spans="28:33" x14ac:dyDescent="0.35">
      <c r="AB321">
        <v>318</v>
      </c>
      <c r="AC321">
        <v>-46.5</v>
      </c>
      <c r="AD321">
        <v>-20.6</v>
      </c>
      <c r="AE321">
        <v>-13.2</v>
      </c>
      <c r="AF321">
        <v>8.6</v>
      </c>
      <c r="AG321">
        <v>55.5</v>
      </c>
    </row>
    <row r="322" spans="28:33" x14ac:dyDescent="0.35">
      <c r="AB322">
        <v>319</v>
      </c>
      <c r="AC322">
        <v>-46.1</v>
      </c>
      <c r="AD322">
        <v>-20.6</v>
      </c>
      <c r="AE322">
        <v>-13.5</v>
      </c>
      <c r="AF322">
        <v>8.6</v>
      </c>
      <c r="AG322">
        <v>55.6</v>
      </c>
    </row>
    <row r="323" spans="28:33" x14ac:dyDescent="0.35">
      <c r="AB323">
        <v>320</v>
      </c>
      <c r="AC323">
        <v>-45.6</v>
      </c>
      <c r="AD323">
        <v>-20.5</v>
      </c>
      <c r="AE323">
        <v>-13.7</v>
      </c>
      <c r="AF323">
        <v>8.8000000000000007</v>
      </c>
      <c r="AG323">
        <v>55.7</v>
      </c>
    </row>
    <row r="324" spans="28:33" x14ac:dyDescent="0.35">
      <c r="AB324">
        <v>321</v>
      </c>
      <c r="AC324">
        <v>-45.1</v>
      </c>
      <c r="AD324">
        <v>-20.5</v>
      </c>
      <c r="AE324">
        <v>-13.9</v>
      </c>
      <c r="AF324">
        <v>8.9</v>
      </c>
      <c r="AG324">
        <v>55.8</v>
      </c>
    </row>
    <row r="325" spans="28:33" x14ac:dyDescent="0.35">
      <c r="AB325">
        <v>322</v>
      </c>
      <c r="AC325">
        <v>-44.6</v>
      </c>
      <c r="AD325">
        <v>-20.399999999999999</v>
      </c>
      <c r="AE325">
        <v>-14.1</v>
      </c>
      <c r="AF325">
        <v>8.9</v>
      </c>
      <c r="AG325">
        <v>55.3</v>
      </c>
    </row>
    <row r="326" spans="28:33" x14ac:dyDescent="0.35">
      <c r="AB326">
        <v>323</v>
      </c>
      <c r="AC326">
        <v>-44.1</v>
      </c>
      <c r="AD326">
        <v>-20.3</v>
      </c>
      <c r="AE326">
        <v>-14.3</v>
      </c>
      <c r="AF326">
        <v>9</v>
      </c>
      <c r="AG326">
        <v>54.3</v>
      </c>
    </row>
    <row r="327" spans="28:33" x14ac:dyDescent="0.35">
      <c r="AB327">
        <v>324</v>
      </c>
      <c r="AC327">
        <v>-43.5</v>
      </c>
      <c r="AD327">
        <v>-20.3</v>
      </c>
      <c r="AE327">
        <v>-14.5</v>
      </c>
      <c r="AF327">
        <v>9.1999999999999993</v>
      </c>
      <c r="AG327">
        <v>54</v>
      </c>
    </row>
    <row r="328" spans="28:33" x14ac:dyDescent="0.35">
      <c r="AB328">
        <v>325</v>
      </c>
      <c r="AC328">
        <v>-43</v>
      </c>
      <c r="AD328">
        <v>-20.2</v>
      </c>
      <c r="AE328">
        <v>-14.6</v>
      </c>
      <c r="AF328">
        <v>9.1999999999999993</v>
      </c>
      <c r="AG328">
        <v>53.9</v>
      </c>
    </row>
    <row r="329" spans="28:33" x14ac:dyDescent="0.35">
      <c r="AB329">
        <v>326</v>
      </c>
      <c r="AC329">
        <v>-42.5</v>
      </c>
      <c r="AD329">
        <v>-20.100000000000001</v>
      </c>
      <c r="AE329">
        <v>-14.7</v>
      </c>
      <c r="AF329">
        <v>9.3000000000000007</v>
      </c>
      <c r="AG329">
        <v>54.1</v>
      </c>
    </row>
    <row r="330" spans="28:33" x14ac:dyDescent="0.35">
      <c r="AB330">
        <v>327</v>
      </c>
      <c r="AC330">
        <v>-42</v>
      </c>
      <c r="AD330">
        <v>-20.100000000000001</v>
      </c>
      <c r="AE330">
        <v>-14.9</v>
      </c>
      <c r="AF330">
        <v>9.4</v>
      </c>
      <c r="AG330">
        <v>54.2</v>
      </c>
    </row>
    <row r="331" spans="28:33" x14ac:dyDescent="0.35">
      <c r="AB331">
        <v>328</v>
      </c>
      <c r="AC331">
        <v>-41.5</v>
      </c>
      <c r="AD331">
        <v>-20</v>
      </c>
      <c r="AE331">
        <v>-15</v>
      </c>
      <c r="AF331">
        <v>9.5</v>
      </c>
      <c r="AG331">
        <v>54</v>
      </c>
    </row>
    <row r="332" spans="28:33" x14ac:dyDescent="0.35">
      <c r="AB332">
        <v>329</v>
      </c>
      <c r="AC332">
        <v>-41.1</v>
      </c>
      <c r="AD332">
        <v>-20</v>
      </c>
      <c r="AE332">
        <v>-15.1</v>
      </c>
      <c r="AF332">
        <v>9.6</v>
      </c>
      <c r="AG332">
        <v>54</v>
      </c>
    </row>
    <row r="333" spans="28:33" x14ac:dyDescent="0.35">
      <c r="AB333">
        <v>330</v>
      </c>
      <c r="AC333">
        <v>-40.700000000000003</v>
      </c>
      <c r="AD333">
        <v>-19.899999999999999</v>
      </c>
      <c r="AE333">
        <v>-15.2</v>
      </c>
      <c r="AF333">
        <v>9.6999999999999993</v>
      </c>
      <c r="AG333">
        <v>54.4</v>
      </c>
    </row>
    <row r="334" spans="28:33" x14ac:dyDescent="0.35">
      <c r="AB334">
        <v>331</v>
      </c>
      <c r="AC334">
        <v>-40.299999999999997</v>
      </c>
      <c r="AD334">
        <v>-19.899999999999999</v>
      </c>
      <c r="AE334">
        <v>-15.2</v>
      </c>
      <c r="AF334">
        <v>9.8000000000000007</v>
      </c>
      <c r="AG334">
        <v>54.6</v>
      </c>
    </row>
    <row r="335" spans="28:33" x14ac:dyDescent="0.35">
      <c r="AB335">
        <v>332</v>
      </c>
      <c r="AC335">
        <v>-39.9</v>
      </c>
      <c r="AD335">
        <v>-19.8</v>
      </c>
      <c r="AE335">
        <v>-15.3</v>
      </c>
      <c r="AF335">
        <v>9.9</v>
      </c>
      <c r="AG335">
        <v>53.9</v>
      </c>
    </row>
    <row r="336" spans="28:33" x14ac:dyDescent="0.35">
      <c r="AB336">
        <v>333</v>
      </c>
      <c r="AC336">
        <v>-39.5</v>
      </c>
      <c r="AD336">
        <v>-19.7</v>
      </c>
      <c r="AE336">
        <v>-15.4</v>
      </c>
      <c r="AF336">
        <v>9.9</v>
      </c>
      <c r="AG336">
        <v>52.3</v>
      </c>
    </row>
    <row r="337" spans="28:33" x14ac:dyDescent="0.35">
      <c r="AB337">
        <v>334</v>
      </c>
      <c r="AC337">
        <v>-39</v>
      </c>
      <c r="AD337">
        <v>-19.7</v>
      </c>
      <c r="AE337">
        <v>-15.4</v>
      </c>
      <c r="AF337">
        <v>10</v>
      </c>
      <c r="AG337">
        <v>51.6</v>
      </c>
    </row>
    <row r="338" spans="28:33" x14ac:dyDescent="0.35">
      <c r="AB338">
        <v>335</v>
      </c>
      <c r="AC338">
        <v>-38.4</v>
      </c>
      <c r="AD338">
        <v>-19.600000000000001</v>
      </c>
      <c r="AE338">
        <v>-15.5</v>
      </c>
      <c r="AF338">
        <v>10.1</v>
      </c>
      <c r="AG338">
        <v>51.5</v>
      </c>
    </row>
    <row r="339" spans="28:33" x14ac:dyDescent="0.35">
      <c r="AB339">
        <v>336</v>
      </c>
      <c r="AC339">
        <v>-37.6</v>
      </c>
      <c r="AD339">
        <v>-19.5</v>
      </c>
      <c r="AE339">
        <v>-15.5</v>
      </c>
      <c r="AF339">
        <v>10.199999999999999</v>
      </c>
      <c r="AG339">
        <v>51.9</v>
      </c>
    </row>
    <row r="340" spans="28:33" x14ac:dyDescent="0.35">
      <c r="AB340">
        <v>337</v>
      </c>
      <c r="AC340">
        <v>-36.700000000000003</v>
      </c>
      <c r="AD340">
        <v>-19.5</v>
      </c>
      <c r="AE340">
        <v>-15.5</v>
      </c>
      <c r="AF340">
        <v>10.3</v>
      </c>
      <c r="AG340">
        <v>53</v>
      </c>
    </row>
    <row r="341" spans="28:33" x14ac:dyDescent="0.35">
      <c r="AB341">
        <v>338</v>
      </c>
      <c r="AC341">
        <v>-35.6</v>
      </c>
      <c r="AD341">
        <v>-19.399999999999999</v>
      </c>
      <c r="AE341">
        <v>-15.6</v>
      </c>
      <c r="AF341">
        <v>10.3</v>
      </c>
      <c r="AG341">
        <v>53.6</v>
      </c>
    </row>
    <row r="342" spans="28:33" x14ac:dyDescent="0.35">
      <c r="AB342">
        <v>339</v>
      </c>
      <c r="AC342">
        <v>-34.200000000000003</v>
      </c>
      <c r="AD342">
        <v>-19.399999999999999</v>
      </c>
      <c r="AE342">
        <v>-15.6</v>
      </c>
      <c r="AF342">
        <v>10.4</v>
      </c>
      <c r="AG342">
        <v>53.9</v>
      </c>
    </row>
    <row r="343" spans="28:33" x14ac:dyDescent="0.35">
      <c r="AB343">
        <v>340</v>
      </c>
      <c r="AC343">
        <v>-32.200000000000003</v>
      </c>
      <c r="AD343">
        <v>-19.100000000000001</v>
      </c>
      <c r="AE343">
        <v>-15.6</v>
      </c>
      <c r="AF343">
        <v>10.5</v>
      </c>
      <c r="AG343">
        <v>54.2</v>
      </c>
    </row>
    <row r="344" spans="28:33" x14ac:dyDescent="0.35">
      <c r="AB344">
        <v>341</v>
      </c>
      <c r="AC344">
        <v>-29.6</v>
      </c>
      <c r="AD344">
        <v>-19</v>
      </c>
      <c r="AE344">
        <v>-15.6</v>
      </c>
      <c r="AF344">
        <v>10.6</v>
      </c>
      <c r="AG344">
        <v>53.9</v>
      </c>
    </row>
    <row r="345" spans="28:33" x14ac:dyDescent="0.35">
      <c r="AB345">
        <v>342</v>
      </c>
      <c r="AC345">
        <v>-26.1</v>
      </c>
      <c r="AD345">
        <v>-19</v>
      </c>
      <c r="AE345">
        <v>-15.6</v>
      </c>
      <c r="AF345">
        <v>10.7</v>
      </c>
      <c r="AG345">
        <v>53.6</v>
      </c>
    </row>
    <row r="346" spans="28:33" x14ac:dyDescent="0.35">
      <c r="AB346">
        <v>343</v>
      </c>
      <c r="AC346">
        <v>-22</v>
      </c>
      <c r="AD346">
        <v>-18.899999999999999</v>
      </c>
      <c r="AE346">
        <v>-15.6</v>
      </c>
      <c r="AF346">
        <v>10.7</v>
      </c>
      <c r="AG346">
        <v>54.1</v>
      </c>
    </row>
    <row r="347" spans="28:33" x14ac:dyDescent="0.35">
      <c r="AB347">
        <v>344</v>
      </c>
      <c r="AC347">
        <v>-17.399999999999999</v>
      </c>
      <c r="AD347">
        <v>-18.8</v>
      </c>
      <c r="AE347">
        <v>-15.6</v>
      </c>
      <c r="AF347">
        <v>10.8</v>
      </c>
      <c r="AG347">
        <v>53.9</v>
      </c>
    </row>
    <row r="348" spans="28:33" x14ac:dyDescent="0.35">
      <c r="AB348">
        <v>345</v>
      </c>
      <c r="AC348">
        <v>-11.8</v>
      </c>
      <c r="AD348">
        <v>-18.8</v>
      </c>
      <c r="AE348">
        <v>-15.6</v>
      </c>
      <c r="AF348">
        <v>10.9</v>
      </c>
      <c r="AG348">
        <v>53.6</v>
      </c>
    </row>
    <row r="349" spans="28:33" x14ac:dyDescent="0.35">
      <c r="AB349">
        <v>346</v>
      </c>
      <c r="AC349">
        <v>-2.4</v>
      </c>
      <c r="AD349">
        <v>-18.8</v>
      </c>
      <c r="AE349">
        <v>-15.6</v>
      </c>
      <c r="AF349">
        <v>11</v>
      </c>
      <c r="AG349">
        <v>53.5</v>
      </c>
    </row>
    <row r="350" spans="28:33" x14ac:dyDescent="0.35">
      <c r="AB350">
        <v>347</v>
      </c>
      <c r="AC350">
        <v>23.4</v>
      </c>
      <c r="AD350">
        <v>-18.7</v>
      </c>
      <c r="AE350">
        <v>-15.6</v>
      </c>
      <c r="AF350">
        <v>11.1</v>
      </c>
      <c r="AG350">
        <v>53.6</v>
      </c>
    </row>
    <row r="351" spans="28:33" x14ac:dyDescent="0.35">
      <c r="AB351">
        <v>348</v>
      </c>
      <c r="AC351">
        <v>50.7</v>
      </c>
      <c r="AD351">
        <v>-18.600000000000001</v>
      </c>
      <c r="AE351">
        <v>-15.6</v>
      </c>
      <c r="AF351">
        <v>11.1</v>
      </c>
      <c r="AG351">
        <v>53.9</v>
      </c>
    </row>
    <row r="352" spans="28:33" x14ac:dyDescent="0.35">
      <c r="AB352">
        <v>349</v>
      </c>
      <c r="AC352">
        <v>69.099999999999994</v>
      </c>
      <c r="AD352">
        <v>-18.600000000000001</v>
      </c>
      <c r="AE352">
        <v>-15.6</v>
      </c>
      <c r="AF352">
        <v>11.2</v>
      </c>
      <c r="AG352">
        <v>53.8</v>
      </c>
    </row>
    <row r="353" spans="28:33" x14ac:dyDescent="0.35">
      <c r="AB353">
        <v>350</v>
      </c>
      <c r="AC353">
        <v>83.2</v>
      </c>
      <c r="AD353">
        <v>-18.5</v>
      </c>
      <c r="AE353">
        <v>-15.6</v>
      </c>
      <c r="AF353">
        <v>11.3</v>
      </c>
      <c r="AG353">
        <v>53.5</v>
      </c>
    </row>
    <row r="354" spans="28:33" x14ac:dyDescent="0.35">
      <c r="AB354">
        <v>351</v>
      </c>
      <c r="AC354">
        <v>95.2</v>
      </c>
      <c r="AD354">
        <v>-18.5</v>
      </c>
      <c r="AE354">
        <v>-15.6</v>
      </c>
      <c r="AF354">
        <v>11.3</v>
      </c>
      <c r="AG354">
        <v>53.5</v>
      </c>
    </row>
    <row r="355" spans="28:33" x14ac:dyDescent="0.35">
      <c r="AB355">
        <v>352</v>
      </c>
      <c r="AC355">
        <v>106.3</v>
      </c>
      <c r="AD355">
        <v>-18.399999999999999</v>
      </c>
      <c r="AE355">
        <v>-15.5</v>
      </c>
      <c r="AF355">
        <v>11.4</v>
      </c>
      <c r="AG355">
        <v>53.8</v>
      </c>
    </row>
    <row r="356" spans="28:33" x14ac:dyDescent="0.35">
      <c r="AB356">
        <v>353</v>
      </c>
      <c r="AC356">
        <v>116.4</v>
      </c>
      <c r="AD356">
        <v>-18.399999999999999</v>
      </c>
      <c r="AE356">
        <v>-15.4</v>
      </c>
      <c r="AF356">
        <v>11.5</v>
      </c>
      <c r="AG356">
        <v>53.9</v>
      </c>
    </row>
    <row r="357" spans="28:33" x14ac:dyDescent="0.35">
      <c r="AB357">
        <v>354</v>
      </c>
      <c r="AC357">
        <v>124.5</v>
      </c>
      <c r="AD357">
        <v>-18.3</v>
      </c>
      <c r="AE357">
        <v>-15.3</v>
      </c>
      <c r="AF357">
        <v>11.5</v>
      </c>
      <c r="AG357">
        <v>53.9</v>
      </c>
    </row>
    <row r="358" spans="28:33" x14ac:dyDescent="0.35">
      <c r="AB358">
        <v>355</v>
      </c>
      <c r="AC358">
        <v>132</v>
      </c>
      <c r="AD358">
        <v>-18.3</v>
      </c>
      <c r="AE358">
        <v>-15.2</v>
      </c>
      <c r="AF358">
        <v>11.6</v>
      </c>
      <c r="AG358">
        <v>54</v>
      </c>
    </row>
    <row r="359" spans="28:33" x14ac:dyDescent="0.35">
      <c r="AB359">
        <v>356</v>
      </c>
      <c r="AC359">
        <v>140.69999999999999</v>
      </c>
      <c r="AD359">
        <v>-18.3</v>
      </c>
      <c r="AE359">
        <v>-15.2</v>
      </c>
      <c r="AF359">
        <v>11.7</v>
      </c>
      <c r="AG359">
        <v>54.2</v>
      </c>
    </row>
    <row r="360" spans="28:33" x14ac:dyDescent="0.35">
      <c r="AB360">
        <v>357</v>
      </c>
      <c r="AC360">
        <v>151.69999999999999</v>
      </c>
      <c r="AD360">
        <v>-18.2</v>
      </c>
      <c r="AE360">
        <v>-15.1</v>
      </c>
      <c r="AF360">
        <v>11.8</v>
      </c>
      <c r="AG360">
        <v>54.6</v>
      </c>
    </row>
    <row r="361" spans="28:33" x14ac:dyDescent="0.35">
      <c r="AB361">
        <v>358</v>
      </c>
      <c r="AC361">
        <v>165.5</v>
      </c>
      <c r="AD361">
        <v>-18.100000000000001</v>
      </c>
      <c r="AE361">
        <v>-15</v>
      </c>
      <c r="AF361">
        <v>11.8</v>
      </c>
      <c r="AG361">
        <v>54.4</v>
      </c>
    </row>
    <row r="362" spans="28:33" x14ac:dyDescent="0.35">
      <c r="AB362">
        <v>359</v>
      </c>
      <c r="AC362">
        <v>181.5</v>
      </c>
      <c r="AD362">
        <v>-18.100000000000001</v>
      </c>
      <c r="AE362">
        <v>-14.9</v>
      </c>
      <c r="AF362">
        <v>11.9</v>
      </c>
      <c r="AG362">
        <v>54.3</v>
      </c>
    </row>
    <row r="363" spans="28:33" x14ac:dyDescent="0.35">
      <c r="AB363">
        <v>360</v>
      </c>
      <c r="AC363">
        <v>197.9</v>
      </c>
      <c r="AD363">
        <v>-18.100000000000001</v>
      </c>
      <c r="AE363">
        <v>-14.9</v>
      </c>
      <c r="AF363">
        <v>11.9</v>
      </c>
      <c r="AG363">
        <v>54.2</v>
      </c>
    </row>
    <row r="364" spans="28:33" x14ac:dyDescent="0.35">
      <c r="AB364">
        <v>361</v>
      </c>
      <c r="AC364">
        <v>213.1</v>
      </c>
      <c r="AD364">
        <v>-18</v>
      </c>
      <c r="AE364">
        <v>-14.8</v>
      </c>
      <c r="AF364">
        <v>12</v>
      </c>
      <c r="AG364">
        <v>54.2</v>
      </c>
    </row>
    <row r="365" spans="28:33" x14ac:dyDescent="0.35">
      <c r="AB365">
        <v>362</v>
      </c>
      <c r="AC365">
        <v>227.4</v>
      </c>
      <c r="AD365">
        <v>-18</v>
      </c>
      <c r="AE365">
        <v>-14.7</v>
      </c>
      <c r="AF365">
        <v>12</v>
      </c>
      <c r="AG365">
        <v>54.3</v>
      </c>
    </row>
    <row r="366" spans="28:33" x14ac:dyDescent="0.35">
      <c r="AB366">
        <v>363</v>
      </c>
      <c r="AC366">
        <v>241.4</v>
      </c>
      <c r="AD366">
        <v>-17.899999999999999</v>
      </c>
      <c r="AE366">
        <v>-14.6</v>
      </c>
      <c r="AF366">
        <v>12.1</v>
      </c>
      <c r="AG366">
        <v>54.6</v>
      </c>
    </row>
    <row r="367" spans="28:33" x14ac:dyDescent="0.35">
      <c r="AB367">
        <v>364</v>
      </c>
      <c r="AC367">
        <v>254.5</v>
      </c>
      <c r="AD367">
        <v>-17.899999999999999</v>
      </c>
      <c r="AE367">
        <v>-14.5</v>
      </c>
      <c r="AF367">
        <v>12.2</v>
      </c>
      <c r="AG367">
        <v>54.5</v>
      </c>
    </row>
    <row r="368" spans="28:33" x14ac:dyDescent="0.35">
      <c r="AB368">
        <v>365</v>
      </c>
      <c r="AC368">
        <v>265.10000000000002</v>
      </c>
      <c r="AD368">
        <v>-17.8</v>
      </c>
      <c r="AE368">
        <v>-14.5</v>
      </c>
      <c r="AF368">
        <v>12.2</v>
      </c>
      <c r="AG368">
        <v>54.7</v>
      </c>
    </row>
    <row r="369" spans="28:33" x14ac:dyDescent="0.35">
      <c r="AB369">
        <v>366</v>
      </c>
      <c r="AC369">
        <v>274.8</v>
      </c>
      <c r="AD369">
        <v>-17.8</v>
      </c>
      <c r="AE369">
        <v>-14.4</v>
      </c>
      <c r="AF369">
        <v>12.3</v>
      </c>
      <c r="AG369">
        <v>54.1</v>
      </c>
    </row>
    <row r="370" spans="28:33" x14ac:dyDescent="0.35">
      <c r="AB370">
        <v>367</v>
      </c>
      <c r="AC370">
        <v>285.3</v>
      </c>
      <c r="AD370">
        <v>-17.7</v>
      </c>
      <c r="AE370">
        <v>-14.3</v>
      </c>
      <c r="AF370">
        <v>12.4</v>
      </c>
      <c r="AG370">
        <v>53.3</v>
      </c>
    </row>
    <row r="371" spans="28:33" x14ac:dyDescent="0.35">
      <c r="AB371">
        <v>368</v>
      </c>
      <c r="AC371">
        <v>297.5</v>
      </c>
      <c r="AD371">
        <v>-17.7</v>
      </c>
      <c r="AE371">
        <v>-14.2</v>
      </c>
      <c r="AF371">
        <v>12.4</v>
      </c>
      <c r="AG371">
        <v>53.8</v>
      </c>
    </row>
    <row r="372" spans="28:33" x14ac:dyDescent="0.35">
      <c r="AB372">
        <v>369</v>
      </c>
      <c r="AC372">
        <v>309.2</v>
      </c>
      <c r="AD372">
        <v>-17.600000000000001</v>
      </c>
      <c r="AE372">
        <v>-14.2</v>
      </c>
      <c r="AF372">
        <v>12.5</v>
      </c>
      <c r="AG372">
        <v>53.9</v>
      </c>
    </row>
    <row r="373" spans="28:33" x14ac:dyDescent="0.35">
      <c r="AB373">
        <v>370</v>
      </c>
      <c r="AC373">
        <v>319.2</v>
      </c>
      <c r="AD373">
        <v>-17.600000000000001</v>
      </c>
      <c r="AE373">
        <v>-14.1</v>
      </c>
      <c r="AF373">
        <v>12.5</v>
      </c>
      <c r="AG373">
        <v>53.8</v>
      </c>
    </row>
    <row r="374" spans="28:33" x14ac:dyDescent="0.35">
      <c r="AB374">
        <v>371</v>
      </c>
      <c r="AC374">
        <v>328.3</v>
      </c>
      <c r="AD374">
        <v>-17.600000000000001</v>
      </c>
      <c r="AE374">
        <v>-14</v>
      </c>
      <c r="AF374">
        <v>12.6</v>
      </c>
      <c r="AG374">
        <v>54.5</v>
      </c>
    </row>
    <row r="375" spans="28:33" x14ac:dyDescent="0.35">
      <c r="AB375">
        <v>372</v>
      </c>
      <c r="AC375">
        <v>339.3</v>
      </c>
      <c r="AD375">
        <v>-17.5</v>
      </c>
      <c r="AE375">
        <v>-14</v>
      </c>
      <c r="AF375">
        <v>12.6</v>
      </c>
      <c r="AG375">
        <v>55.4</v>
      </c>
    </row>
    <row r="376" spans="28:33" x14ac:dyDescent="0.35">
      <c r="AB376">
        <v>373</v>
      </c>
      <c r="AC376">
        <v>352.8</v>
      </c>
      <c r="AD376">
        <v>-17.5</v>
      </c>
      <c r="AE376">
        <v>-13.9</v>
      </c>
      <c r="AF376">
        <v>12.7</v>
      </c>
      <c r="AG376">
        <v>54.6</v>
      </c>
    </row>
    <row r="377" spans="28:33" x14ac:dyDescent="0.35">
      <c r="AB377">
        <v>374</v>
      </c>
      <c r="AC377">
        <v>367.1</v>
      </c>
      <c r="AD377">
        <v>-17.5</v>
      </c>
      <c r="AE377">
        <v>-13.8</v>
      </c>
      <c r="AF377">
        <v>12.7</v>
      </c>
      <c r="AG377">
        <v>53.9</v>
      </c>
    </row>
    <row r="378" spans="28:33" x14ac:dyDescent="0.35">
      <c r="AB378">
        <v>375</v>
      </c>
      <c r="AC378">
        <v>379.8</v>
      </c>
      <c r="AD378">
        <v>-17.399999999999999</v>
      </c>
      <c r="AE378">
        <v>-13.7</v>
      </c>
      <c r="AF378">
        <v>12.8</v>
      </c>
      <c r="AG378">
        <v>53.7</v>
      </c>
    </row>
    <row r="379" spans="28:33" x14ac:dyDescent="0.35">
      <c r="AB379">
        <v>376</v>
      </c>
      <c r="AC379">
        <v>391</v>
      </c>
      <c r="AD379">
        <v>-17.399999999999999</v>
      </c>
      <c r="AE379">
        <v>-13.7</v>
      </c>
      <c r="AF379">
        <v>12.9</v>
      </c>
      <c r="AG379">
        <v>54.2</v>
      </c>
    </row>
    <row r="380" spans="28:33" x14ac:dyDescent="0.35">
      <c r="AB380">
        <v>377</v>
      </c>
      <c r="AC380">
        <v>400.3</v>
      </c>
      <c r="AD380">
        <v>-17.3</v>
      </c>
      <c r="AE380">
        <v>-13.6</v>
      </c>
      <c r="AF380">
        <v>12.9</v>
      </c>
      <c r="AG380">
        <v>54.7</v>
      </c>
    </row>
    <row r="381" spans="28:33" x14ac:dyDescent="0.35">
      <c r="AB381">
        <v>378</v>
      </c>
      <c r="AC381">
        <v>408.6</v>
      </c>
      <c r="AD381">
        <v>-17.3</v>
      </c>
      <c r="AE381">
        <v>-13.6</v>
      </c>
      <c r="AF381">
        <v>13</v>
      </c>
      <c r="AG381">
        <v>54.7</v>
      </c>
    </row>
    <row r="382" spans="28:33" x14ac:dyDescent="0.35">
      <c r="AB382">
        <v>379</v>
      </c>
      <c r="AC382">
        <v>418.7</v>
      </c>
      <c r="AD382">
        <v>-17.2</v>
      </c>
      <c r="AE382">
        <v>-13.5</v>
      </c>
      <c r="AF382">
        <v>13</v>
      </c>
      <c r="AG382">
        <v>54.7</v>
      </c>
    </row>
    <row r="383" spans="28:33" x14ac:dyDescent="0.35">
      <c r="AB383">
        <v>380</v>
      </c>
      <c r="AC383">
        <v>433</v>
      </c>
      <c r="AD383">
        <v>-17.2</v>
      </c>
      <c r="AE383">
        <v>-13.4</v>
      </c>
      <c r="AF383">
        <v>13.1</v>
      </c>
      <c r="AG383">
        <v>54.8</v>
      </c>
    </row>
    <row r="384" spans="28:33" x14ac:dyDescent="0.35">
      <c r="AB384">
        <v>381</v>
      </c>
      <c r="AC384">
        <v>448.8</v>
      </c>
      <c r="AD384">
        <v>-17.2</v>
      </c>
      <c r="AE384">
        <v>-13.3</v>
      </c>
      <c r="AF384">
        <v>13.1</v>
      </c>
      <c r="AG384">
        <v>54.8</v>
      </c>
    </row>
    <row r="385" spans="28:33" x14ac:dyDescent="0.35">
      <c r="AB385">
        <v>382</v>
      </c>
      <c r="AC385">
        <v>463.2</v>
      </c>
      <c r="AD385">
        <v>-17.100000000000001</v>
      </c>
      <c r="AE385">
        <v>-13.3</v>
      </c>
      <c r="AF385">
        <v>13.2</v>
      </c>
      <c r="AG385">
        <v>54.8</v>
      </c>
    </row>
    <row r="386" spans="28:33" x14ac:dyDescent="0.35">
      <c r="AB386">
        <v>383</v>
      </c>
      <c r="AC386">
        <v>475.3</v>
      </c>
      <c r="AD386">
        <v>-17.100000000000001</v>
      </c>
      <c r="AE386">
        <v>-13.2</v>
      </c>
      <c r="AF386">
        <v>13.2</v>
      </c>
      <c r="AG386">
        <v>55</v>
      </c>
    </row>
    <row r="387" spans="28:33" x14ac:dyDescent="0.35">
      <c r="AB387">
        <v>384</v>
      </c>
      <c r="AC387">
        <v>485.8</v>
      </c>
      <c r="AD387">
        <v>-17.100000000000001</v>
      </c>
      <c r="AE387">
        <v>-13.2</v>
      </c>
      <c r="AF387">
        <v>13.3</v>
      </c>
      <c r="AG387">
        <v>55.2</v>
      </c>
    </row>
    <row r="388" spans="28:33" x14ac:dyDescent="0.35">
      <c r="AB388">
        <v>385</v>
      </c>
      <c r="AC388">
        <v>495.9</v>
      </c>
      <c r="AD388">
        <v>-17.100000000000001</v>
      </c>
      <c r="AE388">
        <v>-13.1</v>
      </c>
      <c r="AF388">
        <v>13.3</v>
      </c>
      <c r="AG388">
        <v>55.7</v>
      </c>
    </row>
    <row r="389" spans="28:33" x14ac:dyDescent="0.35">
      <c r="AB389">
        <v>386</v>
      </c>
      <c r="AC389">
        <v>505.2</v>
      </c>
      <c r="AD389">
        <v>-17</v>
      </c>
      <c r="AE389">
        <v>-13</v>
      </c>
      <c r="AF389">
        <v>13.3</v>
      </c>
      <c r="AG389">
        <v>55.7</v>
      </c>
    </row>
    <row r="390" spans="28:33" x14ac:dyDescent="0.35">
      <c r="AB390">
        <v>387</v>
      </c>
      <c r="AC390">
        <v>514</v>
      </c>
      <c r="AD390">
        <v>-17</v>
      </c>
      <c r="AE390">
        <v>-13</v>
      </c>
      <c r="AF390">
        <v>13.4</v>
      </c>
      <c r="AG390">
        <v>54</v>
      </c>
    </row>
    <row r="391" spans="28:33" x14ac:dyDescent="0.35">
      <c r="AB391">
        <v>388</v>
      </c>
      <c r="AC391">
        <v>523.1</v>
      </c>
      <c r="AD391">
        <v>-16.899999999999999</v>
      </c>
      <c r="AE391">
        <v>-13</v>
      </c>
      <c r="AF391">
        <v>13.4</v>
      </c>
      <c r="AG391">
        <v>53.1</v>
      </c>
    </row>
    <row r="392" spans="28:33" x14ac:dyDescent="0.35">
      <c r="AB392">
        <v>389</v>
      </c>
      <c r="AC392">
        <v>534.5</v>
      </c>
      <c r="AD392">
        <v>-16.899999999999999</v>
      </c>
      <c r="AE392">
        <v>-12.9</v>
      </c>
      <c r="AF392">
        <v>13.5</v>
      </c>
      <c r="AG392">
        <v>52.6</v>
      </c>
    </row>
    <row r="393" spans="28:33" x14ac:dyDescent="0.35">
      <c r="AB393">
        <v>390</v>
      </c>
      <c r="AC393">
        <v>544.29999999999995</v>
      </c>
      <c r="AD393">
        <v>-16.899999999999999</v>
      </c>
      <c r="AE393">
        <v>-12.8</v>
      </c>
      <c r="AF393">
        <v>13.5</v>
      </c>
      <c r="AG393">
        <v>52.2</v>
      </c>
    </row>
    <row r="394" spans="28:33" x14ac:dyDescent="0.35">
      <c r="AB394">
        <v>391</v>
      </c>
      <c r="AC394">
        <v>550.1</v>
      </c>
      <c r="AD394">
        <v>-16.8</v>
      </c>
      <c r="AE394">
        <v>-12.8</v>
      </c>
      <c r="AF394">
        <v>13.6</v>
      </c>
      <c r="AG394">
        <v>51.1</v>
      </c>
    </row>
    <row r="395" spans="28:33" x14ac:dyDescent="0.35">
      <c r="AB395">
        <v>392</v>
      </c>
      <c r="AC395">
        <v>551.79999999999995</v>
      </c>
      <c r="AD395">
        <v>-16.8</v>
      </c>
      <c r="AE395">
        <v>-12.7</v>
      </c>
      <c r="AF395">
        <v>13.6</v>
      </c>
      <c r="AG395">
        <v>50.7</v>
      </c>
    </row>
    <row r="396" spans="28:33" x14ac:dyDescent="0.35">
      <c r="AB396">
        <v>393</v>
      </c>
      <c r="AC396">
        <v>553.1</v>
      </c>
      <c r="AD396">
        <v>-16.8</v>
      </c>
      <c r="AE396">
        <v>-12.7</v>
      </c>
      <c r="AF396">
        <v>13.6</v>
      </c>
      <c r="AG396">
        <v>50.8</v>
      </c>
    </row>
    <row r="397" spans="28:33" x14ac:dyDescent="0.35">
      <c r="AB397">
        <v>394</v>
      </c>
      <c r="AC397">
        <v>555.1</v>
      </c>
      <c r="AD397">
        <v>-16.7</v>
      </c>
      <c r="AE397">
        <v>-12.6</v>
      </c>
      <c r="AF397">
        <v>13.7</v>
      </c>
      <c r="AG397">
        <v>50.9</v>
      </c>
    </row>
    <row r="398" spans="28:33" x14ac:dyDescent="0.35">
      <c r="AB398">
        <v>395</v>
      </c>
      <c r="AC398">
        <v>557.9</v>
      </c>
      <c r="AD398">
        <v>-16.7</v>
      </c>
      <c r="AE398">
        <v>-12.6</v>
      </c>
      <c r="AF398">
        <v>13.7</v>
      </c>
      <c r="AG398">
        <v>50.9</v>
      </c>
    </row>
    <row r="399" spans="28:33" x14ac:dyDescent="0.35">
      <c r="AB399">
        <v>396</v>
      </c>
      <c r="AC399">
        <v>560.5</v>
      </c>
      <c r="AD399">
        <v>-16.7</v>
      </c>
      <c r="AE399">
        <v>-12.5</v>
      </c>
      <c r="AF399">
        <v>13.8</v>
      </c>
      <c r="AG399">
        <v>50.9</v>
      </c>
    </row>
    <row r="400" spans="28:33" x14ac:dyDescent="0.35">
      <c r="AB400">
        <v>397</v>
      </c>
      <c r="AC400">
        <v>562.79999999999995</v>
      </c>
      <c r="AD400">
        <v>-16.600000000000001</v>
      </c>
      <c r="AE400">
        <v>-12.5</v>
      </c>
      <c r="AF400">
        <v>13.8</v>
      </c>
      <c r="AG400">
        <v>51</v>
      </c>
    </row>
    <row r="401" spans="28:33" x14ac:dyDescent="0.35">
      <c r="AB401">
        <v>398</v>
      </c>
      <c r="AC401">
        <v>565.1</v>
      </c>
      <c r="AD401">
        <v>-16.600000000000001</v>
      </c>
      <c r="AE401">
        <v>-12.4</v>
      </c>
      <c r="AF401">
        <v>13.8</v>
      </c>
      <c r="AG401">
        <v>51</v>
      </c>
    </row>
    <row r="402" spans="28:33" x14ac:dyDescent="0.35">
      <c r="AB402">
        <v>399</v>
      </c>
      <c r="AC402">
        <v>564.9</v>
      </c>
      <c r="AD402">
        <v>-16.600000000000001</v>
      </c>
      <c r="AE402">
        <v>-12.3</v>
      </c>
      <c r="AF402">
        <v>13.9</v>
      </c>
      <c r="AG402">
        <v>50.4</v>
      </c>
    </row>
    <row r="403" spans="28:33" x14ac:dyDescent="0.35">
      <c r="AB403">
        <v>400</v>
      </c>
      <c r="AC403">
        <v>564.20000000000005</v>
      </c>
      <c r="AD403">
        <v>-16.600000000000001</v>
      </c>
      <c r="AE403">
        <v>-12.3</v>
      </c>
      <c r="AF403">
        <v>14</v>
      </c>
      <c r="AG403">
        <v>50.2</v>
      </c>
    </row>
    <row r="404" spans="28:33" x14ac:dyDescent="0.35">
      <c r="AB404">
        <v>401</v>
      </c>
      <c r="AC404">
        <v>562.4</v>
      </c>
      <c r="AD404">
        <v>-16.5</v>
      </c>
      <c r="AE404">
        <v>-12.2</v>
      </c>
      <c r="AF404">
        <v>14</v>
      </c>
      <c r="AG404">
        <v>50.2</v>
      </c>
    </row>
    <row r="405" spans="28:33" x14ac:dyDescent="0.35">
      <c r="AB405">
        <v>402</v>
      </c>
      <c r="AC405">
        <v>563.9</v>
      </c>
      <c r="AD405">
        <v>-16.5</v>
      </c>
      <c r="AE405">
        <v>-12.2</v>
      </c>
      <c r="AF405">
        <v>14</v>
      </c>
      <c r="AG405">
        <v>50</v>
      </c>
    </row>
    <row r="406" spans="28:33" x14ac:dyDescent="0.35">
      <c r="AB406">
        <v>403</v>
      </c>
      <c r="AC406">
        <v>568.70000000000005</v>
      </c>
      <c r="AD406">
        <v>-16.399999999999999</v>
      </c>
      <c r="AE406">
        <v>-12.1</v>
      </c>
      <c r="AF406">
        <v>14.1</v>
      </c>
      <c r="AG406">
        <v>49.5</v>
      </c>
    </row>
    <row r="407" spans="28:33" x14ac:dyDescent="0.35">
      <c r="AB407">
        <v>404</v>
      </c>
      <c r="AC407">
        <v>572.4</v>
      </c>
      <c r="AD407">
        <v>-16.399999999999999</v>
      </c>
      <c r="AE407">
        <v>-12.1</v>
      </c>
      <c r="AF407">
        <v>14.1</v>
      </c>
      <c r="AG407">
        <v>48.6</v>
      </c>
    </row>
    <row r="408" spans="28:33" x14ac:dyDescent="0.35">
      <c r="AB408">
        <v>405</v>
      </c>
      <c r="AC408">
        <v>578</v>
      </c>
      <c r="AD408">
        <v>-16.399999999999999</v>
      </c>
      <c r="AE408">
        <v>-12</v>
      </c>
      <c r="AF408">
        <v>14.1</v>
      </c>
      <c r="AG408">
        <v>48.1</v>
      </c>
    </row>
    <row r="409" spans="28:33" x14ac:dyDescent="0.35">
      <c r="AB409">
        <v>406</v>
      </c>
      <c r="AC409">
        <v>586.20000000000005</v>
      </c>
      <c r="AD409">
        <v>-16.399999999999999</v>
      </c>
      <c r="AE409">
        <v>-12</v>
      </c>
      <c r="AF409">
        <v>14.2</v>
      </c>
      <c r="AG409">
        <v>48.4</v>
      </c>
    </row>
    <row r="410" spans="28:33" x14ac:dyDescent="0.35">
      <c r="AB410">
        <v>407</v>
      </c>
      <c r="AC410">
        <v>589</v>
      </c>
      <c r="AD410">
        <v>-16.3</v>
      </c>
      <c r="AE410">
        <v>-11.9</v>
      </c>
      <c r="AF410">
        <v>14.2</v>
      </c>
      <c r="AG410">
        <v>48.8</v>
      </c>
    </row>
    <row r="411" spans="28:33" x14ac:dyDescent="0.35">
      <c r="AB411">
        <v>408</v>
      </c>
      <c r="AC411">
        <v>581.5</v>
      </c>
      <c r="AD411">
        <v>-16.3</v>
      </c>
      <c r="AE411">
        <v>-11.9</v>
      </c>
      <c r="AF411">
        <v>14.2</v>
      </c>
      <c r="AG411">
        <v>49.2</v>
      </c>
    </row>
    <row r="412" spans="28:33" x14ac:dyDescent="0.35">
      <c r="AB412">
        <v>409</v>
      </c>
      <c r="AC412">
        <v>575.9</v>
      </c>
      <c r="AD412">
        <v>-16.3</v>
      </c>
      <c r="AE412">
        <v>-11.8</v>
      </c>
      <c r="AF412">
        <v>14.3</v>
      </c>
      <c r="AG412">
        <v>49.3</v>
      </c>
    </row>
    <row r="413" spans="28:33" x14ac:dyDescent="0.35">
      <c r="AB413">
        <v>410</v>
      </c>
      <c r="AC413">
        <v>577.1</v>
      </c>
      <c r="AD413">
        <v>-16.3</v>
      </c>
      <c r="AE413">
        <v>-11.8</v>
      </c>
      <c r="AF413">
        <v>14.3</v>
      </c>
      <c r="AG413">
        <v>49.4</v>
      </c>
    </row>
    <row r="414" spans="28:33" x14ac:dyDescent="0.35">
      <c r="AB414">
        <v>411</v>
      </c>
      <c r="AC414">
        <v>579.9</v>
      </c>
      <c r="AD414">
        <v>-16.2</v>
      </c>
      <c r="AE414">
        <v>-11.8</v>
      </c>
      <c r="AF414">
        <v>14.3</v>
      </c>
      <c r="AG414">
        <v>49.4</v>
      </c>
    </row>
    <row r="415" spans="28:33" x14ac:dyDescent="0.35">
      <c r="AB415">
        <v>412</v>
      </c>
      <c r="AC415">
        <v>583.1</v>
      </c>
      <c r="AD415">
        <v>-16.2</v>
      </c>
      <c r="AE415">
        <v>-11.7</v>
      </c>
      <c r="AF415">
        <v>14.4</v>
      </c>
      <c r="AG415">
        <v>49.2</v>
      </c>
    </row>
    <row r="416" spans="28:33" x14ac:dyDescent="0.35">
      <c r="AB416">
        <v>413</v>
      </c>
      <c r="AC416">
        <v>577.9</v>
      </c>
      <c r="AD416">
        <v>-16.2</v>
      </c>
      <c r="AE416">
        <v>-11.7</v>
      </c>
      <c r="AF416">
        <v>14.4</v>
      </c>
      <c r="AG416">
        <v>49.1</v>
      </c>
    </row>
    <row r="417" spans="28:33" x14ac:dyDescent="0.35">
      <c r="AB417">
        <v>414</v>
      </c>
      <c r="AC417">
        <v>575</v>
      </c>
      <c r="AD417">
        <v>-16.100000000000001</v>
      </c>
      <c r="AE417">
        <v>-11.6</v>
      </c>
      <c r="AF417">
        <v>14.4</v>
      </c>
      <c r="AG417">
        <v>48.8</v>
      </c>
    </row>
    <row r="418" spans="28:33" x14ac:dyDescent="0.35">
      <c r="AB418">
        <v>415</v>
      </c>
      <c r="AC418">
        <v>587.79999999999995</v>
      </c>
      <c r="AD418">
        <v>-16.100000000000001</v>
      </c>
      <c r="AE418">
        <v>-11.6</v>
      </c>
      <c r="AF418">
        <v>14.5</v>
      </c>
      <c r="AG418">
        <v>48.6</v>
      </c>
    </row>
    <row r="419" spans="28:33" x14ac:dyDescent="0.35">
      <c r="AB419">
        <v>416</v>
      </c>
      <c r="AC419">
        <v>594.9</v>
      </c>
      <c r="AD419">
        <v>-16.100000000000001</v>
      </c>
      <c r="AE419">
        <v>-11.5</v>
      </c>
      <c r="AF419">
        <v>14.5</v>
      </c>
      <c r="AG419">
        <v>48.7</v>
      </c>
    </row>
    <row r="420" spans="28:33" x14ac:dyDescent="0.35">
      <c r="AB420">
        <v>417</v>
      </c>
      <c r="AC420">
        <v>587.4</v>
      </c>
      <c r="AD420">
        <v>-16.100000000000001</v>
      </c>
      <c r="AE420">
        <v>-11.5</v>
      </c>
      <c r="AF420">
        <v>14.5</v>
      </c>
      <c r="AG420">
        <v>48.9</v>
      </c>
    </row>
    <row r="421" spans="28:33" x14ac:dyDescent="0.35">
      <c r="AB421">
        <v>418</v>
      </c>
      <c r="AC421">
        <v>551.29999999999995</v>
      </c>
      <c r="AD421">
        <v>-16</v>
      </c>
      <c r="AE421">
        <v>-11.4</v>
      </c>
      <c r="AF421">
        <v>14.6</v>
      </c>
      <c r="AG421">
        <v>49</v>
      </c>
    </row>
    <row r="422" spans="28:33" x14ac:dyDescent="0.35">
      <c r="AB422">
        <v>419</v>
      </c>
      <c r="AC422">
        <v>501.2</v>
      </c>
      <c r="AD422">
        <v>-16</v>
      </c>
      <c r="AE422">
        <v>-11.4</v>
      </c>
      <c r="AF422">
        <v>14.6</v>
      </c>
      <c r="AG422">
        <v>49.2</v>
      </c>
    </row>
    <row r="423" spans="28:33" x14ac:dyDescent="0.35">
      <c r="AB423">
        <v>420</v>
      </c>
      <c r="AC423">
        <v>452.1</v>
      </c>
      <c r="AD423">
        <v>-16</v>
      </c>
      <c r="AE423">
        <v>-11.4</v>
      </c>
      <c r="AF423">
        <v>14.6</v>
      </c>
      <c r="AG423">
        <v>49.6</v>
      </c>
    </row>
    <row r="424" spans="28:33" x14ac:dyDescent="0.35">
      <c r="AB424">
        <v>421</v>
      </c>
      <c r="AC424">
        <v>398.5</v>
      </c>
      <c r="AD424">
        <v>-16</v>
      </c>
      <c r="AE424">
        <v>-11.3</v>
      </c>
      <c r="AF424">
        <v>14.7</v>
      </c>
      <c r="AG424">
        <v>49.8</v>
      </c>
    </row>
    <row r="425" spans="28:33" x14ac:dyDescent="0.35">
      <c r="AB425">
        <v>422</v>
      </c>
      <c r="AC425">
        <v>311.60000000000002</v>
      </c>
      <c r="AD425">
        <v>-15.9</v>
      </c>
      <c r="AE425">
        <v>-11.3</v>
      </c>
      <c r="AF425">
        <v>14.7</v>
      </c>
      <c r="AG425">
        <v>49.9</v>
      </c>
    </row>
    <row r="426" spans="28:33" x14ac:dyDescent="0.35">
      <c r="AB426">
        <v>423</v>
      </c>
      <c r="AC426">
        <v>188.9</v>
      </c>
      <c r="AD426">
        <v>-15.9</v>
      </c>
      <c r="AE426">
        <v>-11.2</v>
      </c>
      <c r="AF426">
        <v>14.7</v>
      </c>
      <c r="AG426">
        <v>50.1</v>
      </c>
    </row>
    <row r="427" spans="28:33" x14ac:dyDescent="0.35">
      <c r="AB427">
        <v>424</v>
      </c>
      <c r="AC427">
        <v>93.3</v>
      </c>
      <c r="AD427">
        <v>-15.9</v>
      </c>
      <c r="AE427">
        <v>-11.2</v>
      </c>
      <c r="AF427">
        <v>14.8</v>
      </c>
      <c r="AG427">
        <v>49.8</v>
      </c>
    </row>
    <row r="428" spans="28:33" x14ac:dyDescent="0.35">
      <c r="AB428">
        <v>425</v>
      </c>
      <c r="AC428">
        <v>47.8</v>
      </c>
      <c r="AD428">
        <v>-15.9</v>
      </c>
      <c r="AE428">
        <v>-11.2</v>
      </c>
      <c r="AF428">
        <v>14.8</v>
      </c>
      <c r="AG428">
        <v>49.6</v>
      </c>
    </row>
    <row r="429" spans="28:33" x14ac:dyDescent="0.35">
      <c r="AB429">
        <v>426</v>
      </c>
      <c r="AC429">
        <v>29</v>
      </c>
      <c r="AD429">
        <v>-15.9</v>
      </c>
      <c r="AE429">
        <v>-11.1</v>
      </c>
      <c r="AF429">
        <v>14.8</v>
      </c>
      <c r="AG429">
        <v>49.5</v>
      </c>
    </row>
    <row r="430" spans="28:33" x14ac:dyDescent="0.35">
      <c r="AB430">
        <v>427</v>
      </c>
      <c r="AC430">
        <v>19.7</v>
      </c>
      <c r="AD430">
        <v>-15.8</v>
      </c>
      <c r="AE430">
        <v>-11.1</v>
      </c>
      <c r="AF430">
        <v>14.9</v>
      </c>
      <c r="AG430">
        <v>49.2</v>
      </c>
    </row>
    <row r="431" spans="28:33" x14ac:dyDescent="0.35">
      <c r="AB431">
        <v>428</v>
      </c>
      <c r="AC431">
        <v>16</v>
      </c>
      <c r="AD431">
        <v>-15.8</v>
      </c>
      <c r="AE431">
        <v>-11.1</v>
      </c>
      <c r="AF431">
        <v>14.9</v>
      </c>
      <c r="AG431">
        <v>49</v>
      </c>
    </row>
    <row r="432" spans="28:33" x14ac:dyDescent="0.35">
      <c r="AB432">
        <v>429</v>
      </c>
      <c r="AC432">
        <v>14.6</v>
      </c>
      <c r="AD432">
        <v>-15.8</v>
      </c>
      <c r="AE432">
        <v>-11</v>
      </c>
      <c r="AF432">
        <v>14.9</v>
      </c>
      <c r="AG432">
        <v>48.5</v>
      </c>
    </row>
    <row r="433" spans="28:33" x14ac:dyDescent="0.35">
      <c r="AB433">
        <v>430</v>
      </c>
      <c r="AC433">
        <v>13.5</v>
      </c>
      <c r="AD433">
        <v>-15.8</v>
      </c>
      <c r="AE433">
        <v>-11</v>
      </c>
      <c r="AF433">
        <v>14.9</v>
      </c>
      <c r="AG433">
        <v>47.9</v>
      </c>
    </row>
    <row r="434" spans="28:33" x14ac:dyDescent="0.35">
      <c r="AB434">
        <v>431</v>
      </c>
      <c r="AC434">
        <v>12.6</v>
      </c>
      <c r="AD434">
        <v>-15.7</v>
      </c>
      <c r="AE434">
        <v>-11</v>
      </c>
      <c r="AF434">
        <v>15</v>
      </c>
      <c r="AG434">
        <v>48</v>
      </c>
    </row>
    <row r="435" spans="28:33" x14ac:dyDescent="0.35">
      <c r="AB435">
        <v>432</v>
      </c>
      <c r="AC435">
        <v>11.8</v>
      </c>
      <c r="AD435">
        <v>-15.7</v>
      </c>
      <c r="AE435">
        <v>-10.9</v>
      </c>
      <c r="AF435">
        <v>15</v>
      </c>
      <c r="AG435">
        <v>48</v>
      </c>
    </row>
    <row r="436" spans="28:33" x14ac:dyDescent="0.35">
      <c r="AB436">
        <v>433</v>
      </c>
      <c r="AC436">
        <v>11.2</v>
      </c>
      <c r="AD436">
        <v>-15.7</v>
      </c>
      <c r="AE436">
        <v>-10.9</v>
      </c>
      <c r="AF436">
        <v>15</v>
      </c>
      <c r="AG436">
        <v>47.9</v>
      </c>
    </row>
    <row r="437" spans="28:33" x14ac:dyDescent="0.35">
      <c r="AB437">
        <v>434</v>
      </c>
      <c r="AC437">
        <v>10.7</v>
      </c>
      <c r="AD437">
        <v>-15.7</v>
      </c>
      <c r="AE437">
        <v>-10.8</v>
      </c>
      <c r="AF437">
        <v>15</v>
      </c>
      <c r="AG437">
        <v>48.3</v>
      </c>
    </row>
    <row r="438" spans="28:33" x14ac:dyDescent="0.35">
      <c r="AB438">
        <v>435</v>
      </c>
      <c r="AC438">
        <v>10.4</v>
      </c>
      <c r="AD438">
        <v>-15.7</v>
      </c>
      <c r="AE438">
        <v>-10.8</v>
      </c>
      <c r="AF438">
        <v>15.1</v>
      </c>
      <c r="AG438">
        <v>48.7</v>
      </c>
    </row>
    <row r="439" spans="28:33" x14ac:dyDescent="0.35">
      <c r="AB439">
        <v>436</v>
      </c>
      <c r="AC439">
        <v>10.1</v>
      </c>
      <c r="AD439">
        <v>-15.6</v>
      </c>
      <c r="AE439">
        <v>-10.8</v>
      </c>
      <c r="AF439">
        <v>15.1</v>
      </c>
      <c r="AG439">
        <v>48.9</v>
      </c>
    </row>
    <row r="440" spans="28:33" x14ac:dyDescent="0.35">
      <c r="AB440">
        <v>437</v>
      </c>
      <c r="AC440">
        <v>9.9</v>
      </c>
      <c r="AD440">
        <v>-15.6</v>
      </c>
      <c r="AE440">
        <v>-10.7</v>
      </c>
      <c r="AF440">
        <v>15.1</v>
      </c>
      <c r="AG440">
        <v>49</v>
      </c>
    </row>
    <row r="441" spans="28:33" x14ac:dyDescent="0.35">
      <c r="AB441">
        <v>438</v>
      </c>
      <c r="AC441">
        <v>9.6999999999999993</v>
      </c>
      <c r="AD441">
        <v>-15.6</v>
      </c>
      <c r="AE441">
        <v>-10.7</v>
      </c>
      <c r="AF441">
        <v>15.2</v>
      </c>
      <c r="AG441">
        <v>49.2</v>
      </c>
    </row>
    <row r="442" spans="28:33" x14ac:dyDescent="0.35">
      <c r="AB442">
        <v>439</v>
      </c>
      <c r="AC442">
        <v>9.6</v>
      </c>
      <c r="AD442">
        <v>-15.6</v>
      </c>
      <c r="AE442">
        <v>-10.7</v>
      </c>
      <c r="AF442">
        <v>15.2</v>
      </c>
      <c r="AG442">
        <v>49.7</v>
      </c>
    </row>
    <row r="443" spans="28:33" x14ac:dyDescent="0.35">
      <c r="AB443">
        <v>440</v>
      </c>
      <c r="AC443">
        <v>9.5</v>
      </c>
      <c r="AD443">
        <v>-15.6</v>
      </c>
      <c r="AE443">
        <v>-10.6</v>
      </c>
      <c r="AF443">
        <v>15.2</v>
      </c>
      <c r="AG443">
        <v>50.1</v>
      </c>
    </row>
    <row r="444" spans="28:33" x14ac:dyDescent="0.35">
      <c r="AB444">
        <v>441</v>
      </c>
      <c r="AC444">
        <v>9.4</v>
      </c>
      <c r="AD444">
        <v>-15.5</v>
      </c>
      <c r="AE444">
        <v>-10.6</v>
      </c>
      <c r="AF444">
        <v>15.2</v>
      </c>
      <c r="AG444">
        <v>49.4</v>
      </c>
    </row>
    <row r="445" spans="28:33" x14ac:dyDescent="0.35">
      <c r="AB445">
        <v>442</v>
      </c>
      <c r="AC445">
        <v>9.3000000000000007</v>
      </c>
      <c r="AD445">
        <v>-15.5</v>
      </c>
      <c r="AE445">
        <v>-10.5</v>
      </c>
      <c r="AF445">
        <v>15.3</v>
      </c>
      <c r="AG445">
        <v>48.9</v>
      </c>
    </row>
    <row r="446" spans="28:33" x14ac:dyDescent="0.35">
      <c r="AB446">
        <v>443</v>
      </c>
      <c r="AC446">
        <v>9.3000000000000007</v>
      </c>
      <c r="AD446">
        <v>-15.5</v>
      </c>
      <c r="AE446">
        <v>-10.5</v>
      </c>
      <c r="AF446">
        <v>15.3</v>
      </c>
      <c r="AG446">
        <v>48.5</v>
      </c>
    </row>
    <row r="447" spans="28:33" x14ac:dyDescent="0.35">
      <c r="AB447">
        <v>444</v>
      </c>
      <c r="AC447">
        <v>9.1999999999999993</v>
      </c>
      <c r="AD447">
        <v>-15.5</v>
      </c>
      <c r="AE447">
        <v>-10.5</v>
      </c>
      <c r="AF447">
        <v>15.3</v>
      </c>
      <c r="AG447">
        <v>47.8</v>
      </c>
    </row>
    <row r="448" spans="28:33" x14ac:dyDescent="0.35">
      <c r="AB448">
        <v>445</v>
      </c>
      <c r="AC448">
        <v>9.1999999999999993</v>
      </c>
      <c r="AD448">
        <v>-15.4</v>
      </c>
      <c r="AE448">
        <v>-10.5</v>
      </c>
      <c r="AF448">
        <v>15.3</v>
      </c>
      <c r="AG448">
        <v>47.5</v>
      </c>
    </row>
    <row r="449" spans="28:33" x14ac:dyDescent="0.35">
      <c r="AB449">
        <v>446</v>
      </c>
      <c r="AC449">
        <v>9.1999999999999993</v>
      </c>
      <c r="AD449">
        <v>-15.4</v>
      </c>
      <c r="AE449">
        <v>-10.4</v>
      </c>
      <c r="AF449">
        <v>15.4</v>
      </c>
      <c r="AG449">
        <v>47.3</v>
      </c>
    </row>
    <row r="450" spans="28:33" x14ac:dyDescent="0.35">
      <c r="AB450">
        <v>447</v>
      </c>
      <c r="AC450">
        <v>9.1999999999999993</v>
      </c>
      <c r="AD450">
        <v>-15.4</v>
      </c>
      <c r="AE450">
        <v>-10.4</v>
      </c>
      <c r="AF450">
        <v>15.4</v>
      </c>
      <c r="AG450">
        <v>47.3</v>
      </c>
    </row>
    <row r="451" spans="28:33" x14ac:dyDescent="0.35">
      <c r="AB451">
        <v>448</v>
      </c>
      <c r="AC451">
        <v>9.1999999999999993</v>
      </c>
      <c r="AD451">
        <v>-15.4</v>
      </c>
      <c r="AE451">
        <v>-10.3</v>
      </c>
      <c r="AF451">
        <v>15.4</v>
      </c>
      <c r="AG451">
        <v>47.4</v>
      </c>
    </row>
    <row r="452" spans="28:33" x14ac:dyDescent="0.35">
      <c r="AB452">
        <v>449</v>
      </c>
      <c r="AC452">
        <v>9.1999999999999993</v>
      </c>
      <c r="AD452">
        <v>-15.4</v>
      </c>
      <c r="AE452">
        <v>-10.3</v>
      </c>
      <c r="AF452">
        <v>15.4</v>
      </c>
      <c r="AG452">
        <v>47.4</v>
      </c>
    </row>
    <row r="453" spans="28:33" x14ac:dyDescent="0.35">
      <c r="AB453">
        <v>450</v>
      </c>
      <c r="AC453">
        <v>9.1999999999999993</v>
      </c>
      <c r="AD453">
        <v>-15.3</v>
      </c>
      <c r="AE453">
        <v>-10.3</v>
      </c>
      <c r="AF453">
        <v>15.5</v>
      </c>
      <c r="AG453">
        <v>47.5</v>
      </c>
    </row>
    <row r="454" spans="28:33" x14ac:dyDescent="0.35">
      <c r="AB454">
        <v>451</v>
      </c>
      <c r="AC454">
        <v>9.3000000000000007</v>
      </c>
      <c r="AD454">
        <v>-15.3</v>
      </c>
      <c r="AE454">
        <v>-10.199999999999999</v>
      </c>
      <c r="AF454">
        <v>15.5</v>
      </c>
      <c r="AG454">
        <v>47.5</v>
      </c>
    </row>
    <row r="455" spans="28:33" x14ac:dyDescent="0.35">
      <c r="AB455">
        <v>452</v>
      </c>
      <c r="AC455">
        <v>9.3000000000000007</v>
      </c>
      <c r="AD455">
        <v>-15.3</v>
      </c>
      <c r="AE455">
        <v>-10.199999999999999</v>
      </c>
      <c r="AF455">
        <v>15.5</v>
      </c>
      <c r="AG455">
        <v>47.7</v>
      </c>
    </row>
    <row r="456" spans="28:33" x14ac:dyDescent="0.35">
      <c r="AB456">
        <v>453</v>
      </c>
      <c r="AC456">
        <v>9.3000000000000007</v>
      </c>
      <c r="AD456">
        <v>-15.3</v>
      </c>
      <c r="AE456">
        <v>-10.199999999999999</v>
      </c>
      <c r="AF456">
        <v>15.5</v>
      </c>
      <c r="AG456">
        <v>47.6</v>
      </c>
    </row>
    <row r="457" spans="28:33" x14ac:dyDescent="0.35">
      <c r="AB457">
        <v>454</v>
      </c>
      <c r="AC457">
        <v>9.3000000000000007</v>
      </c>
      <c r="AD457">
        <v>-15.3</v>
      </c>
      <c r="AE457">
        <v>-10.199999999999999</v>
      </c>
      <c r="AF457">
        <v>15.6</v>
      </c>
      <c r="AG457">
        <v>47.6</v>
      </c>
    </row>
    <row r="458" spans="28:33" x14ac:dyDescent="0.35">
      <c r="AB458">
        <v>455</v>
      </c>
      <c r="AC458">
        <v>9.3000000000000007</v>
      </c>
      <c r="AD458">
        <v>-15.3</v>
      </c>
      <c r="AE458">
        <v>-10.1</v>
      </c>
      <c r="AF458">
        <v>15.6</v>
      </c>
      <c r="AG458">
        <v>47.6</v>
      </c>
    </row>
    <row r="459" spans="28:33" x14ac:dyDescent="0.35">
      <c r="AB459">
        <v>456</v>
      </c>
      <c r="AC459">
        <v>9.4</v>
      </c>
      <c r="AD459">
        <v>-15.2</v>
      </c>
      <c r="AE459">
        <v>-10.1</v>
      </c>
      <c r="AF459">
        <v>15.6</v>
      </c>
      <c r="AG459">
        <v>47.4</v>
      </c>
    </row>
    <row r="460" spans="28:33" x14ac:dyDescent="0.35">
      <c r="AB460">
        <v>457</v>
      </c>
      <c r="AC460">
        <v>9.4</v>
      </c>
      <c r="AD460">
        <v>-15.2</v>
      </c>
      <c r="AE460">
        <v>-10.1</v>
      </c>
      <c r="AF460">
        <v>15.6</v>
      </c>
      <c r="AG460">
        <v>47.5</v>
      </c>
    </row>
    <row r="461" spans="28:33" x14ac:dyDescent="0.35">
      <c r="AB461">
        <v>458</v>
      </c>
      <c r="AC461">
        <v>9.4</v>
      </c>
      <c r="AD461">
        <v>-15.2</v>
      </c>
      <c r="AE461">
        <v>-10</v>
      </c>
      <c r="AF461">
        <v>15.7</v>
      </c>
      <c r="AG461">
        <v>47.6</v>
      </c>
    </row>
    <row r="462" spans="28:33" x14ac:dyDescent="0.35">
      <c r="AB462">
        <v>459</v>
      </c>
      <c r="AC462">
        <v>9.5</v>
      </c>
      <c r="AD462">
        <v>-15.2</v>
      </c>
      <c r="AE462">
        <v>-10</v>
      </c>
      <c r="AF462">
        <v>15.7</v>
      </c>
      <c r="AG462">
        <v>47.6</v>
      </c>
    </row>
    <row r="463" spans="28:33" x14ac:dyDescent="0.35">
      <c r="AB463">
        <v>460</v>
      </c>
      <c r="AC463">
        <v>9.5</v>
      </c>
      <c r="AD463">
        <v>-15.2</v>
      </c>
      <c r="AE463">
        <v>-10</v>
      </c>
      <c r="AF463">
        <v>15.7</v>
      </c>
      <c r="AG463">
        <v>47.2</v>
      </c>
    </row>
    <row r="464" spans="28:33" x14ac:dyDescent="0.35">
      <c r="AB464">
        <v>461</v>
      </c>
      <c r="AC464">
        <v>9.6</v>
      </c>
      <c r="AD464">
        <v>-15.2</v>
      </c>
      <c r="AE464">
        <v>-9.9</v>
      </c>
      <c r="AF464">
        <v>15.7</v>
      </c>
      <c r="AG464">
        <v>47.1</v>
      </c>
    </row>
    <row r="465" spans="28:33" x14ac:dyDescent="0.35">
      <c r="AB465">
        <v>462</v>
      </c>
      <c r="AC465">
        <v>9.6</v>
      </c>
      <c r="AD465">
        <v>-15.1</v>
      </c>
      <c r="AE465">
        <v>-9.9</v>
      </c>
      <c r="AF465">
        <v>15.7</v>
      </c>
      <c r="AG465">
        <v>47.4</v>
      </c>
    </row>
    <row r="466" spans="28:33" x14ac:dyDescent="0.35">
      <c r="AB466">
        <v>463</v>
      </c>
      <c r="AC466">
        <v>9.6999999999999993</v>
      </c>
      <c r="AD466">
        <v>-15.1</v>
      </c>
      <c r="AE466">
        <v>-9.9</v>
      </c>
      <c r="AF466">
        <v>15.7</v>
      </c>
      <c r="AG466">
        <v>47.7</v>
      </c>
    </row>
    <row r="467" spans="28:33" x14ac:dyDescent="0.35">
      <c r="AB467">
        <v>464</v>
      </c>
      <c r="AC467">
        <v>9.6999999999999993</v>
      </c>
      <c r="AD467">
        <v>-15.1</v>
      </c>
      <c r="AE467">
        <v>-9.9</v>
      </c>
      <c r="AF467">
        <v>15.8</v>
      </c>
      <c r="AG467">
        <v>47.9</v>
      </c>
    </row>
    <row r="468" spans="28:33" x14ac:dyDescent="0.35">
      <c r="AB468">
        <v>465</v>
      </c>
      <c r="AC468">
        <v>9.8000000000000007</v>
      </c>
      <c r="AD468">
        <v>-15.1</v>
      </c>
      <c r="AE468">
        <v>-9.8000000000000007</v>
      </c>
      <c r="AF468">
        <v>15.8</v>
      </c>
      <c r="AG468">
        <v>47.8</v>
      </c>
    </row>
    <row r="469" spans="28:33" x14ac:dyDescent="0.35">
      <c r="AB469">
        <v>466</v>
      </c>
      <c r="AC469">
        <v>9.8000000000000007</v>
      </c>
      <c r="AD469">
        <v>-15.1</v>
      </c>
      <c r="AE469">
        <v>-9.8000000000000007</v>
      </c>
      <c r="AF469">
        <v>15.8</v>
      </c>
      <c r="AG469">
        <v>47.7</v>
      </c>
    </row>
    <row r="470" spans="28:33" x14ac:dyDescent="0.35">
      <c r="AB470">
        <v>467</v>
      </c>
      <c r="AC470">
        <v>9.9</v>
      </c>
      <c r="AD470">
        <v>-15.1</v>
      </c>
      <c r="AE470">
        <v>-9.8000000000000007</v>
      </c>
      <c r="AF470">
        <v>15.8</v>
      </c>
      <c r="AG470">
        <v>47.7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BD4E-3114-4D2E-8C5A-D613C6AC8836}">
  <dimension ref="A1:V28"/>
  <sheetViews>
    <sheetView zoomScale="85" zoomScaleNormal="85" workbookViewId="0">
      <selection activeCell="D4" sqref="D4:D13"/>
    </sheetView>
  </sheetViews>
  <sheetFormatPr defaultRowHeight="14.5" x14ac:dyDescent="0.35"/>
  <sheetData>
    <row r="1" spans="1:22" x14ac:dyDescent="0.35">
      <c r="A1" s="1" t="s">
        <v>40</v>
      </c>
      <c r="F1" s="1" t="s">
        <v>40</v>
      </c>
      <c r="Q1" s="1" t="s">
        <v>40</v>
      </c>
    </row>
    <row r="2" spans="1:22" x14ac:dyDescent="0.35">
      <c r="A2" s="1" t="s">
        <v>16</v>
      </c>
      <c r="B2" s="1"/>
      <c r="C2" s="1"/>
      <c r="D2" s="1"/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Q2" t="s">
        <v>20</v>
      </c>
      <c r="R2" t="s">
        <v>19</v>
      </c>
      <c r="S2" t="s">
        <v>21</v>
      </c>
      <c r="T2" t="s">
        <v>22</v>
      </c>
      <c r="U2" t="s">
        <v>23</v>
      </c>
      <c r="V2" t="s">
        <v>24</v>
      </c>
    </row>
    <row r="3" spans="1:22" ht="15" x14ac:dyDescent="0.4">
      <c r="A3" s="1" t="s">
        <v>41</v>
      </c>
      <c r="B3" s="1" t="s">
        <v>42</v>
      </c>
      <c r="C3" s="1" t="s">
        <v>43</v>
      </c>
      <c r="D3" s="1" t="s">
        <v>44</v>
      </c>
      <c r="F3">
        <v>40.586656519999991</v>
      </c>
      <c r="G3">
        <v>85.319978669999983</v>
      </c>
      <c r="H3">
        <v>115.54663778</v>
      </c>
      <c r="I3">
        <v>139.25329851999999</v>
      </c>
      <c r="J3">
        <v>163.91995901999999</v>
      </c>
      <c r="K3">
        <v>170.87995727999999</v>
      </c>
      <c r="L3">
        <v>169.70662423999997</v>
      </c>
      <c r="M3">
        <v>177.70662223999997</v>
      </c>
      <c r="N3">
        <v>182.10662113999999</v>
      </c>
      <c r="O3">
        <v>160.29329325999998</v>
      </c>
      <c r="Q3" s="2">
        <v>35.759999106000009</v>
      </c>
      <c r="R3" s="2">
        <v>64.186665062000003</v>
      </c>
      <c r="S3" s="2">
        <v>60.999998474999998</v>
      </c>
      <c r="T3" s="2">
        <v>62.093333178099996</v>
      </c>
      <c r="U3" s="2">
        <v>172.41329022999997</v>
      </c>
      <c r="V3" s="2">
        <v>188.71999528199999</v>
      </c>
    </row>
    <row r="4" spans="1:22" ht="15" x14ac:dyDescent="0.4">
      <c r="A4">
        <v>59.573184400000002</v>
      </c>
      <c r="B4">
        <v>79.319801699999999</v>
      </c>
      <c r="C4">
        <v>133.79996654999999</v>
      </c>
      <c r="D4">
        <v>105.67999735800001</v>
      </c>
      <c r="F4">
        <v>70.733315649999994</v>
      </c>
      <c r="G4">
        <v>92.59997684999999</v>
      </c>
      <c r="H4">
        <v>117.55997060999999</v>
      </c>
      <c r="I4">
        <v>134.87996627999999</v>
      </c>
      <c r="J4">
        <v>146.78662997000001</v>
      </c>
      <c r="K4">
        <v>170.23995743999998</v>
      </c>
      <c r="L4">
        <v>166.54662502999997</v>
      </c>
      <c r="M4">
        <v>174.15995645999999</v>
      </c>
      <c r="N4">
        <v>169.54662427999997</v>
      </c>
      <c r="O4">
        <v>187.07995322999997</v>
      </c>
      <c r="Q4" s="2">
        <v>35.319999116999995</v>
      </c>
      <c r="R4" s="2">
        <v>63.573331744000001</v>
      </c>
      <c r="S4" s="2">
        <v>60.706665149000003</v>
      </c>
      <c r="T4" s="2">
        <v>62.039999844900002</v>
      </c>
      <c r="U4" s="2">
        <v>170.63995733999997</v>
      </c>
      <c r="V4" s="2">
        <v>185.97332868399999</v>
      </c>
    </row>
    <row r="5" spans="1:22" ht="15" x14ac:dyDescent="0.4">
      <c r="A5">
        <v>59.746517300000008</v>
      </c>
      <c r="B5">
        <v>95.986426699999996</v>
      </c>
      <c r="C5">
        <v>122.78663596999999</v>
      </c>
      <c r="D5">
        <v>93.866664319999998</v>
      </c>
      <c r="F5">
        <v>67.773316389999991</v>
      </c>
      <c r="G5">
        <v>85.359978659999996</v>
      </c>
      <c r="H5">
        <v>102.22664111</v>
      </c>
      <c r="I5">
        <v>115.03997123999999</v>
      </c>
      <c r="J5">
        <v>122.89330260999999</v>
      </c>
      <c r="K5">
        <v>139.15996521</v>
      </c>
      <c r="L5">
        <v>144.09329731</v>
      </c>
      <c r="M5">
        <v>143.35996416</v>
      </c>
      <c r="N5">
        <v>145.23996368999997</v>
      </c>
      <c r="O5">
        <v>140.25329826999999</v>
      </c>
      <c r="Q5" s="2">
        <v>35.159999121000006</v>
      </c>
      <c r="R5" s="2">
        <v>63.493331745999996</v>
      </c>
      <c r="S5" s="2">
        <v>60.039998498999999</v>
      </c>
      <c r="T5" s="2">
        <v>61.906666511899999</v>
      </c>
      <c r="U5" s="2">
        <v>170.05329081999997</v>
      </c>
      <c r="V5" s="2">
        <v>184.61332871799999</v>
      </c>
    </row>
    <row r="6" spans="1:22" ht="15" x14ac:dyDescent="0.4">
      <c r="A6">
        <v>65.5198362</v>
      </c>
      <c r="B6">
        <v>89.519776199999995</v>
      </c>
      <c r="C6">
        <v>140.66663149999999</v>
      </c>
      <c r="D6">
        <v>120.759996981</v>
      </c>
      <c r="Q6" s="2">
        <v>34.693332466000008</v>
      </c>
      <c r="R6" s="2">
        <v>63.213331753000006</v>
      </c>
      <c r="S6" s="2">
        <v>59.933331834999997</v>
      </c>
      <c r="T6" s="2">
        <v>61.653333179199997</v>
      </c>
      <c r="U6" s="2">
        <v>169.30662433999998</v>
      </c>
      <c r="V6" s="2">
        <v>184.35999539099998</v>
      </c>
    </row>
    <row r="7" spans="1:22" ht="15" x14ac:dyDescent="0.4">
      <c r="A7">
        <v>80.759798100000012</v>
      </c>
      <c r="B7">
        <v>90.946439300000009</v>
      </c>
      <c r="C7">
        <v>123.10663588999998</v>
      </c>
      <c r="D7">
        <v>129.613330093</v>
      </c>
      <c r="Q7" s="2">
        <v>34.186665811999994</v>
      </c>
      <c r="R7" s="2">
        <v>62.959998425999999</v>
      </c>
      <c r="S7" s="2">
        <v>59.879998503000003</v>
      </c>
      <c r="T7" s="2">
        <v>61.1466665138</v>
      </c>
      <c r="U7" s="2">
        <v>168.79995779999999</v>
      </c>
      <c r="V7" s="2">
        <v>184.34666205799999</v>
      </c>
    </row>
    <row r="8" spans="1:22" ht="15" x14ac:dyDescent="0.4">
      <c r="A8">
        <v>82.573126899999991</v>
      </c>
      <c r="B8">
        <v>103.86640700000001</v>
      </c>
      <c r="C8">
        <v>127.62663475999999</v>
      </c>
      <c r="D8">
        <v>124.373330224</v>
      </c>
      <c r="Q8" s="2">
        <v>34.173332479000003</v>
      </c>
      <c r="R8" s="2">
        <v>62.493331771000001</v>
      </c>
      <c r="S8" s="2">
        <v>59.679998508000004</v>
      </c>
      <c r="T8" s="2">
        <v>60.573333181900004</v>
      </c>
      <c r="U8" s="2">
        <v>167.49329145999999</v>
      </c>
      <c r="V8" s="2">
        <v>184.01332873299998</v>
      </c>
    </row>
    <row r="9" spans="1:22" ht="15" x14ac:dyDescent="0.4">
      <c r="A9">
        <v>83.413124800000006</v>
      </c>
      <c r="B9">
        <v>104.2530727</v>
      </c>
      <c r="C9">
        <v>99.426641809999992</v>
      </c>
      <c r="D9">
        <v>107.679997308</v>
      </c>
      <c r="Q9" s="2">
        <v>34.066665815</v>
      </c>
      <c r="R9" s="2">
        <v>62.479998438000003</v>
      </c>
      <c r="S9" s="2">
        <v>59.173331854000004</v>
      </c>
      <c r="T9" s="2">
        <v>60.533333182</v>
      </c>
      <c r="U9" s="2">
        <v>166.35995840999999</v>
      </c>
      <c r="V9" s="2">
        <v>183.71999540699997</v>
      </c>
    </row>
    <row r="10" spans="1:22" ht="15" x14ac:dyDescent="0.4">
      <c r="A10">
        <v>86.959782600000011</v>
      </c>
      <c r="B10">
        <v>88.066446499999998</v>
      </c>
      <c r="C10">
        <v>131.55996711</v>
      </c>
      <c r="D10">
        <v>121.23999696899999</v>
      </c>
      <c r="Q10" s="2">
        <v>34.039999149000003</v>
      </c>
      <c r="R10" s="2">
        <v>62.386665107000006</v>
      </c>
      <c r="S10" s="2">
        <v>59.173331854000004</v>
      </c>
      <c r="T10" s="2">
        <v>59.826666517099994</v>
      </c>
      <c r="U10" s="2">
        <v>164.61329217999997</v>
      </c>
      <c r="V10" s="2">
        <v>183.35999541599998</v>
      </c>
    </row>
    <row r="11" spans="1:22" x14ac:dyDescent="0.35">
      <c r="A11">
        <v>90.07977480000001</v>
      </c>
      <c r="B11">
        <v>103.7197407</v>
      </c>
      <c r="C11">
        <v>136.23996593999999</v>
      </c>
      <c r="D11">
        <v>106.466664005</v>
      </c>
      <c r="Q11" s="2">
        <v>33.973332484000004</v>
      </c>
      <c r="R11" s="2">
        <v>62.346665108000003</v>
      </c>
      <c r="S11" s="2">
        <v>58.999998525000002</v>
      </c>
      <c r="T11" s="2">
        <v>59.333333185000001</v>
      </c>
      <c r="U11" s="2">
        <v>164.37329223999998</v>
      </c>
      <c r="V11" s="2">
        <v>180.946662143</v>
      </c>
    </row>
    <row r="12" spans="1:22" x14ac:dyDescent="0.35">
      <c r="A12">
        <v>62.9865092</v>
      </c>
      <c r="B12">
        <v>102.69307660000001</v>
      </c>
      <c r="C12">
        <v>99.093308559999997</v>
      </c>
      <c r="D12">
        <v>139.133329855</v>
      </c>
      <c r="Q12" s="2">
        <v>33.959999151000005</v>
      </c>
      <c r="R12" s="2">
        <v>62.146665113000005</v>
      </c>
      <c r="S12" s="2">
        <v>58.933331860000003</v>
      </c>
      <c r="T12" s="2">
        <v>59.266666518500003</v>
      </c>
      <c r="U12" s="2">
        <v>162.18662611999997</v>
      </c>
      <c r="V12" s="2">
        <v>180.73332881499999</v>
      </c>
    </row>
    <row r="13" spans="1:22" x14ac:dyDescent="0.35">
      <c r="A13">
        <v>79.693134100000009</v>
      </c>
      <c r="B13">
        <v>96.4530922</v>
      </c>
      <c r="C13">
        <v>119.34663682999999</v>
      </c>
      <c r="D13">
        <v>143.093329756</v>
      </c>
      <c r="Q13" s="2">
        <v>33.933332485000001</v>
      </c>
      <c r="R13" s="2">
        <v>62.066665114999999</v>
      </c>
      <c r="S13" s="2">
        <v>58.679998533000003</v>
      </c>
      <c r="T13" s="2">
        <v>59.013333185800001</v>
      </c>
      <c r="U13" s="2">
        <v>161.90662618999997</v>
      </c>
      <c r="V13" s="2">
        <v>180.58666215199997</v>
      </c>
    </row>
    <row r="14" spans="1:22" x14ac:dyDescent="0.35">
      <c r="Q14" s="2">
        <v>33.933332485000001</v>
      </c>
      <c r="R14" s="2">
        <v>61.546665128000001</v>
      </c>
      <c r="S14" s="2">
        <v>58.359998540999996</v>
      </c>
      <c r="T14" s="2">
        <v>58.866666519500001</v>
      </c>
      <c r="U14" s="2">
        <v>160.46662654999997</v>
      </c>
      <c r="V14" s="2">
        <v>179.82666217099998</v>
      </c>
    </row>
    <row r="15" spans="1:22" x14ac:dyDescent="0.35">
      <c r="Q15" s="2">
        <v>33.426665831000001</v>
      </c>
      <c r="R15" s="2">
        <v>61.439998463999999</v>
      </c>
      <c r="S15" s="2">
        <v>58.306665209000002</v>
      </c>
      <c r="T15" s="2">
        <v>58.546666520300001</v>
      </c>
      <c r="U15" s="2">
        <v>160.07995997999998</v>
      </c>
      <c r="V15" s="2">
        <v>179.29332885099998</v>
      </c>
    </row>
    <row r="16" spans="1:22" x14ac:dyDescent="0.35">
      <c r="Q16" s="2">
        <v>33.186665837</v>
      </c>
      <c r="R16" s="2">
        <v>61.413331798000002</v>
      </c>
      <c r="S16" s="2">
        <v>58.279998543000005</v>
      </c>
      <c r="T16" s="2">
        <v>58.466666520499999</v>
      </c>
      <c r="U16" s="2">
        <v>159.70662673999999</v>
      </c>
      <c r="V16" s="2">
        <v>178.81332886299998</v>
      </c>
    </row>
    <row r="17" spans="17:22" x14ac:dyDescent="0.35">
      <c r="Q17" s="2"/>
      <c r="R17" s="2"/>
      <c r="S17" s="2"/>
      <c r="T17" s="2"/>
      <c r="U17" s="2"/>
      <c r="V17" s="2"/>
    </row>
    <row r="18" spans="17:22" x14ac:dyDescent="0.35">
      <c r="Q18" s="2">
        <v>37.506665728999998</v>
      </c>
      <c r="R18" s="2">
        <v>24.813332712999998</v>
      </c>
      <c r="S18" s="2">
        <v>23.426666080999997</v>
      </c>
      <c r="T18" s="2">
        <v>190.38666190700002</v>
      </c>
      <c r="U18" s="2">
        <v>209.093328106</v>
      </c>
      <c r="V18" s="2">
        <v>210.03999474899999</v>
      </c>
    </row>
    <row r="19" spans="17:22" x14ac:dyDescent="0.35">
      <c r="Q19" s="2">
        <v>37.186665736999998</v>
      </c>
      <c r="R19" s="2">
        <v>24.773332714000002</v>
      </c>
      <c r="S19" s="2">
        <v>22.959999426</v>
      </c>
      <c r="T19" s="2">
        <v>187.74666197299999</v>
      </c>
      <c r="U19" s="2">
        <v>209.013328108</v>
      </c>
      <c r="V19" s="2">
        <v>205.653328192</v>
      </c>
    </row>
    <row r="20" spans="17:22" x14ac:dyDescent="0.35">
      <c r="Q20" s="2">
        <v>37.186665736999998</v>
      </c>
      <c r="R20" s="2">
        <v>24.359999390999999</v>
      </c>
      <c r="S20" s="2">
        <v>22.826666095999997</v>
      </c>
      <c r="T20" s="2">
        <v>184.94666204299998</v>
      </c>
      <c r="U20" s="2">
        <v>205.75999485600002</v>
      </c>
      <c r="V20" s="2">
        <v>200.99999497499999</v>
      </c>
    </row>
    <row r="21" spans="17:22" x14ac:dyDescent="0.35">
      <c r="Q21" s="2">
        <v>36.799999079999999</v>
      </c>
      <c r="R21" s="2">
        <v>24.359999390999999</v>
      </c>
      <c r="S21" s="2">
        <v>21.999999450000001</v>
      </c>
      <c r="T21" s="2">
        <v>183.77332873899999</v>
      </c>
      <c r="U21" s="2">
        <v>205.31999486700002</v>
      </c>
      <c r="V21" s="2">
        <v>199.78666167200001</v>
      </c>
    </row>
    <row r="22" spans="17:22" x14ac:dyDescent="0.35">
      <c r="Q22" s="2">
        <v>36.479999088</v>
      </c>
      <c r="R22" s="2">
        <v>24.079999397999998</v>
      </c>
      <c r="S22" s="2">
        <v>21.786666122</v>
      </c>
      <c r="T22" s="2">
        <v>181.78666212200002</v>
      </c>
      <c r="U22" s="2">
        <v>205.25332820200001</v>
      </c>
      <c r="V22" s="2">
        <v>197.14666173799998</v>
      </c>
    </row>
    <row r="23" spans="17:22" x14ac:dyDescent="0.35">
      <c r="Q23" s="2">
        <v>36.466665755000001</v>
      </c>
      <c r="R23" s="2">
        <v>23.813332738</v>
      </c>
      <c r="S23" s="2">
        <v>21.453332797000002</v>
      </c>
      <c r="T23" s="2">
        <v>178.386662207</v>
      </c>
      <c r="U23" s="2">
        <v>201.35999496600002</v>
      </c>
      <c r="V23" s="2">
        <v>196.77332841399999</v>
      </c>
    </row>
    <row r="24" spans="17:22" x14ac:dyDescent="0.35">
      <c r="Q24" s="2">
        <v>36.439999089000004</v>
      </c>
      <c r="R24" s="2">
        <v>23.773332739000001</v>
      </c>
      <c r="S24" s="2">
        <v>21.239999469000001</v>
      </c>
      <c r="T24" s="2">
        <v>175.306662284</v>
      </c>
      <c r="U24" s="2">
        <v>200.53332832000001</v>
      </c>
      <c r="V24" s="2">
        <v>192.58666185200002</v>
      </c>
    </row>
    <row r="25" spans="17:22" x14ac:dyDescent="0.35">
      <c r="Q25" s="2">
        <v>36.413332423</v>
      </c>
      <c r="R25" s="2">
        <v>23.666666074999998</v>
      </c>
      <c r="S25" s="2">
        <v>21.146666138000001</v>
      </c>
      <c r="T25" s="2">
        <v>174.81332896299998</v>
      </c>
      <c r="U25" s="2">
        <v>200.38666165700002</v>
      </c>
      <c r="V25" s="2">
        <v>192.23999519399999</v>
      </c>
    </row>
    <row r="26" spans="17:22" x14ac:dyDescent="0.35">
      <c r="Q26" s="2">
        <v>36.346665758</v>
      </c>
      <c r="R26" s="2">
        <v>23.306666084</v>
      </c>
      <c r="S26" s="2">
        <v>21.133332804999998</v>
      </c>
      <c r="T26" s="2">
        <v>171.17332905399999</v>
      </c>
      <c r="U26" s="2">
        <v>195.399995115</v>
      </c>
      <c r="V26" s="2">
        <v>192.13332853</v>
      </c>
    </row>
    <row r="27" spans="17:22" x14ac:dyDescent="0.35">
      <c r="Q27" s="2">
        <v>36.306665759000005</v>
      </c>
      <c r="R27" s="2">
        <v>23.306666084</v>
      </c>
      <c r="S27" s="2">
        <v>20.693332815999998</v>
      </c>
      <c r="T27" s="2">
        <v>170.26666241000001</v>
      </c>
      <c r="U27" s="2">
        <v>194.85332846200001</v>
      </c>
      <c r="V27" s="2">
        <v>190.546661903</v>
      </c>
    </row>
    <row r="28" spans="17:22" x14ac:dyDescent="0.35">
      <c r="Q28" s="2">
        <v>36.053332431999998</v>
      </c>
      <c r="R28" s="2">
        <v>23.293332750999998</v>
      </c>
      <c r="S28" s="2">
        <v>20.626666150999998</v>
      </c>
      <c r="T28" s="2">
        <v>168.26666245999999</v>
      </c>
      <c r="U28" s="2">
        <v>194.38666180700002</v>
      </c>
      <c r="V28" s="2">
        <v>188.45332862200002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66AC-17EE-4199-9236-AD475F79BA33}">
  <dimension ref="A1:CE109"/>
  <sheetViews>
    <sheetView topLeftCell="A32" zoomScale="14" zoomScaleNormal="70" workbookViewId="0">
      <selection activeCell="BM3" sqref="BM3:BM109"/>
    </sheetView>
  </sheetViews>
  <sheetFormatPr defaultRowHeight="14.5" x14ac:dyDescent="0.35"/>
  <sheetData>
    <row r="1" spans="1:83" x14ac:dyDescent="0.35">
      <c r="B1" t="s">
        <v>1</v>
      </c>
      <c r="X1" t="s">
        <v>2</v>
      </c>
      <c r="AT1" t="s">
        <v>6</v>
      </c>
      <c r="BV1" s="1" t="s">
        <v>40</v>
      </c>
    </row>
    <row r="2" spans="1:83" x14ac:dyDescent="0.35">
      <c r="B2" t="s">
        <v>7</v>
      </c>
      <c r="C2" t="s">
        <v>30</v>
      </c>
      <c r="D2" t="s">
        <v>8</v>
      </c>
      <c r="E2" t="s">
        <v>30</v>
      </c>
      <c r="F2" t="s">
        <v>9</v>
      </c>
      <c r="G2" t="s">
        <v>30</v>
      </c>
      <c r="H2" t="s">
        <v>10</v>
      </c>
      <c r="I2" t="s">
        <v>30</v>
      </c>
      <c r="J2" t="s">
        <v>11</v>
      </c>
      <c r="K2" t="s">
        <v>30</v>
      </c>
      <c r="L2" t="s">
        <v>12</v>
      </c>
      <c r="M2" t="s">
        <v>30</v>
      </c>
      <c r="N2" t="s">
        <v>13</v>
      </c>
      <c r="O2" t="s">
        <v>30</v>
      </c>
      <c r="P2" t="s">
        <v>14</v>
      </c>
      <c r="Q2" t="s">
        <v>30</v>
      </c>
      <c r="R2" t="s">
        <v>15</v>
      </c>
      <c r="S2" t="s">
        <v>30</v>
      </c>
      <c r="T2" t="s">
        <v>16</v>
      </c>
      <c r="U2" t="s">
        <v>30</v>
      </c>
      <c r="X2" t="s">
        <v>7</v>
      </c>
      <c r="Y2" t="s">
        <v>30</v>
      </c>
      <c r="Z2" t="s">
        <v>8</v>
      </c>
      <c r="AA2" t="s">
        <v>30</v>
      </c>
      <c r="AB2" t="s">
        <v>9</v>
      </c>
      <c r="AC2" t="s">
        <v>30</v>
      </c>
      <c r="AD2" t="s">
        <v>10</v>
      </c>
      <c r="AE2" t="s">
        <v>30</v>
      </c>
      <c r="AF2" t="s">
        <v>11</v>
      </c>
      <c r="AG2" t="s">
        <v>30</v>
      </c>
      <c r="AH2" t="s">
        <v>12</v>
      </c>
      <c r="AI2" t="s">
        <v>30</v>
      </c>
      <c r="AJ2" t="s">
        <v>13</v>
      </c>
      <c r="AK2" t="s">
        <v>30</v>
      </c>
      <c r="AL2" t="s">
        <v>14</v>
      </c>
      <c r="AM2" t="s">
        <v>30</v>
      </c>
      <c r="AN2" t="s">
        <v>15</v>
      </c>
      <c r="AO2" t="s">
        <v>30</v>
      </c>
      <c r="AP2" t="s">
        <v>16</v>
      </c>
      <c r="AQ2" t="s">
        <v>30</v>
      </c>
      <c r="AT2" t="s">
        <v>7</v>
      </c>
      <c r="AU2" t="s">
        <v>30</v>
      </c>
      <c r="AV2" t="s">
        <v>8</v>
      </c>
      <c r="AW2" t="s">
        <v>30</v>
      </c>
      <c r="AX2" t="s">
        <v>9</v>
      </c>
      <c r="AY2" t="s">
        <v>30</v>
      </c>
      <c r="AZ2" t="s">
        <v>10</v>
      </c>
      <c r="BA2" t="s">
        <v>30</v>
      </c>
      <c r="BB2" t="s">
        <v>11</v>
      </c>
      <c r="BC2" t="s">
        <v>30</v>
      </c>
      <c r="BD2" t="s">
        <v>12</v>
      </c>
      <c r="BE2" t="s">
        <v>30</v>
      </c>
      <c r="BF2" t="s">
        <v>13</v>
      </c>
      <c r="BG2" t="s">
        <v>30</v>
      </c>
      <c r="BH2" t="s">
        <v>14</v>
      </c>
      <c r="BI2" t="s">
        <v>30</v>
      </c>
      <c r="BJ2" t="s">
        <v>15</v>
      </c>
      <c r="BK2" t="s">
        <v>30</v>
      </c>
      <c r="BL2" t="s">
        <v>16</v>
      </c>
      <c r="BM2" t="s">
        <v>30</v>
      </c>
      <c r="BO2" t="s">
        <v>38</v>
      </c>
      <c r="BV2" s="1" t="s">
        <v>7</v>
      </c>
      <c r="BW2" s="1" t="s">
        <v>8</v>
      </c>
      <c r="BX2" s="1" t="s">
        <v>9</v>
      </c>
      <c r="BY2" s="1" t="s">
        <v>10</v>
      </c>
      <c r="BZ2" s="1" t="s">
        <v>11</v>
      </c>
      <c r="CA2" s="1" t="s">
        <v>12</v>
      </c>
      <c r="CB2" s="1" t="s">
        <v>13</v>
      </c>
      <c r="CC2" s="1" t="s">
        <v>14</v>
      </c>
      <c r="CD2" s="1" t="s">
        <v>15</v>
      </c>
      <c r="CE2" s="1" t="s">
        <v>16</v>
      </c>
    </row>
    <row r="3" spans="1:83" x14ac:dyDescent="0.35">
      <c r="A3">
        <v>0</v>
      </c>
      <c r="B3">
        <v>-0.3</v>
      </c>
      <c r="C3">
        <f>B3*0.1333333</f>
        <v>-3.9999989999999992E-2</v>
      </c>
      <c r="D3">
        <v>0</v>
      </c>
      <c r="E3">
        <f>D3*0.1333333</f>
        <v>0</v>
      </c>
      <c r="F3">
        <v>3.3</v>
      </c>
      <c r="G3">
        <f>F3*0.1333333</f>
        <v>0.43999988999999995</v>
      </c>
      <c r="H3">
        <v>0.5</v>
      </c>
      <c r="I3">
        <f>H3*0.1333333</f>
        <v>6.6666649999999994E-2</v>
      </c>
      <c r="J3">
        <v>0.2</v>
      </c>
      <c r="K3">
        <f>J3*0.1333333</f>
        <v>2.6666659999999998E-2</v>
      </c>
      <c r="L3">
        <v>3.3</v>
      </c>
      <c r="M3">
        <f>L3*0.1333333</f>
        <v>0.43999988999999995</v>
      </c>
      <c r="N3">
        <v>1.7</v>
      </c>
      <c r="O3">
        <f>N3*0.1333333</f>
        <v>0.22666660999999996</v>
      </c>
      <c r="P3">
        <v>2.2000000000000002</v>
      </c>
      <c r="Q3">
        <f>P3*0.1333333</f>
        <v>0.29333325999999998</v>
      </c>
      <c r="R3">
        <v>0.2</v>
      </c>
      <c r="S3">
        <f>R3*0.1333333</f>
        <v>2.6666659999999998E-2</v>
      </c>
      <c r="T3">
        <v>2.1</v>
      </c>
      <c r="U3">
        <f>T3*0.1333333</f>
        <v>0.27999993000000001</v>
      </c>
      <c r="W3">
        <v>0</v>
      </c>
      <c r="X3">
        <v>-0.1</v>
      </c>
      <c r="Y3">
        <f>X3*0.1333333</f>
        <v>-1.3333329999999999E-2</v>
      </c>
      <c r="Z3">
        <v>0</v>
      </c>
      <c r="AA3">
        <f>Z3*0.1333333</f>
        <v>0</v>
      </c>
      <c r="AB3">
        <v>1.8</v>
      </c>
      <c r="AC3">
        <f>AB3*0.1333333</f>
        <v>0.23999993999999999</v>
      </c>
      <c r="AD3">
        <v>2.7</v>
      </c>
      <c r="AE3">
        <f>AD3*0.1333333</f>
        <v>0.35999990999999998</v>
      </c>
      <c r="AF3">
        <v>2.2000000000000002</v>
      </c>
      <c r="AG3">
        <f>AF3*0.1333333</f>
        <v>0.29333325999999998</v>
      </c>
      <c r="AH3">
        <v>1.8</v>
      </c>
      <c r="AI3">
        <f>AH3*0.1333333</f>
        <v>0.23999993999999999</v>
      </c>
      <c r="AJ3">
        <v>0.9</v>
      </c>
      <c r="AK3">
        <f>AJ3*0.1333333</f>
        <v>0.11999997</v>
      </c>
      <c r="AL3">
        <v>3.2</v>
      </c>
      <c r="AM3">
        <f>AL3*0.1333333</f>
        <v>0.42666655999999997</v>
      </c>
      <c r="AN3">
        <v>0.7</v>
      </c>
      <c r="AO3">
        <f>AN3*0.1333333</f>
        <v>9.3333309999999989E-2</v>
      </c>
      <c r="AP3">
        <v>6.1</v>
      </c>
      <c r="AQ3">
        <f>AP3*0.1333333</f>
        <v>0.81333312999999985</v>
      </c>
      <c r="AS3">
        <v>0</v>
      </c>
      <c r="AT3">
        <v>2</v>
      </c>
      <c r="AU3">
        <f>AT3*0.1333333</f>
        <v>0.26666659999999998</v>
      </c>
      <c r="AV3">
        <v>2.9</v>
      </c>
      <c r="AW3">
        <f>AV3*0.1333333</f>
        <v>0.38666656999999993</v>
      </c>
      <c r="AX3">
        <v>3.2</v>
      </c>
      <c r="AY3">
        <f>AX3*0.1333333</f>
        <v>0.42666655999999997</v>
      </c>
      <c r="AZ3">
        <v>1.2</v>
      </c>
      <c r="BA3">
        <f>AZ3*0.1333333</f>
        <v>0.15999995999999997</v>
      </c>
      <c r="BB3">
        <v>1.9</v>
      </c>
      <c r="BC3">
        <f>BB3*0.1333333</f>
        <v>0.25333326999999994</v>
      </c>
      <c r="BD3">
        <v>4.5</v>
      </c>
      <c r="BE3">
        <f>BD3*0.1333333</f>
        <v>0.59999984999999989</v>
      </c>
      <c r="BF3">
        <v>3.9</v>
      </c>
      <c r="BG3">
        <f>BF3*0.1333333</f>
        <v>0.51999986999999992</v>
      </c>
      <c r="BH3">
        <v>6.8</v>
      </c>
      <c r="BI3">
        <f>BH3*0.1333333</f>
        <v>0.90666643999999985</v>
      </c>
      <c r="BJ3">
        <v>1.4</v>
      </c>
      <c r="BK3">
        <f>BJ3*0.1333333</f>
        <v>0.18666661999999998</v>
      </c>
      <c r="BL3">
        <v>2.8</v>
      </c>
      <c r="BM3">
        <f>BL3*0.1333333</f>
        <v>0.37333323999999996</v>
      </c>
      <c r="BO3" t="s">
        <v>39</v>
      </c>
      <c r="BV3">
        <f>MAX(C:C)</f>
        <v>40.586656519999991</v>
      </c>
      <c r="BW3">
        <f>MAX(E:E)</f>
        <v>85.319978669999983</v>
      </c>
      <c r="BX3">
        <f>MAX(G:G)</f>
        <v>115.54663778</v>
      </c>
      <c r="BY3">
        <f>MAX(I:I)</f>
        <v>139.25329851999999</v>
      </c>
      <c r="BZ3">
        <f>MAX(K:K)</f>
        <v>163.91995901999999</v>
      </c>
      <c r="CA3">
        <f>MAX(M:M)</f>
        <v>170.87995727999999</v>
      </c>
      <c r="CB3">
        <f>MAX(O:O)</f>
        <v>169.70662423999997</v>
      </c>
      <c r="CC3">
        <f>MAX(Q:Q)</f>
        <v>177.70662223999997</v>
      </c>
      <c r="CD3">
        <f>MAX(S:S)</f>
        <v>182.10662113999999</v>
      </c>
      <c r="CE3">
        <f>MAX(U:U)</f>
        <v>160.29329325999998</v>
      </c>
    </row>
    <row r="4" spans="1:83" x14ac:dyDescent="0.35">
      <c r="A4">
        <v>1</v>
      </c>
      <c r="B4">
        <v>-0.4</v>
      </c>
      <c r="C4">
        <f t="shared" ref="C4:C67" si="0">B4*0.1333333</f>
        <v>-5.3333319999999997E-2</v>
      </c>
      <c r="D4">
        <v>0</v>
      </c>
      <c r="E4">
        <f t="shared" ref="E4:E67" si="1">D4*0.1333333</f>
        <v>0</v>
      </c>
      <c r="F4">
        <v>3.8</v>
      </c>
      <c r="G4">
        <f t="shared" ref="G4:G67" si="2">F4*0.1333333</f>
        <v>0.50666653999999989</v>
      </c>
      <c r="H4">
        <v>0.6</v>
      </c>
      <c r="I4">
        <f t="shared" ref="I4:I67" si="3">H4*0.1333333</f>
        <v>7.9999979999999984E-2</v>
      </c>
      <c r="J4">
        <v>0.3</v>
      </c>
      <c r="K4">
        <f t="shared" ref="K4:K67" si="4">J4*0.1333333</f>
        <v>3.9999989999999992E-2</v>
      </c>
      <c r="L4">
        <v>3.8</v>
      </c>
      <c r="M4">
        <f t="shared" ref="M4:M67" si="5">L4*0.1333333</f>
        <v>0.50666653999999989</v>
      </c>
      <c r="N4">
        <v>2</v>
      </c>
      <c r="O4">
        <f t="shared" ref="O4:O67" si="6">N4*0.1333333</f>
        <v>0.26666659999999998</v>
      </c>
      <c r="P4">
        <v>2.6</v>
      </c>
      <c r="Q4">
        <f t="shared" ref="Q4:Q67" si="7">P4*0.1333333</f>
        <v>0.34666658</v>
      </c>
      <c r="R4">
        <v>0.2</v>
      </c>
      <c r="S4">
        <f t="shared" ref="S4:S67" si="8">R4*0.1333333</f>
        <v>2.6666659999999998E-2</v>
      </c>
      <c r="T4">
        <v>3</v>
      </c>
      <c r="U4">
        <f t="shared" ref="U4:U67" si="9">T4*0.1333333</f>
        <v>0.39999989999999996</v>
      </c>
      <c r="W4">
        <v>1</v>
      </c>
      <c r="X4">
        <v>-0.2</v>
      </c>
      <c r="Y4">
        <f t="shared" ref="Y4:Y67" si="10">X4*0.1333333</f>
        <v>-2.6666659999999998E-2</v>
      </c>
      <c r="Z4">
        <v>0</v>
      </c>
      <c r="AA4">
        <f t="shared" ref="AA4:AA67" si="11">Z4*0.1333333</f>
        <v>0</v>
      </c>
      <c r="AB4">
        <v>2.1</v>
      </c>
      <c r="AC4">
        <f t="shared" ref="AC4:AC67" si="12">AB4*0.1333333</f>
        <v>0.27999993000000001</v>
      </c>
      <c r="AD4">
        <v>3.1</v>
      </c>
      <c r="AE4">
        <f t="shared" ref="AE4:AE67" si="13">AD4*0.1333333</f>
        <v>0.41333323</v>
      </c>
      <c r="AF4">
        <v>2.5</v>
      </c>
      <c r="AG4">
        <f t="shared" ref="AG4:AG67" si="14">AF4*0.1333333</f>
        <v>0.33333324999999997</v>
      </c>
      <c r="AH4">
        <v>2.2999999999999998</v>
      </c>
      <c r="AI4">
        <f t="shared" ref="AI4:AI67" si="15">AH4*0.1333333</f>
        <v>0.30666658999999996</v>
      </c>
      <c r="AJ4">
        <v>1.5</v>
      </c>
      <c r="AK4">
        <f t="shared" ref="AK4:AK67" si="16">AJ4*0.1333333</f>
        <v>0.19999994999999998</v>
      </c>
      <c r="AL4">
        <v>3.7</v>
      </c>
      <c r="AM4">
        <f t="shared" ref="AM4:AM67" si="17">AL4*0.1333333</f>
        <v>0.49333320999999997</v>
      </c>
      <c r="AN4">
        <v>0.8</v>
      </c>
      <c r="AO4">
        <f t="shared" ref="AO4:AO67" si="18">AN4*0.1333333</f>
        <v>0.10666663999999999</v>
      </c>
      <c r="AP4">
        <v>6.4</v>
      </c>
      <c r="AQ4">
        <f t="shared" ref="AQ4:AQ67" si="19">AP4*0.1333333</f>
        <v>0.85333311999999995</v>
      </c>
      <c r="AS4">
        <v>1</v>
      </c>
      <c r="AT4">
        <v>6.4</v>
      </c>
      <c r="AU4">
        <f t="shared" ref="AU4:AU67" si="20">AT4*0.1333333</f>
        <v>0.85333311999999995</v>
      </c>
      <c r="AV4">
        <v>3.3</v>
      </c>
      <c r="AW4">
        <f t="shared" ref="AW4:AW67" si="21">AV4*0.1333333</f>
        <v>0.43999988999999995</v>
      </c>
      <c r="AX4">
        <v>3.7</v>
      </c>
      <c r="AY4">
        <f t="shared" ref="AY4:AY67" si="22">AX4*0.1333333</f>
        <v>0.49333320999999997</v>
      </c>
      <c r="AZ4">
        <v>1.3</v>
      </c>
      <c r="BA4">
        <f t="shared" ref="BA4:BA67" si="23">AZ4*0.1333333</f>
        <v>0.17333329</v>
      </c>
      <c r="BB4">
        <v>1.9</v>
      </c>
      <c r="BC4">
        <f t="shared" ref="BC4:BC67" si="24">BB4*0.1333333</f>
        <v>0.25333326999999994</v>
      </c>
      <c r="BD4">
        <v>5.2</v>
      </c>
      <c r="BE4">
        <f t="shared" ref="BE4:BE67" si="25">BD4*0.1333333</f>
        <v>0.69333316</v>
      </c>
      <c r="BF4">
        <v>4.7</v>
      </c>
      <c r="BG4">
        <f t="shared" ref="BG4:BG67" si="26">BF4*0.1333333</f>
        <v>0.62666650999999995</v>
      </c>
      <c r="BH4">
        <v>7.6</v>
      </c>
      <c r="BI4">
        <f t="shared" ref="BI4:BI67" si="27">BH4*0.1333333</f>
        <v>1.0133330799999998</v>
      </c>
      <c r="BJ4">
        <v>1.8</v>
      </c>
      <c r="BK4">
        <f t="shared" ref="BK4:BK67" si="28">BJ4*0.1333333</f>
        <v>0.23999993999999999</v>
      </c>
      <c r="BL4">
        <v>3.3</v>
      </c>
      <c r="BM4">
        <f t="shared" ref="BM4:BM67" si="29">BL4*0.1333333</f>
        <v>0.43999988999999995</v>
      </c>
      <c r="BV4">
        <f>MAX(Y:Y)</f>
        <v>70.733315649999994</v>
      </c>
      <c r="BW4">
        <f>MAX(AA:AA)</f>
        <v>92.59997684999999</v>
      </c>
      <c r="BX4">
        <f>MAX(AC:AC)</f>
        <v>117.55997060999999</v>
      </c>
      <c r="BY4">
        <f>MAX(AE:AE)</f>
        <v>134.87996627999999</v>
      </c>
      <c r="BZ4">
        <f>MAX(AG:AG)</f>
        <v>146.78662997000001</v>
      </c>
      <c r="CA4">
        <f>MAX(AI:AI)</f>
        <v>170.23995743999998</v>
      </c>
      <c r="CB4">
        <f>MAX(AK:AK)</f>
        <v>166.54662502999997</v>
      </c>
      <c r="CC4">
        <f>MAX(AM:AM)</f>
        <v>174.15995645999999</v>
      </c>
      <c r="CD4">
        <f>MAX(AO:AO)</f>
        <v>169.54662427999997</v>
      </c>
      <c r="CE4">
        <f>MAX(AQ:AQ)</f>
        <v>187.07995322999997</v>
      </c>
    </row>
    <row r="5" spans="1:83" x14ac:dyDescent="0.35">
      <c r="A5">
        <v>2</v>
      </c>
      <c r="B5">
        <v>-0.5</v>
      </c>
      <c r="C5">
        <f t="shared" si="0"/>
        <v>-6.6666649999999994E-2</v>
      </c>
      <c r="D5">
        <v>0</v>
      </c>
      <c r="E5">
        <f t="shared" si="1"/>
        <v>0</v>
      </c>
      <c r="F5">
        <v>4.4000000000000004</v>
      </c>
      <c r="G5">
        <f t="shared" si="2"/>
        <v>0.58666651999999997</v>
      </c>
      <c r="H5">
        <v>0.7</v>
      </c>
      <c r="I5">
        <f t="shared" si="3"/>
        <v>9.3333309999999989E-2</v>
      </c>
      <c r="J5">
        <v>0.3</v>
      </c>
      <c r="K5">
        <f t="shared" si="4"/>
        <v>3.9999989999999992E-2</v>
      </c>
      <c r="L5">
        <v>4.3</v>
      </c>
      <c r="M5">
        <f t="shared" si="5"/>
        <v>0.57333318999999994</v>
      </c>
      <c r="N5">
        <v>2.2000000000000002</v>
      </c>
      <c r="O5">
        <f t="shared" si="6"/>
        <v>0.29333325999999998</v>
      </c>
      <c r="P5">
        <v>2.9</v>
      </c>
      <c r="Q5">
        <f t="shared" si="7"/>
        <v>0.38666656999999993</v>
      </c>
      <c r="R5">
        <v>0.3</v>
      </c>
      <c r="S5">
        <f t="shared" si="8"/>
        <v>3.9999989999999992E-2</v>
      </c>
      <c r="T5">
        <v>3.8</v>
      </c>
      <c r="U5">
        <f t="shared" si="9"/>
        <v>0.50666653999999989</v>
      </c>
      <c r="W5">
        <v>2</v>
      </c>
      <c r="X5">
        <v>-0.4</v>
      </c>
      <c r="Y5">
        <f t="shared" si="10"/>
        <v>-5.3333319999999997E-2</v>
      </c>
      <c r="Z5">
        <v>0</v>
      </c>
      <c r="AA5">
        <f t="shared" si="11"/>
        <v>0</v>
      </c>
      <c r="AB5">
        <v>2.2999999999999998</v>
      </c>
      <c r="AC5">
        <f t="shared" si="12"/>
        <v>0.30666658999999996</v>
      </c>
      <c r="AD5">
        <v>3.4</v>
      </c>
      <c r="AE5">
        <f t="shared" si="13"/>
        <v>0.45333321999999993</v>
      </c>
      <c r="AF5">
        <v>2.7</v>
      </c>
      <c r="AG5">
        <f t="shared" si="14"/>
        <v>0.35999990999999998</v>
      </c>
      <c r="AH5">
        <v>2.7</v>
      </c>
      <c r="AI5">
        <f t="shared" si="15"/>
        <v>0.35999990999999998</v>
      </c>
      <c r="AJ5">
        <v>1.9</v>
      </c>
      <c r="AK5">
        <f t="shared" si="16"/>
        <v>0.25333326999999994</v>
      </c>
      <c r="AL5">
        <v>4.0999999999999996</v>
      </c>
      <c r="AM5">
        <f t="shared" si="17"/>
        <v>0.54666652999999987</v>
      </c>
      <c r="AN5">
        <v>0.9</v>
      </c>
      <c r="AO5">
        <f t="shared" si="18"/>
        <v>0.11999997</v>
      </c>
      <c r="AP5">
        <v>7</v>
      </c>
      <c r="AQ5">
        <f t="shared" si="19"/>
        <v>0.93333309999999992</v>
      </c>
      <c r="AS5">
        <v>2</v>
      </c>
      <c r="AT5">
        <v>9.6</v>
      </c>
      <c r="AU5">
        <f t="shared" si="20"/>
        <v>1.2799996799999998</v>
      </c>
      <c r="AV5">
        <v>3.7</v>
      </c>
      <c r="AW5">
        <f t="shared" si="21"/>
        <v>0.49333320999999997</v>
      </c>
      <c r="AX5">
        <v>4</v>
      </c>
      <c r="AY5">
        <f t="shared" si="22"/>
        <v>0.53333319999999995</v>
      </c>
      <c r="AZ5">
        <v>1.6</v>
      </c>
      <c r="BA5">
        <f t="shared" si="23"/>
        <v>0.21333327999999999</v>
      </c>
      <c r="BB5">
        <v>1.9</v>
      </c>
      <c r="BC5">
        <f t="shared" si="24"/>
        <v>0.25333326999999994</v>
      </c>
      <c r="BD5">
        <v>5.9</v>
      </c>
      <c r="BE5">
        <f t="shared" si="25"/>
        <v>0.78666647000000001</v>
      </c>
      <c r="BF5">
        <v>5.2</v>
      </c>
      <c r="BG5">
        <f t="shared" si="26"/>
        <v>0.69333316</v>
      </c>
      <c r="BH5">
        <v>8.6</v>
      </c>
      <c r="BI5">
        <f t="shared" si="27"/>
        <v>1.1466663799999999</v>
      </c>
      <c r="BJ5">
        <v>2.4</v>
      </c>
      <c r="BK5">
        <f t="shared" si="28"/>
        <v>0.31999991999999994</v>
      </c>
      <c r="BL5">
        <v>3.7</v>
      </c>
      <c r="BM5">
        <f t="shared" si="29"/>
        <v>0.49333320999999997</v>
      </c>
      <c r="BV5">
        <f>MAX(AU:AU)</f>
        <v>67.773316389999991</v>
      </c>
      <c r="BW5">
        <f>MAX(AW:AW)</f>
        <v>85.359978659999996</v>
      </c>
      <c r="BX5">
        <f>MAX(AY:AY)</f>
        <v>102.22664111</v>
      </c>
      <c r="BY5">
        <f>MAX(BA:BA)</f>
        <v>115.03997123999999</v>
      </c>
      <c r="BZ5">
        <f>MAX(BC:BC)</f>
        <v>122.89330260999999</v>
      </c>
      <c r="CA5">
        <f>MAX(BE:BE)</f>
        <v>139.15996521</v>
      </c>
      <c r="CB5">
        <f>MAX(BG:BG)</f>
        <v>144.09329731</v>
      </c>
      <c r="CC5">
        <f>MAX(BI:BI)</f>
        <v>143.35996416</v>
      </c>
      <c r="CD5">
        <f>MAX(BK:BK)</f>
        <v>145.23996368999997</v>
      </c>
      <c r="CE5">
        <f>MAX(BM:BM)</f>
        <v>140.25329826999999</v>
      </c>
    </row>
    <row r="6" spans="1:83" x14ac:dyDescent="0.35">
      <c r="A6">
        <v>3</v>
      </c>
      <c r="B6">
        <v>-0.5</v>
      </c>
      <c r="C6">
        <f t="shared" si="0"/>
        <v>-6.6666649999999994E-2</v>
      </c>
      <c r="D6">
        <v>0</v>
      </c>
      <c r="E6">
        <f t="shared" si="1"/>
        <v>0</v>
      </c>
      <c r="F6">
        <v>5.0999999999999996</v>
      </c>
      <c r="G6">
        <f t="shared" si="2"/>
        <v>0.67999982999999986</v>
      </c>
      <c r="H6">
        <v>0.7</v>
      </c>
      <c r="I6">
        <f t="shared" si="3"/>
        <v>9.3333309999999989E-2</v>
      </c>
      <c r="J6">
        <v>0.3</v>
      </c>
      <c r="K6">
        <f t="shared" si="4"/>
        <v>3.9999989999999992E-2</v>
      </c>
      <c r="L6">
        <v>4.7</v>
      </c>
      <c r="M6">
        <f t="shared" si="5"/>
        <v>0.62666650999999995</v>
      </c>
      <c r="N6">
        <v>2.4</v>
      </c>
      <c r="O6">
        <f t="shared" si="6"/>
        <v>0.31999991999999994</v>
      </c>
      <c r="P6">
        <v>3.3</v>
      </c>
      <c r="Q6">
        <f t="shared" si="7"/>
        <v>0.43999988999999995</v>
      </c>
      <c r="R6">
        <v>0.3</v>
      </c>
      <c r="S6">
        <f t="shared" si="8"/>
        <v>3.9999989999999992E-2</v>
      </c>
      <c r="T6">
        <v>4.5</v>
      </c>
      <c r="U6">
        <f t="shared" si="9"/>
        <v>0.59999984999999989</v>
      </c>
      <c r="W6">
        <v>3</v>
      </c>
      <c r="X6">
        <v>-0.7</v>
      </c>
      <c r="Y6">
        <f t="shared" si="10"/>
        <v>-9.3333309999999989E-2</v>
      </c>
      <c r="Z6">
        <v>0</v>
      </c>
      <c r="AA6">
        <f t="shared" si="11"/>
        <v>0</v>
      </c>
      <c r="AB6">
        <v>2.5</v>
      </c>
      <c r="AC6">
        <f t="shared" si="12"/>
        <v>0.33333324999999997</v>
      </c>
      <c r="AD6">
        <v>3.7</v>
      </c>
      <c r="AE6">
        <f t="shared" si="13"/>
        <v>0.49333320999999997</v>
      </c>
      <c r="AF6">
        <v>3</v>
      </c>
      <c r="AG6">
        <f t="shared" si="14"/>
        <v>0.39999989999999996</v>
      </c>
      <c r="AH6">
        <v>3.1</v>
      </c>
      <c r="AI6">
        <f t="shared" si="15"/>
        <v>0.41333323</v>
      </c>
      <c r="AJ6">
        <v>2.4</v>
      </c>
      <c r="AK6">
        <f t="shared" si="16"/>
        <v>0.31999991999999994</v>
      </c>
      <c r="AL6">
        <v>4.5999999999999996</v>
      </c>
      <c r="AM6">
        <f t="shared" si="17"/>
        <v>0.61333317999999992</v>
      </c>
      <c r="AN6">
        <v>0.9</v>
      </c>
      <c r="AO6">
        <f t="shared" si="18"/>
        <v>0.11999997</v>
      </c>
      <c r="AP6">
        <v>8</v>
      </c>
      <c r="AQ6">
        <f t="shared" si="19"/>
        <v>1.0666663999999999</v>
      </c>
      <c r="AS6">
        <v>3</v>
      </c>
      <c r="AT6">
        <v>11.6</v>
      </c>
      <c r="AU6">
        <f t="shared" si="20"/>
        <v>1.5466662799999997</v>
      </c>
      <c r="AV6">
        <v>4</v>
      </c>
      <c r="AW6">
        <f t="shared" si="21"/>
        <v>0.53333319999999995</v>
      </c>
      <c r="AX6">
        <v>4.4000000000000004</v>
      </c>
      <c r="AY6">
        <f t="shared" si="22"/>
        <v>0.58666651999999997</v>
      </c>
      <c r="AZ6">
        <v>2.1</v>
      </c>
      <c r="BA6">
        <f t="shared" si="23"/>
        <v>0.27999993000000001</v>
      </c>
      <c r="BB6">
        <v>2.2000000000000002</v>
      </c>
      <c r="BC6">
        <f t="shared" si="24"/>
        <v>0.29333325999999998</v>
      </c>
      <c r="BD6">
        <v>6.5</v>
      </c>
      <c r="BE6">
        <f t="shared" si="25"/>
        <v>0.86666644999999987</v>
      </c>
      <c r="BF6">
        <v>5.7</v>
      </c>
      <c r="BG6">
        <f t="shared" si="26"/>
        <v>0.75999980999999994</v>
      </c>
      <c r="BH6">
        <v>9.9</v>
      </c>
      <c r="BI6">
        <f t="shared" si="27"/>
        <v>1.3199996699999998</v>
      </c>
      <c r="BJ6">
        <v>2.9</v>
      </c>
      <c r="BK6">
        <f t="shared" si="28"/>
        <v>0.38666656999999993</v>
      </c>
      <c r="BL6">
        <v>4</v>
      </c>
      <c r="BM6">
        <f t="shared" si="29"/>
        <v>0.53333319999999995</v>
      </c>
    </row>
    <row r="7" spans="1:83" x14ac:dyDescent="0.35">
      <c r="A7">
        <v>4</v>
      </c>
      <c r="B7">
        <v>-0.6</v>
      </c>
      <c r="C7">
        <f t="shared" si="0"/>
        <v>-7.9999979999999984E-2</v>
      </c>
      <c r="D7">
        <v>0</v>
      </c>
      <c r="E7">
        <f t="shared" si="1"/>
        <v>0</v>
      </c>
      <c r="F7">
        <v>5.7</v>
      </c>
      <c r="G7">
        <f t="shared" si="2"/>
        <v>0.75999980999999994</v>
      </c>
      <c r="H7">
        <v>0.8</v>
      </c>
      <c r="I7">
        <f t="shared" si="3"/>
        <v>0.10666663999999999</v>
      </c>
      <c r="J7">
        <v>0.3</v>
      </c>
      <c r="K7">
        <f t="shared" si="4"/>
        <v>3.9999989999999992E-2</v>
      </c>
      <c r="L7">
        <v>5.0999999999999996</v>
      </c>
      <c r="M7">
        <f t="shared" si="5"/>
        <v>0.67999982999999986</v>
      </c>
      <c r="N7">
        <v>2.6</v>
      </c>
      <c r="O7">
        <f t="shared" si="6"/>
        <v>0.34666658</v>
      </c>
      <c r="P7">
        <v>3.7</v>
      </c>
      <c r="Q7">
        <f t="shared" si="7"/>
        <v>0.49333320999999997</v>
      </c>
      <c r="R7">
        <v>0.3</v>
      </c>
      <c r="S7">
        <f t="shared" si="8"/>
        <v>3.9999989999999992E-2</v>
      </c>
      <c r="T7">
        <v>5.0999999999999996</v>
      </c>
      <c r="U7">
        <f t="shared" si="9"/>
        <v>0.67999982999999986</v>
      </c>
      <c r="W7">
        <v>4</v>
      </c>
      <c r="X7">
        <v>-0.7</v>
      </c>
      <c r="Y7">
        <f t="shared" si="10"/>
        <v>-9.3333309999999989E-2</v>
      </c>
      <c r="Z7">
        <v>0</v>
      </c>
      <c r="AA7">
        <f t="shared" si="11"/>
        <v>0</v>
      </c>
      <c r="AB7">
        <v>2.7</v>
      </c>
      <c r="AC7">
        <f t="shared" si="12"/>
        <v>0.35999990999999998</v>
      </c>
      <c r="AD7">
        <v>4</v>
      </c>
      <c r="AE7">
        <f t="shared" si="13"/>
        <v>0.53333319999999995</v>
      </c>
      <c r="AF7">
        <v>3.3</v>
      </c>
      <c r="AG7">
        <f t="shared" si="14"/>
        <v>0.43999988999999995</v>
      </c>
      <c r="AH7">
        <v>3.6</v>
      </c>
      <c r="AI7">
        <f t="shared" si="15"/>
        <v>0.47999987999999999</v>
      </c>
      <c r="AJ7">
        <v>3.1</v>
      </c>
      <c r="AK7">
        <f t="shared" si="16"/>
        <v>0.41333323</v>
      </c>
      <c r="AL7">
        <v>5</v>
      </c>
      <c r="AM7">
        <f t="shared" si="17"/>
        <v>0.66666649999999994</v>
      </c>
      <c r="AN7">
        <v>0.9</v>
      </c>
      <c r="AO7">
        <f t="shared" si="18"/>
        <v>0.11999997</v>
      </c>
      <c r="AP7">
        <v>9.1</v>
      </c>
      <c r="AQ7">
        <f t="shared" si="19"/>
        <v>1.2133330299999998</v>
      </c>
      <c r="AS7">
        <v>4</v>
      </c>
      <c r="AT7">
        <v>12.5</v>
      </c>
      <c r="AU7">
        <f t="shared" si="20"/>
        <v>1.6666662499999998</v>
      </c>
      <c r="AV7">
        <v>4.3</v>
      </c>
      <c r="AW7">
        <f t="shared" si="21"/>
        <v>0.57333318999999994</v>
      </c>
      <c r="AX7">
        <v>4.5999999999999996</v>
      </c>
      <c r="AY7">
        <f t="shared" si="22"/>
        <v>0.61333317999999992</v>
      </c>
      <c r="AZ7">
        <v>2.8</v>
      </c>
      <c r="BA7">
        <f t="shared" si="23"/>
        <v>0.37333323999999996</v>
      </c>
      <c r="BB7">
        <v>2.6</v>
      </c>
      <c r="BC7">
        <f t="shared" si="24"/>
        <v>0.34666658</v>
      </c>
      <c r="BD7">
        <v>7</v>
      </c>
      <c r="BE7">
        <f t="shared" si="25"/>
        <v>0.93333309999999992</v>
      </c>
      <c r="BF7">
        <v>6.2</v>
      </c>
      <c r="BG7">
        <f t="shared" si="26"/>
        <v>0.82666645999999999</v>
      </c>
      <c r="BH7">
        <v>11.1</v>
      </c>
      <c r="BI7">
        <f t="shared" si="27"/>
        <v>1.4799996299999998</v>
      </c>
      <c r="BJ7">
        <v>3.4</v>
      </c>
      <c r="BK7">
        <f t="shared" si="28"/>
        <v>0.45333321999999993</v>
      </c>
      <c r="BL7">
        <v>4.2</v>
      </c>
      <c r="BM7">
        <f t="shared" si="29"/>
        <v>0.55999986000000002</v>
      </c>
    </row>
    <row r="8" spans="1:83" x14ac:dyDescent="0.35">
      <c r="A8">
        <v>5</v>
      </c>
      <c r="B8">
        <v>-0.6</v>
      </c>
      <c r="C8">
        <f t="shared" si="0"/>
        <v>-7.9999979999999984E-2</v>
      </c>
      <c r="D8">
        <v>0</v>
      </c>
      <c r="E8">
        <f t="shared" si="1"/>
        <v>0</v>
      </c>
      <c r="F8">
        <v>6.2</v>
      </c>
      <c r="G8">
        <f t="shared" si="2"/>
        <v>0.82666645999999999</v>
      </c>
      <c r="H8">
        <v>0.8</v>
      </c>
      <c r="I8">
        <f t="shared" si="3"/>
        <v>0.10666663999999999</v>
      </c>
      <c r="J8">
        <v>0.3</v>
      </c>
      <c r="K8">
        <f t="shared" si="4"/>
        <v>3.9999989999999992E-2</v>
      </c>
      <c r="L8">
        <v>5.5</v>
      </c>
      <c r="M8">
        <f t="shared" si="5"/>
        <v>0.73333314999999999</v>
      </c>
      <c r="N8">
        <v>2.8</v>
      </c>
      <c r="O8">
        <f t="shared" si="6"/>
        <v>0.37333323999999996</v>
      </c>
      <c r="P8">
        <v>4.3</v>
      </c>
      <c r="Q8">
        <f t="shared" si="7"/>
        <v>0.57333318999999994</v>
      </c>
      <c r="R8">
        <v>0.4</v>
      </c>
      <c r="S8">
        <f t="shared" si="8"/>
        <v>5.3333319999999997E-2</v>
      </c>
      <c r="T8">
        <v>5.9</v>
      </c>
      <c r="U8">
        <f t="shared" si="9"/>
        <v>0.78666647000000001</v>
      </c>
      <c r="W8">
        <v>5</v>
      </c>
      <c r="X8">
        <v>-0.6</v>
      </c>
      <c r="Y8">
        <f t="shared" si="10"/>
        <v>-7.9999979999999984E-2</v>
      </c>
      <c r="Z8">
        <v>0</v>
      </c>
      <c r="AA8">
        <f t="shared" si="11"/>
        <v>0</v>
      </c>
      <c r="AB8">
        <v>2.9</v>
      </c>
      <c r="AC8">
        <f t="shared" si="12"/>
        <v>0.38666656999999993</v>
      </c>
      <c r="AD8">
        <v>4.3</v>
      </c>
      <c r="AE8">
        <f t="shared" si="13"/>
        <v>0.57333318999999994</v>
      </c>
      <c r="AF8">
        <v>3.6</v>
      </c>
      <c r="AG8">
        <f t="shared" si="14"/>
        <v>0.47999987999999999</v>
      </c>
      <c r="AH8">
        <v>4.0999999999999996</v>
      </c>
      <c r="AI8">
        <f t="shared" si="15"/>
        <v>0.54666652999999987</v>
      </c>
      <c r="AJ8">
        <v>4.0999999999999996</v>
      </c>
      <c r="AK8">
        <f t="shared" si="16"/>
        <v>0.54666652999999987</v>
      </c>
      <c r="AL8">
        <v>5.4</v>
      </c>
      <c r="AM8">
        <f t="shared" si="17"/>
        <v>0.71999981999999996</v>
      </c>
      <c r="AN8">
        <v>1</v>
      </c>
      <c r="AO8">
        <f t="shared" si="18"/>
        <v>0.13333329999999999</v>
      </c>
      <c r="AP8">
        <v>10.3</v>
      </c>
      <c r="AQ8">
        <f t="shared" si="19"/>
        <v>1.37333299</v>
      </c>
      <c r="AS8">
        <v>5</v>
      </c>
      <c r="AT8">
        <v>13</v>
      </c>
      <c r="AU8">
        <f t="shared" si="20"/>
        <v>1.7333328999999997</v>
      </c>
      <c r="AV8">
        <v>4.5</v>
      </c>
      <c r="AW8">
        <f t="shared" si="21"/>
        <v>0.59999984999999989</v>
      </c>
      <c r="AX8">
        <v>4.8</v>
      </c>
      <c r="AY8">
        <f t="shared" si="22"/>
        <v>0.63999983999999988</v>
      </c>
      <c r="AZ8">
        <v>3.4</v>
      </c>
      <c r="BA8">
        <f t="shared" si="23"/>
        <v>0.45333321999999993</v>
      </c>
      <c r="BB8">
        <v>3.2</v>
      </c>
      <c r="BC8">
        <f t="shared" si="24"/>
        <v>0.42666655999999997</v>
      </c>
      <c r="BD8">
        <v>7.5</v>
      </c>
      <c r="BE8">
        <f t="shared" si="25"/>
        <v>0.99999974999999997</v>
      </c>
      <c r="BF8">
        <v>7.2</v>
      </c>
      <c r="BG8">
        <f t="shared" si="26"/>
        <v>0.95999975999999998</v>
      </c>
      <c r="BH8">
        <v>12</v>
      </c>
      <c r="BI8">
        <f t="shared" si="27"/>
        <v>1.5999995999999999</v>
      </c>
      <c r="BJ8">
        <v>3.9</v>
      </c>
      <c r="BK8">
        <f t="shared" si="28"/>
        <v>0.51999986999999992</v>
      </c>
      <c r="BL8">
        <v>4.4000000000000004</v>
      </c>
      <c r="BM8">
        <f t="shared" si="29"/>
        <v>0.58666651999999997</v>
      </c>
    </row>
    <row r="9" spans="1:83" x14ac:dyDescent="0.35">
      <c r="A9">
        <v>6</v>
      </c>
      <c r="B9">
        <v>-0.7</v>
      </c>
      <c r="C9">
        <f t="shared" si="0"/>
        <v>-9.3333309999999989E-2</v>
      </c>
      <c r="D9">
        <v>0</v>
      </c>
      <c r="E9">
        <f t="shared" si="1"/>
        <v>0</v>
      </c>
      <c r="F9">
        <v>6.8</v>
      </c>
      <c r="G9">
        <f t="shared" si="2"/>
        <v>0.90666643999999985</v>
      </c>
      <c r="H9">
        <v>0.9</v>
      </c>
      <c r="I9">
        <f t="shared" si="3"/>
        <v>0.11999997</v>
      </c>
      <c r="J9">
        <v>0.4</v>
      </c>
      <c r="K9">
        <f t="shared" si="4"/>
        <v>5.3333319999999997E-2</v>
      </c>
      <c r="L9">
        <v>5.9</v>
      </c>
      <c r="M9">
        <f t="shared" si="5"/>
        <v>0.78666647000000001</v>
      </c>
      <c r="N9">
        <v>3</v>
      </c>
      <c r="O9">
        <f t="shared" si="6"/>
        <v>0.39999989999999996</v>
      </c>
      <c r="P9">
        <v>5.3</v>
      </c>
      <c r="Q9">
        <f t="shared" si="7"/>
        <v>0.70666648999999992</v>
      </c>
      <c r="R9">
        <v>0.4</v>
      </c>
      <c r="S9">
        <f t="shared" si="8"/>
        <v>5.3333319999999997E-2</v>
      </c>
      <c r="T9">
        <v>6.8</v>
      </c>
      <c r="U9">
        <f t="shared" si="9"/>
        <v>0.90666643999999985</v>
      </c>
      <c r="W9">
        <v>6</v>
      </c>
      <c r="X9">
        <v>-0.5</v>
      </c>
      <c r="Y9">
        <f t="shared" si="10"/>
        <v>-6.6666649999999994E-2</v>
      </c>
      <c r="Z9">
        <v>0</v>
      </c>
      <c r="AA9">
        <f t="shared" si="11"/>
        <v>0</v>
      </c>
      <c r="AB9">
        <v>3.1</v>
      </c>
      <c r="AC9">
        <f t="shared" si="12"/>
        <v>0.41333323</v>
      </c>
      <c r="AD9">
        <v>4.5999999999999996</v>
      </c>
      <c r="AE9">
        <f t="shared" si="13"/>
        <v>0.61333317999999992</v>
      </c>
      <c r="AF9">
        <v>4.2</v>
      </c>
      <c r="AG9">
        <f t="shared" si="14"/>
        <v>0.55999986000000002</v>
      </c>
      <c r="AH9">
        <v>4.7</v>
      </c>
      <c r="AI9">
        <f t="shared" si="15"/>
        <v>0.62666650999999995</v>
      </c>
      <c r="AJ9">
        <v>5.2</v>
      </c>
      <c r="AK9">
        <f t="shared" si="16"/>
        <v>0.69333316</v>
      </c>
      <c r="AL9">
        <v>5.8</v>
      </c>
      <c r="AM9">
        <f t="shared" si="17"/>
        <v>0.77333313999999986</v>
      </c>
      <c r="AN9">
        <v>1.1000000000000001</v>
      </c>
      <c r="AO9">
        <f t="shared" si="18"/>
        <v>0.14666662999999999</v>
      </c>
      <c r="AP9">
        <v>11.4</v>
      </c>
      <c r="AQ9">
        <f t="shared" si="19"/>
        <v>1.5199996199999999</v>
      </c>
      <c r="AS9">
        <v>6</v>
      </c>
      <c r="AT9">
        <v>13.5</v>
      </c>
      <c r="AU9">
        <f t="shared" si="20"/>
        <v>1.7999995499999999</v>
      </c>
      <c r="AV9">
        <v>4.7</v>
      </c>
      <c r="AW9">
        <f t="shared" si="21"/>
        <v>0.62666650999999995</v>
      </c>
      <c r="AX9">
        <v>4.9000000000000004</v>
      </c>
      <c r="AY9">
        <f t="shared" si="22"/>
        <v>0.65333317000000002</v>
      </c>
      <c r="AZ9">
        <v>3.6</v>
      </c>
      <c r="BA9">
        <f t="shared" si="23"/>
        <v>0.47999987999999999</v>
      </c>
      <c r="BB9">
        <v>3.8</v>
      </c>
      <c r="BC9">
        <f t="shared" si="24"/>
        <v>0.50666653999999989</v>
      </c>
      <c r="BD9">
        <v>8</v>
      </c>
      <c r="BE9">
        <f t="shared" si="25"/>
        <v>1.0666663999999999</v>
      </c>
      <c r="BF9">
        <v>8.8000000000000007</v>
      </c>
      <c r="BG9">
        <f t="shared" si="26"/>
        <v>1.1733330399999999</v>
      </c>
      <c r="BH9">
        <v>12.5</v>
      </c>
      <c r="BI9">
        <f t="shared" si="27"/>
        <v>1.6666662499999998</v>
      </c>
      <c r="BJ9">
        <v>4.5999999999999996</v>
      </c>
      <c r="BK9">
        <f t="shared" si="28"/>
        <v>0.61333317999999992</v>
      </c>
      <c r="BL9">
        <v>4.7</v>
      </c>
      <c r="BM9">
        <f t="shared" si="29"/>
        <v>0.62666650999999995</v>
      </c>
    </row>
    <row r="10" spans="1:83" x14ac:dyDescent="0.35">
      <c r="A10">
        <v>7</v>
      </c>
      <c r="B10">
        <v>-0.7</v>
      </c>
      <c r="C10">
        <f t="shared" si="0"/>
        <v>-9.3333309999999989E-2</v>
      </c>
      <c r="D10">
        <v>0.1</v>
      </c>
      <c r="E10">
        <f t="shared" si="1"/>
        <v>1.3333329999999999E-2</v>
      </c>
      <c r="F10">
        <v>7.9</v>
      </c>
      <c r="G10">
        <f t="shared" si="2"/>
        <v>1.0533330699999999</v>
      </c>
      <c r="H10">
        <v>1</v>
      </c>
      <c r="I10">
        <f t="shared" si="3"/>
        <v>0.13333329999999999</v>
      </c>
      <c r="J10">
        <v>0.5</v>
      </c>
      <c r="K10">
        <f t="shared" si="4"/>
        <v>6.6666649999999994E-2</v>
      </c>
      <c r="L10">
        <v>6.3</v>
      </c>
      <c r="M10">
        <f t="shared" si="5"/>
        <v>0.83999978999999991</v>
      </c>
      <c r="N10">
        <v>3.3</v>
      </c>
      <c r="O10">
        <f t="shared" si="6"/>
        <v>0.43999988999999995</v>
      </c>
      <c r="P10">
        <v>6.6</v>
      </c>
      <c r="Q10">
        <f t="shared" si="7"/>
        <v>0.8799997799999999</v>
      </c>
      <c r="R10">
        <v>0.4</v>
      </c>
      <c r="S10">
        <f t="shared" si="8"/>
        <v>5.3333319999999997E-2</v>
      </c>
      <c r="T10">
        <v>7.7</v>
      </c>
      <c r="U10">
        <f t="shared" si="9"/>
        <v>1.02666641</v>
      </c>
      <c r="W10">
        <v>7</v>
      </c>
      <c r="X10">
        <v>-0.4</v>
      </c>
      <c r="Y10">
        <f t="shared" si="10"/>
        <v>-5.3333319999999997E-2</v>
      </c>
      <c r="Z10">
        <v>0</v>
      </c>
      <c r="AA10">
        <f t="shared" si="11"/>
        <v>0</v>
      </c>
      <c r="AB10">
        <v>3.3</v>
      </c>
      <c r="AC10">
        <f t="shared" si="12"/>
        <v>0.43999988999999995</v>
      </c>
      <c r="AD10">
        <v>4.8</v>
      </c>
      <c r="AE10">
        <f t="shared" si="13"/>
        <v>0.63999983999999988</v>
      </c>
      <c r="AF10">
        <v>5.4</v>
      </c>
      <c r="AG10">
        <f t="shared" si="14"/>
        <v>0.71999981999999996</v>
      </c>
      <c r="AH10">
        <v>5.5</v>
      </c>
      <c r="AI10">
        <f t="shared" si="15"/>
        <v>0.73333314999999999</v>
      </c>
      <c r="AJ10">
        <v>6.1</v>
      </c>
      <c r="AK10">
        <f t="shared" si="16"/>
        <v>0.81333312999999985</v>
      </c>
      <c r="AL10">
        <v>6.2</v>
      </c>
      <c r="AM10">
        <f t="shared" si="17"/>
        <v>0.82666645999999999</v>
      </c>
      <c r="AN10">
        <v>1.2</v>
      </c>
      <c r="AO10">
        <f t="shared" si="18"/>
        <v>0.15999995999999997</v>
      </c>
      <c r="AP10">
        <v>12.4</v>
      </c>
      <c r="AQ10">
        <f t="shared" si="19"/>
        <v>1.65333292</v>
      </c>
      <c r="AS10">
        <v>7</v>
      </c>
      <c r="AT10">
        <v>14.3</v>
      </c>
      <c r="AU10">
        <f t="shared" si="20"/>
        <v>1.9066661899999999</v>
      </c>
      <c r="AV10">
        <v>5</v>
      </c>
      <c r="AW10">
        <f t="shared" si="21"/>
        <v>0.66666649999999994</v>
      </c>
      <c r="AX10">
        <v>5</v>
      </c>
      <c r="AY10">
        <f t="shared" si="22"/>
        <v>0.66666649999999994</v>
      </c>
      <c r="AZ10">
        <v>3.8</v>
      </c>
      <c r="BA10">
        <f t="shared" si="23"/>
        <v>0.50666653999999989</v>
      </c>
      <c r="BB10">
        <v>4.4000000000000004</v>
      </c>
      <c r="BC10">
        <f t="shared" si="24"/>
        <v>0.58666651999999997</v>
      </c>
      <c r="BD10">
        <v>8.6</v>
      </c>
      <c r="BE10">
        <f t="shared" si="25"/>
        <v>1.1466663799999999</v>
      </c>
      <c r="BF10">
        <v>11</v>
      </c>
      <c r="BG10">
        <f t="shared" si="26"/>
        <v>1.4666663</v>
      </c>
      <c r="BH10">
        <v>13</v>
      </c>
      <c r="BI10">
        <f t="shared" si="27"/>
        <v>1.7333328999999997</v>
      </c>
      <c r="BJ10">
        <v>5.8</v>
      </c>
      <c r="BK10">
        <f t="shared" si="28"/>
        <v>0.77333313999999986</v>
      </c>
      <c r="BL10">
        <v>6.5</v>
      </c>
      <c r="BM10">
        <f t="shared" si="29"/>
        <v>0.86666644999999987</v>
      </c>
    </row>
    <row r="11" spans="1:83" x14ac:dyDescent="0.35">
      <c r="A11">
        <v>8</v>
      </c>
      <c r="B11">
        <v>-0.7</v>
      </c>
      <c r="C11">
        <f t="shared" si="0"/>
        <v>-9.3333309999999989E-2</v>
      </c>
      <c r="D11">
        <v>0.1</v>
      </c>
      <c r="E11">
        <f t="shared" si="1"/>
        <v>1.3333329999999999E-2</v>
      </c>
      <c r="F11">
        <v>10.4</v>
      </c>
      <c r="G11">
        <f t="shared" si="2"/>
        <v>1.38666632</v>
      </c>
      <c r="H11">
        <v>1.3</v>
      </c>
      <c r="I11">
        <f t="shared" si="3"/>
        <v>0.17333329</v>
      </c>
      <c r="J11">
        <v>0.6</v>
      </c>
      <c r="K11">
        <f t="shared" si="4"/>
        <v>7.9999979999999984E-2</v>
      </c>
      <c r="L11">
        <v>6.6</v>
      </c>
      <c r="M11">
        <f t="shared" si="5"/>
        <v>0.8799997799999999</v>
      </c>
      <c r="N11">
        <v>3.7</v>
      </c>
      <c r="O11">
        <f t="shared" si="6"/>
        <v>0.49333320999999997</v>
      </c>
      <c r="P11">
        <v>8.1</v>
      </c>
      <c r="Q11">
        <f t="shared" si="7"/>
        <v>1.0799997299999999</v>
      </c>
      <c r="R11">
        <v>0.5</v>
      </c>
      <c r="S11">
        <f t="shared" si="8"/>
        <v>6.6666649999999994E-2</v>
      </c>
      <c r="T11">
        <v>8.6999999999999993</v>
      </c>
      <c r="U11">
        <f t="shared" si="9"/>
        <v>1.1599997099999999</v>
      </c>
      <c r="W11">
        <v>8</v>
      </c>
      <c r="X11">
        <v>-0.3</v>
      </c>
      <c r="Y11">
        <f t="shared" si="10"/>
        <v>-3.9999989999999992E-2</v>
      </c>
      <c r="Z11">
        <v>0</v>
      </c>
      <c r="AA11">
        <f t="shared" si="11"/>
        <v>0</v>
      </c>
      <c r="AB11">
        <v>3.5</v>
      </c>
      <c r="AC11">
        <f t="shared" si="12"/>
        <v>0.46666654999999996</v>
      </c>
      <c r="AD11">
        <v>5.0999999999999996</v>
      </c>
      <c r="AE11">
        <f t="shared" si="13"/>
        <v>0.67999982999999986</v>
      </c>
      <c r="AF11">
        <v>7.6</v>
      </c>
      <c r="AG11">
        <f t="shared" si="14"/>
        <v>1.0133330799999998</v>
      </c>
      <c r="AH11">
        <v>6.7</v>
      </c>
      <c r="AI11">
        <f t="shared" si="15"/>
        <v>0.89333310999999993</v>
      </c>
      <c r="AJ11">
        <v>6.6</v>
      </c>
      <c r="AK11">
        <f t="shared" si="16"/>
        <v>0.8799997799999999</v>
      </c>
      <c r="AL11">
        <v>6.7</v>
      </c>
      <c r="AM11">
        <f t="shared" si="17"/>
        <v>0.89333310999999993</v>
      </c>
      <c r="AN11">
        <v>1.3</v>
      </c>
      <c r="AO11">
        <f t="shared" si="18"/>
        <v>0.17333329</v>
      </c>
      <c r="AP11">
        <v>13.3</v>
      </c>
      <c r="AQ11">
        <f t="shared" si="19"/>
        <v>1.7733328899999998</v>
      </c>
      <c r="AS11">
        <v>8</v>
      </c>
      <c r="AT11">
        <v>15.4</v>
      </c>
      <c r="AU11">
        <f t="shared" si="20"/>
        <v>2.0533328200000001</v>
      </c>
      <c r="AV11">
        <v>5.2</v>
      </c>
      <c r="AW11">
        <f t="shared" si="21"/>
        <v>0.69333316</v>
      </c>
      <c r="AX11">
        <v>5.2</v>
      </c>
      <c r="AY11">
        <f t="shared" si="22"/>
        <v>0.69333316</v>
      </c>
      <c r="AZ11">
        <v>3.9</v>
      </c>
      <c r="BA11">
        <f t="shared" si="23"/>
        <v>0.51999986999999992</v>
      </c>
      <c r="BB11">
        <v>5</v>
      </c>
      <c r="BC11">
        <f t="shared" si="24"/>
        <v>0.66666649999999994</v>
      </c>
      <c r="BD11">
        <v>9.1</v>
      </c>
      <c r="BE11">
        <f t="shared" si="25"/>
        <v>1.2133330299999998</v>
      </c>
      <c r="BF11">
        <v>14.1</v>
      </c>
      <c r="BG11">
        <f t="shared" si="26"/>
        <v>1.8799995299999999</v>
      </c>
      <c r="BH11">
        <v>13.7</v>
      </c>
      <c r="BI11">
        <f t="shared" si="27"/>
        <v>1.8266662099999997</v>
      </c>
      <c r="BJ11">
        <v>7.4</v>
      </c>
      <c r="BK11">
        <f t="shared" si="28"/>
        <v>0.98666641999999993</v>
      </c>
      <c r="BL11">
        <v>14.5</v>
      </c>
      <c r="BM11">
        <f t="shared" si="29"/>
        <v>1.9333328499999998</v>
      </c>
    </row>
    <row r="12" spans="1:83" x14ac:dyDescent="0.35">
      <c r="A12">
        <v>9</v>
      </c>
      <c r="B12">
        <v>-0.6</v>
      </c>
      <c r="C12">
        <f t="shared" si="0"/>
        <v>-7.9999979999999984E-2</v>
      </c>
      <c r="D12">
        <v>0.1</v>
      </c>
      <c r="E12">
        <f t="shared" si="1"/>
        <v>1.3333329999999999E-2</v>
      </c>
      <c r="F12">
        <v>15.8</v>
      </c>
      <c r="G12">
        <f t="shared" si="2"/>
        <v>2.1066661399999997</v>
      </c>
      <c r="H12">
        <v>1.8</v>
      </c>
      <c r="I12">
        <f t="shared" si="3"/>
        <v>0.23999993999999999</v>
      </c>
      <c r="J12">
        <v>0.7</v>
      </c>
      <c r="K12">
        <f t="shared" si="4"/>
        <v>9.3333309999999989E-2</v>
      </c>
      <c r="L12">
        <v>7</v>
      </c>
      <c r="M12">
        <f t="shared" si="5"/>
        <v>0.93333309999999992</v>
      </c>
      <c r="N12">
        <v>5</v>
      </c>
      <c r="O12">
        <f t="shared" si="6"/>
        <v>0.66666649999999994</v>
      </c>
      <c r="P12">
        <v>9.9</v>
      </c>
      <c r="Q12">
        <f t="shared" si="7"/>
        <v>1.3199996699999998</v>
      </c>
      <c r="R12">
        <v>0.5</v>
      </c>
      <c r="S12">
        <f t="shared" si="8"/>
        <v>6.6666649999999994E-2</v>
      </c>
      <c r="T12">
        <v>9.8000000000000007</v>
      </c>
      <c r="U12">
        <f t="shared" si="9"/>
        <v>1.30666634</v>
      </c>
      <c r="W12">
        <v>9</v>
      </c>
      <c r="X12">
        <v>-0.3</v>
      </c>
      <c r="Y12">
        <f t="shared" si="10"/>
        <v>-3.9999989999999992E-2</v>
      </c>
      <c r="Z12">
        <v>0</v>
      </c>
      <c r="AA12">
        <f t="shared" si="11"/>
        <v>0</v>
      </c>
      <c r="AB12">
        <v>3.9</v>
      </c>
      <c r="AC12">
        <f t="shared" si="12"/>
        <v>0.51999986999999992</v>
      </c>
      <c r="AD12">
        <v>5.3</v>
      </c>
      <c r="AE12">
        <f t="shared" si="13"/>
        <v>0.70666648999999992</v>
      </c>
      <c r="AF12">
        <v>13.7</v>
      </c>
      <c r="AG12">
        <f t="shared" si="14"/>
        <v>1.8266662099999997</v>
      </c>
      <c r="AH12">
        <v>8.1</v>
      </c>
      <c r="AI12">
        <f t="shared" si="15"/>
        <v>1.0799997299999999</v>
      </c>
      <c r="AJ12">
        <v>6.9</v>
      </c>
      <c r="AK12">
        <f t="shared" si="16"/>
        <v>0.91999976999999999</v>
      </c>
      <c r="AL12">
        <v>7.6</v>
      </c>
      <c r="AM12">
        <f t="shared" si="17"/>
        <v>1.0133330799999998</v>
      </c>
      <c r="AN12">
        <v>1.4</v>
      </c>
      <c r="AO12">
        <f t="shared" si="18"/>
        <v>0.18666661999999998</v>
      </c>
      <c r="AP12">
        <v>14.1</v>
      </c>
      <c r="AQ12">
        <f t="shared" si="19"/>
        <v>1.8799995299999999</v>
      </c>
      <c r="AS12">
        <v>9</v>
      </c>
      <c r="AT12">
        <v>16.399999999999999</v>
      </c>
      <c r="AU12">
        <f t="shared" si="20"/>
        <v>2.1866661199999995</v>
      </c>
      <c r="AV12">
        <v>5.4</v>
      </c>
      <c r="AW12">
        <f t="shared" si="21"/>
        <v>0.71999981999999996</v>
      </c>
      <c r="AX12">
        <v>5.4</v>
      </c>
      <c r="AY12">
        <f t="shared" si="22"/>
        <v>0.71999981999999996</v>
      </c>
      <c r="AZ12">
        <v>4.0999999999999996</v>
      </c>
      <c r="BA12">
        <f t="shared" si="23"/>
        <v>0.54666652999999987</v>
      </c>
      <c r="BB12">
        <v>5.6</v>
      </c>
      <c r="BC12">
        <f t="shared" si="24"/>
        <v>0.74666647999999991</v>
      </c>
      <c r="BD12">
        <v>9.6999999999999993</v>
      </c>
      <c r="BE12">
        <f t="shared" si="25"/>
        <v>1.2933330099999998</v>
      </c>
      <c r="BF12">
        <v>19.3</v>
      </c>
      <c r="BG12">
        <f t="shared" si="26"/>
        <v>2.57333269</v>
      </c>
      <c r="BH12">
        <v>14.6</v>
      </c>
      <c r="BI12">
        <f t="shared" si="27"/>
        <v>1.9466661799999998</v>
      </c>
      <c r="BJ12">
        <v>9.8000000000000007</v>
      </c>
      <c r="BK12">
        <f t="shared" si="28"/>
        <v>1.30666634</v>
      </c>
      <c r="BL12">
        <v>31.4</v>
      </c>
      <c r="BM12">
        <f t="shared" si="29"/>
        <v>4.1866656199999994</v>
      </c>
    </row>
    <row r="13" spans="1:83" x14ac:dyDescent="0.35">
      <c r="A13">
        <v>10</v>
      </c>
      <c r="B13">
        <v>-0.4</v>
      </c>
      <c r="C13">
        <f t="shared" si="0"/>
        <v>-5.3333319999999997E-2</v>
      </c>
      <c r="D13">
        <v>0.1</v>
      </c>
      <c r="E13">
        <f t="shared" si="1"/>
        <v>1.3333329999999999E-2</v>
      </c>
      <c r="F13">
        <v>22.3</v>
      </c>
      <c r="G13">
        <f t="shared" si="2"/>
        <v>2.9733325899999996</v>
      </c>
      <c r="H13">
        <v>2.9</v>
      </c>
      <c r="I13">
        <f t="shared" si="3"/>
        <v>0.38666656999999993</v>
      </c>
      <c r="J13">
        <v>0.7</v>
      </c>
      <c r="K13">
        <f t="shared" si="4"/>
        <v>9.3333309999999989E-2</v>
      </c>
      <c r="L13">
        <v>7.6</v>
      </c>
      <c r="M13">
        <f t="shared" si="5"/>
        <v>1.0133330799999998</v>
      </c>
      <c r="N13">
        <v>6.6</v>
      </c>
      <c r="O13">
        <f t="shared" si="6"/>
        <v>0.8799997799999999</v>
      </c>
      <c r="P13">
        <v>11.9</v>
      </c>
      <c r="Q13">
        <f t="shared" si="7"/>
        <v>1.5866662699999998</v>
      </c>
      <c r="R13">
        <v>0.5</v>
      </c>
      <c r="S13">
        <f t="shared" si="8"/>
        <v>6.6666649999999994E-2</v>
      </c>
      <c r="T13">
        <v>12</v>
      </c>
      <c r="U13">
        <f t="shared" si="9"/>
        <v>1.5999995999999999</v>
      </c>
      <c r="W13">
        <v>10</v>
      </c>
      <c r="X13">
        <v>-0.2</v>
      </c>
      <c r="Y13">
        <f t="shared" si="10"/>
        <v>-2.6666659999999998E-2</v>
      </c>
      <c r="Z13">
        <v>0</v>
      </c>
      <c r="AA13">
        <f t="shared" si="11"/>
        <v>0</v>
      </c>
      <c r="AB13">
        <v>5.9</v>
      </c>
      <c r="AC13">
        <f t="shared" si="12"/>
        <v>0.78666647000000001</v>
      </c>
      <c r="AD13">
        <v>5.6</v>
      </c>
      <c r="AE13">
        <f t="shared" si="13"/>
        <v>0.74666647999999991</v>
      </c>
      <c r="AF13">
        <v>28.4</v>
      </c>
      <c r="AG13">
        <f t="shared" si="14"/>
        <v>3.7866657199999993</v>
      </c>
      <c r="AH13">
        <v>10</v>
      </c>
      <c r="AI13">
        <f t="shared" si="15"/>
        <v>1.3333329999999999</v>
      </c>
      <c r="AJ13">
        <v>6.8</v>
      </c>
      <c r="AK13">
        <f t="shared" si="16"/>
        <v>0.90666643999999985</v>
      </c>
      <c r="AL13">
        <v>9.6999999999999993</v>
      </c>
      <c r="AM13">
        <f t="shared" si="17"/>
        <v>1.2933330099999998</v>
      </c>
      <c r="AN13">
        <v>1.6</v>
      </c>
      <c r="AO13">
        <f t="shared" si="18"/>
        <v>0.21333327999999999</v>
      </c>
      <c r="AP13">
        <v>14.8</v>
      </c>
      <c r="AQ13">
        <f t="shared" si="19"/>
        <v>1.9733328399999999</v>
      </c>
      <c r="AS13">
        <v>10</v>
      </c>
      <c r="AT13">
        <v>17.100000000000001</v>
      </c>
      <c r="AU13">
        <f t="shared" si="20"/>
        <v>2.2799994300000002</v>
      </c>
      <c r="AV13">
        <v>5.6</v>
      </c>
      <c r="AW13">
        <f t="shared" si="21"/>
        <v>0.74666647999999991</v>
      </c>
      <c r="AX13">
        <v>5.7</v>
      </c>
      <c r="AY13">
        <f t="shared" si="22"/>
        <v>0.75999980999999994</v>
      </c>
      <c r="AZ13">
        <v>4.0999999999999996</v>
      </c>
      <c r="BA13">
        <f t="shared" si="23"/>
        <v>0.54666652999999987</v>
      </c>
      <c r="BB13">
        <v>6.2</v>
      </c>
      <c r="BC13">
        <f t="shared" si="24"/>
        <v>0.82666645999999999</v>
      </c>
      <c r="BD13">
        <v>10.3</v>
      </c>
      <c r="BE13">
        <f t="shared" si="25"/>
        <v>1.37333299</v>
      </c>
      <c r="BF13">
        <v>29.8</v>
      </c>
      <c r="BG13">
        <f t="shared" si="26"/>
        <v>3.9733323399999998</v>
      </c>
      <c r="BH13">
        <v>15.5</v>
      </c>
      <c r="BI13">
        <f t="shared" si="27"/>
        <v>2.0666661499999996</v>
      </c>
      <c r="BJ13">
        <v>14.8</v>
      </c>
      <c r="BK13">
        <f t="shared" si="28"/>
        <v>1.9733328399999999</v>
      </c>
      <c r="BL13">
        <v>55.4</v>
      </c>
      <c r="BM13">
        <f t="shared" si="29"/>
        <v>7.3866648199999991</v>
      </c>
    </row>
    <row r="14" spans="1:83" x14ac:dyDescent="0.35">
      <c r="A14">
        <v>11</v>
      </c>
      <c r="B14">
        <v>-0.2</v>
      </c>
      <c r="C14">
        <f t="shared" si="0"/>
        <v>-2.6666659999999998E-2</v>
      </c>
      <c r="D14">
        <v>0.1</v>
      </c>
      <c r="E14">
        <f t="shared" si="1"/>
        <v>1.3333329999999999E-2</v>
      </c>
      <c r="F14">
        <v>29</v>
      </c>
      <c r="G14">
        <f t="shared" si="2"/>
        <v>3.8666656999999995</v>
      </c>
      <c r="H14">
        <v>4.4000000000000004</v>
      </c>
      <c r="I14">
        <f t="shared" si="3"/>
        <v>0.58666651999999997</v>
      </c>
      <c r="J14">
        <v>0.8</v>
      </c>
      <c r="K14">
        <f t="shared" si="4"/>
        <v>0.10666663999999999</v>
      </c>
      <c r="L14">
        <v>8.1999999999999993</v>
      </c>
      <c r="M14">
        <f t="shared" si="5"/>
        <v>1.0933330599999997</v>
      </c>
      <c r="N14">
        <v>7.9</v>
      </c>
      <c r="O14">
        <f t="shared" si="6"/>
        <v>1.0533330699999999</v>
      </c>
      <c r="P14">
        <v>14.2</v>
      </c>
      <c r="Q14">
        <f t="shared" si="7"/>
        <v>1.8933328599999997</v>
      </c>
      <c r="R14">
        <v>0.6</v>
      </c>
      <c r="S14">
        <f t="shared" si="8"/>
        <v>7.9999979999999984E-2</v>
      </c>
      <c r="T14">
        <v>18.399999999999999</v>
      </c>
      <c r="U14">
        <f t="shared" si="9"/>
        <v>2.4533327199999997</v>
      </c>
      <c r="W14">
        <v>11</v>
      </c>
      <c r="X14">
        <v>-0.1</v>
      </c>
      <c r="Y14">
        <f t="shared" si="10"/>
        <v>-1.3333329999999999E-2</v>
      </c>
      <c r="Z14">
        <v>0</v>
      </c>
      <c r="AA14">
        <f t="shared" si="11"/>
        <v>0</v>
      </c>
      <c r="AB14">
        <v>14.9</v>
      </c>
      <c r="AC14">
        <f t="shared" si="12"/>
        <v>1.9866661699999999</v>
      </c>
      <c r="AD14">
        <v>5.8</v>
      </c>
      <c r="AE14">
        <f t="shared" si="13"/>
        <v>0.77333313999999986</v>
      </c>
      <c r="AF14">
        <v>71.8</v>
      </c>
      <c r="AG14">
        <f t="shared" si="14"/>
        <v>9.5733309399999982</v>
      </c>
      <c r="AH14">
        <v>13</v>
      </c>
      <c r="AI14">
        <f t="shared" si="15"/>
        <v>1.7333328999999997</v>
      </c>
      <c r="AJ14">
        <v>6.5</v>
      </c>
      <c r="AK14">
        <f t="shared" si="16"/>
        <v>0.86666644999999987</v>
      </c>
      <c r="AL14">
        <v>12.3</v>
      </c>
      <c r="AM14">
        <f t="shared" si="17"/>
        <v>1.63999959</v>
      </c>
      <c r="AN14">
        <v>2.1</v>
      </c>
      <c r="AO14">
        <f t="shared" si="18"/>
        <v>0.27999993000000001</v>
      </c>
      <c r="AP14">
        <v>16.399999999999999</v>
      </c>
      <c r="AQ14">
        <f t="shared" si="19"/>
        <v>2.1866661199999995</v>
      </c>
      <c r="AS14">
        <v>11</v>
      </c>
      <c r="AT14">
        <v>17.2</v>
      </c>
      <c r="AU14">
        <f t="shared" si="20"/>
        <v>2.2933327599999997</v>
      </c>
      <c r="AV14">
        <v>5.8</v>
      </c>
      <c r="AW14">
        <f t="shared" si="21"/>
        <v>0.77333313999999986</v>
      </c>
      <c r="AX14">
        <v>6</v>
      </c>
      <c r="AY14">
        <f t="shared" si="22"/>
        <v>0.79999979999999993</v>
      </c>
      <c r="AZ14">
        <v>4.0999999999999996</v>
      </c>
      <c r="BA14">
        <f t="shared" si="23"/>
        <v>0.54666652999999987</v>
      </c>
      <c r="BB14">
        <v>6.8</v>
      </c>
      <c r="BC14">
        <f t="shared" si="24"/>
        <v>0.90666643999999985</v>
      </c>
      <c r="BD14">
        <v>11.4</v>
      </c>
      <c r="BE14">
        <f t="shared" si="25"/>
        <v>1.5199996199999999</v>
      </c>
      <c r="BF14">
        <v>46</v>
      </c>
      <c r="BG14">
        <f t="shared" si="26"/>
        <v>6.1333317999999997</v>
      </c>
      <c r="BH14">
        <v>16.7</v>
      </c>
      <c r="BI14">
        <f t="shared" si="27"/>
        <v>2.2266661099999996</v>
      </c>
      <c r="BJ14">
        <v>25.9</v>
      </c>
      <c r="BK14">
        <f t="shared" si="28"/>
        <v>3.4533324699999994</v>
      </c>
      <c r="BL14">
        <v>111.9</v>
      </c>
      <c r="BM14">
        <f t="shared" si="29"/>
        <v>14.919996269999999</v>
      </c>
    </row>
    <row r="15" spans="1:83" x14ac:dyDescent="0.35">
      <c r="A15">
        <v>12</v>
      </c>
      <c r="B15">
        <v>0.1</v>
      </c>
      <c r="C15">
        <f t="shared" si="0"/>
        <v>1.3333329999999999E-2</v>
      </c>
      <c r="D15">
        <v>0.1</v>
      </c>
      <c r="E15">
        <f t="shared" si="1"/>
        <v>1.3333329999999999E-2</v>
      </c>
      <c r="F15">
        <v>36.799999999999997</v>
      </c>
      <c r="G15">
        <f t="shared" si="2"/>
        <v>4.9066654399999994</v>
      </c>
      <c r="H15">
        <v>5.7</v>
      </c>
      <c r="I15">
        <f t="shared" si="3"/>
        <v>0.75999980999999994</v>
      </c>
      <c r="J15">
        <v>0.8</v>
      </c>
      <c r="K15">
        <f t="shared" si="4"/>
        <v>0.10666663999999999</v>
      </c>
      <c r="L15">
        <v>8.6999999999999993</v>
      </c>
      <c r="M15">
        <f t="shared" si="5"/>
        <v>1.1599997099999999</v>
      </c>
      <c r="N15">
        <v>8.6999999999999993</v>
      </c>
      <c r="O15">
        <f t="shared" si="6"/>
        <v>1.1599997099999999</v>
      </c>
      <c r="P15">
        <v>17.3</v>
      </c>
      <c r="Q15">
        <f t="shared" si="7"/>
        <v>2.3066660899999998</v>
      </c>
      <c r="R15">
        <v>0.6</v>
      </c>
      <c r="S15">
        <f t="shared" si="8"/>
        <v>7.9999979999999984E-2</v>
      </c>
      <c r="T15">
        <v>35.200000000000003</v>
      </c>
      <c r="U15">
        <f t="shared" si="9"/>
        <v>4.6933321599999998</v>
      </c>
      <c r="W15">
        <v>12</v>
      </c>
      <c r="X15">
        <v>-0.1</v>
      </c>
      <c r="Y15">
        <f t="shared" si="10"/>
        <v>-1.3333329999999999E-2</v>
      </c>
      <c r="Z15">
        <v>0</v>
      </c>
      <c r="AA15">
        <f t="shared" si="11"/>
        <v>0</v>
      </c>
      <c r="AB15">
        <v>63.4</v>
      </c>
      <c r="AC15">
        <f t="shared" si="12"/>
        <v>8.453331219999999</v>
      </c>
      <c r="AD15">
        <v>6.4</v>
      </c>
      <c r="AE15">
        <f t="shared" si="13"/>
        <v>0.85333311999999995</v>
      </c>
      <c r="AF15">
        <v>182.2</v>
      </c>
      <c r="AG15">
        <f t="shared" si="14"/>
        <v>24.293327259999995</v>
      </c>
      <c r="AH15">
        <v>18.8</v>
      </c>
      <c r="AI15">
        <f t="shared" si="15"/>
        <v>2.5066660399999998</v>
      </c>
      <c r="AJ15">
        <v>6.1</v>
      </c>
      <c r="AK15">
        <f t="shared" si="16"/>
        <v>0.81333312999999985</v>
      </c>
      <c r="AL15">
        <v>15.6</v>
      </c>
      <c r="AM15">
        <f t="shared" si="17"/>
        <v>2.0799994799999997</v>
      </c>
      <c r="AN15">
        <v>3.4</v>
      </c>
      <c r="AO15">
        <f t="shared" si="18"/>
        <v>0.45333321999999993</v>
      </c>
      <c r="AP15">
        <v>19.3</v>
      </c>
      <c r="AQ15">
        <f t="shared" si="19"/>
        <v>2.57333269</v>
      </c>
      <c r="AS15">
        <v>12</v>
      </c>
      <c r="AT15">
        <v>17.2</v>
      </c>
      <c r="AU15">
        <f t="shared" si="20"/>
        <v>2.2933327599999997</v>
      </c>
      <c r="AV15">
        <v>6.1</v>
      </c>
      <c r="AW15">
        <f t="shared" si="21"/>
        <v>0.81333312999999985</v>
      </c>
      <c r="AX15">
        <v>6.6</v>
      </c>
      <c r="AY15">
        <f t="shared" si="22"/>
        <v>0.8799997799999999</v>
      </c>
      <c r="AZ15">
        <v>4.0999999999999996</v>
      </c>
      <c r="BA15">
        <f t="shared" si="23"/>
        <v>0.54666652999999987</v>
      </c>
      <c r="BB15">
        <v>7.4</v>
      </c>
      <c r="BC15">
        <f t="shared" si="24"/>
        <v>0.98666641999999993</v>
      </c>
      <c r="BD15">
        <v>15.5</v>
      </c>
      <c r="BE15">
        <f t="shared" si="25"/>
        <v>2.0666661499999996</v>
      </c>
      <c r="BF15">
        <v>77.3</v>
      </c>
      <c r="BG15">
        <f t="shared" si="26"/>
        <v>10.306664089999998</v>
      </c>
      <c r="BH15">
        <v>18.3</v>
      </c>
      <c r="BI15">
        <f t="shared" si="27"/>
        <v>2.4399993899999997</v>
      </c>
      <c r="BJ15">
        <v>46.2</v>
      </c>
      <c r="BK15">
        <f t="shared" si="28"/>
        <v>6.1599984599999997</v>
      </c>
      <c r="BL15">
        <v>237.7</v>
      </c>
      <c r="BM15">
        <f t="shared" si="29"/>
        <v>31.693325409999996</v>
      </c>
    </row>
    <row r="16" spans="1:83" x14ac:dyDescent="0.35">
      <c r="A16">
        <v>13</v>
      </c>
      <c r="B16">
        <v>0.5</v>
      </c>
      <c r="C16">
        <f t="shared" si="0"/>
        <v>6.6666649999999994E-2</v>
      </c>
      <c r="D16">
        <v>0.1</v>
      </c>
      <c r="E16">
        <f t="shared" si="1"/>
        <v>1.3333329999999999E-2</v>
      </c>
      <c r="F16">
        <v>49.4</v>
      </c>
      <c r="G16">
        <f t="shared" si="2"/>
        <v>6.586665019999999</v>
      </c>
      <c r="H16">
        <v>6.5</v>
      </c>
      <c r="I16">
        <f t="shared" si="3"/>
        <v>0.86666644999999987</v>
      </c>
      <c r="J16">
        <v>1</v>
      </c>
      <c r="K16">
        <f t="shared" si="4"/>
        <v>0.13333329999999999</v>
      </c>
      <c r="L16">
        <v>9</v>
      </c>
      <c r="M16">
        <f t="shared" si="5"/>
        <v>1.1999996999999998</v>
      </c>
      <c r="N16">
        <v>9.1999999999999993</v>
      </c>
      <c r="O16">
        <f t="shared" si="6"/>
        <v>1.2266663599999998</v>
      </c>
      <c r="P16">
        <v>25.1</v>
      </c>
      <c r="Q16">
        <f t="shared" si="7"/>
        <v>3.3466658300000001</v>
      </c>
      <c r="R16">
        <v>0.7</v>
      </c>
      <c r="S16">
        <f t="shared" si="8"/>
        <v>9.3333309999999989E-2</v>
      </c>
      <c r="T16">
        <v>79.8</v>
      </c>
      <c r="U16">
        <f t="shared" si="9"/>
        <v>10.639997339999999</v>
      </c>
      <c r="W16">
        <v>13</v>
      </c>
      <c r="X16">
        <v>0</v>
      </c>
      <c r="Y16">
        <f t="shared" si="10"/>
        <v>0</v>
      </c>
      <c r="Z16">
        <v>0</v>
      </c>
      <c r="AA16">
        <f t="shared" si="11"/>
        <v>0</v>
      </c>
      <c r="AB16">
        <v>186.5</v>
      </c>
      <c r="AC16">
        <f t="shared" si="12"/>
        <v>24.866660449999998</v>
      </c>
      <c r="AD16">
        <v>7.9</v>
      </c>
      <c r="AE16">
        <f t="shared" si="13"/>
        <v>1.0533330699999999</v>
      </c>
      <c r="AF16">
        <v>360.6</v>
      </c>
      <c r="AG16">
        <f t="shared" si="14"/>
        <v>48.079987979999999</v>
      </c>
      <c r="AH16">
        <v>33.200000000000003</v>
      </c>
      <c r="AI16">
        <f t="shared" si="15"/>
        <v>4.42666556</v>
      </c>
      <c r="AJ16">
        <v>5.7</v>
      </c>
      <c r="AK16">
        <f t="shared" si="16"/>
        <v>0.75999980999999994</v>
      </c>
      <c r="AL16">
        <v>20.7</v>
      </c>
      <c r="AM16">
        <f t="shared" si="17"/>
        <v>2.7599993099999995</v>
      </c>
      <c r="AN16">
        <v>5.0999999999999996</v>
      </c>
      <c r="AO16">
        <f t="shared" si="18"/>
        <v>0.67999982999999986</v>
      </c>
      <c r="AP16">
        <v>23.8</v>
      </c>
      <c r="AQ16">
        <f t="shared" si="19"/>
        <v>3.1733325399999996</v>
      </c>
      <c r="AS16">
        <v>13</v>
      </c>
      <c r="AT16">
        <v>17.3</v>
      </c>
      <c r="AU16">
        <f t="shared" si="20"/>
        <v>2.3066660899999998</v>
      </c>
      <c r="AV16">
        <v>6.4</v>
      </c>
      <c r="AW16">
        <f t="shared" si="21"/>
        <v>0.85333311999999995</v>
      </c>
      <c r="AX16">
        <v>7.2</v>
      </c>
      <c r="AY16">
        <f t="shared" si="22"/>
        <v>0.95999975999999998</v>
      </c>
      <c r="AZ16">
        <v>4.0999999999999996</v>
      </c>
      <c r="BA16">
        <f t="shared" si="23"/>
        <v>0.54666652999999987</v>
      </c>
      <c r="BB16">
        <v>8</v>
      </c>
      <c r="BC16">
        <f t="shared" si="24"/>
        <v>1.0666663999999999</v>
      </c>
      <c r="BD16">
        <v>30.7</v>
      </c>
      <c r="BE16">
        <f t="shared" si="25"/>
        <v>4.0933323099999992</v>
      </c>
      <c r="BF16">
        <v>192.6</v>
      </c>
      <c r="BG16">
        <f t="shared" si="26"/>
        <v>25.679993579999998</v>
      </c>
      <c r="BH16">
        <v>20.5</v>
      </c>
      <c r="BI16">
        <f t="shared" si="27"/>
        <v>2.7333326499999999</v>
      </c>
      <c r="BJ16">
        <v>94.2</v>
      </c>
      <c r="BK16">
        <f t="shared" si="28"/>
        <v>12.55999686</v>
      </c>
      <c r="BL16">
        <v>336.5</v>
      </c>
      <c r="BM16">
        <f t="shared" si="29"/>
        <v>44.866655449999996</v>
      </c>
    </row>
    <row r="17" spans="1:65" x14ac:dyDescent="0.35">
      <c r="A17">
        <v>14</v>
      </c>
      <c r="B17">
        <v>1.5</v>
      </c>
      <c r="C17">
        <f t="shared" si="0"/>
        <v>0.19999994999999998</v>
      </c>
      <c r="D17">
        <v>0.1</v>
      </c>
      <c r="E17">
        <f t="shared" si="1"/>
        <v>1.3333329999999999E-2</v>
      </c>
      <c r="F17">
        <v>78.2</v>
      </c>
      <c r="G17">
        <f t="shared" si="2"/>
        <v>10.42666406</v>
      </c>
      <c r="H17">
        <v>6.7</v>
      </c>
      <c r="I17">
        <f t="shared" si="3"/>
        <v>0.89333310999999993</v>
      </c>
      <c r="J17">
        <v>2.1</v>
      </c>
      <c r="K17">
        <f t="shared" si="4"/>
        <v>0.27999993000000001</v>
      </c>
      <c r="L17">
        <v>9.1999999999999993</v>
      </c>
      <c r="M17">
        <f t="shared" si="5"/>
        <v>1.2266663599999998</v>
      </c>
      <c r="N17">
        <v>9.4</v>
      </c>
      <c r="O17">
        <f t="shared" si="6"/>
        <v>1.2533330199999999</v>
      </c>
      <c r="P17">
        <v>43.7</v>
      </c>
      <c r="Q17">
        <f t="shared" si="7"/>
        <v>5.8266652099999998</v>
      </c>
      <c r="R17">
        <v>0.7</v>
      </c>
      <c r="S17">
        <f t="shared" si="8"/>
        <v>9.3333309999999989E-2</v>
      </c>
      <c r="T17">
        <v>187.7</v>
      </c>
      <c r="U17">
        <f t="shared" si="9"/>
        <v>25.026660409999995</v>
      </c>
      <c r="W17">
        <v>14</v>
      </c>
      <c r="X17">
        <v>0</v>
      </c>
      <c r="Y17">
        <f t="shared" si="10"/>
        <v>0</v>
      </c>
      <c r="Z17">
        <v>0.1</v>
      </c>
      <c r="AA17">
        <f t="shared" si="11"/>
        <v>1.3333329999999999E-2</v>
      </c>
      <c r="AB17">
        <v>340.3</v>
      </c>
      <c r="AC17">
        <f t="shared" si="12"/>
        <v>45.373321990000001</v>
      </c>
      <c r="AD17">
        <v>11.3</v>
      </c>
      <c r="AE17">
        <f t="shared" si="13"/>
        <v>1.5066662899999999</v>
      </c>
      <c r="AF17">
        <v>555</v>
      </c>
      <c r="AG17">
        <f t="shared" si="14"/>
        <v>73.99998149999999</v>
      </c>
      <c r="AH17">
        <v>72.8</v>
      </c>
      <c r="AI17">
        <f t="shared" si="15"/>
        <v>9.7066642399999985</v>
      </c>
      <c r="AJ17">
        <v>5.4</v>
      </c>
      <c r="AK17">
        <f t="shared" si="16"/>
        <v>0.71999981999999996</v>
      </c>
      <c r="AL17">
        <v>29.9</v>
      </c>
      <c r="AM17">
        <f t="shared" si="17"/>
        <v>3.9866656699999994</v>
      </c>
      <c r="AN17">
        <v>6.9</v>
      </c>
      <c r="AO17">
        <f t="shared" si="18"/>
        <v>0.91999976999999999</v>
      </c>
      <c r="AP17">
        <v>33.299999999999997</v>
      </c>
      <c r="AQ17">
        <f t="shared" si="19"/>
        <v>4.4399988899999991</v>
      </c>
      <c r="AS17">
        <v>14</v>
      </c>
      <c r="AT17">
        <v>17.5</v>
      </c>
      <c r="AU17">
        <f t="shared" si="20"/>
        <v>2.3333327499999998</v>
      </c>
      <c r="AV17">
        <v>6.7</v>
      </c>
      <c r="AW17">
        <f t="shared" si="21"/>
        <v>0.89333310999999993</v>
      </c>
      <c r="AX17">
        <v>8.4</v>
      </c>
      <c r="AY17">
        <f t="shared" si="22"/>
        <v>1.11999972</v>
      </c>
      <c r="AZ17">
        <v>4.0999999999999996</v>
      </c>
      <c r="BA17">
        <f t="shared" si="23"/>
        <v>0.54666652999999987</v>
      </c>
      <c r="BB17">
        <v>9.1</v>
      </c>
      <c r="BC17">
        <f t="shared" si="24"/>
        <v>1.2133330299999998</v>
      </c>
      <c r="BD17">
        <v>61.9</v>
      </c>
      <c r="BE17">
        <f t="shared" si="25"/>
        <v>8.2533312699999986</v>
      </c>
      <c r="BF17">
        <v>399.1</v>
      </c>
      <c r="BG17">
        <f t="shared" si="26"/>
        <v>53.213320029999998</v>
      </c>
      <c r="BH17">
        <v>25.5</v>
      </c>
      <c r="BI17">
        <f t="shared" si="27"/>
        <v>3.3999991499999997</v>
      </c>
      <c r="BJ17">
        <v>191.4</v>
      </c>
      <c r="BK17">
        <f t="shared" si="28"/>
        <v>25.519993619999997</v>
      </c>
      <c r="BL17">
        <v>408.5</v>
      </c>
      <c r="BM17">
        <f t="shared" si="29"/>
        <v>54.466653049999998</v>
      </c>
    </row>
    <row r="18" spans="1:65" x14ac:dyDescent="0.35">
      <c r="A18">
        <v>15</v>
      </c>
      <c r="B18">
        <v>4.8</v>
      </c>
      <c r="C18">
        <f t="shared" si="0"/>
        <v>0.63999983999999988</v>
      </c>
      <c r="D18">
        <v>0.1</v>
      </c>
      <c r="E18">
        <f t="shared" si="1"/>
        <v>1.3333329999999999E-2</v>
      </c>
      <c r="F18">
        <v>195.2</v>
      </c>
      <c r="G18">
        <f t="shared" si="2"/>
        <v>26.026660159999995</v>
      </c>
      <c r="H18">
        <v>6.5</v>
      </c>
      <c r="I18">
        <f t="shared" si="3"/>
        <v>0.86666644999999987</v>
      </c>
      <c r="J18">
        <v>8.4</v>
      </c>
      <c r="K18">
        <f t="shared" si="4"/>
        <v>1.11999972</v>
      </c>
      <c r="L18">
        <v>9.4</v>
      </c>
      <c r="M18">
        <f t="shared" si="5"/>
        <v>1.2533330199999999</v>
      </c>
      <c r="N18">
        <v>9.3000000000000007</v>
      </c>
      <c r="O18">
        <f t="shared" si="6"/>
        <v>1.2399996899999999</v>
      </c>
      <c r="P18">
        <v>104.5</v>
      </c>
      <c r="Q18">
        <f t="shared" si="7"/>
        <v>13.933329849999998</v>
      </c>
      <c r="R18">
        <v>0.8</v>
      </c>
      <c r="S18">
        <f t="shared" si="8"/>
        <v>0.10666663999999999</v>
      </c>
      <c r="T18">
        <v>323.7</v>
      </c>
      <c r="U18">
        <f t="shared" si="9"/>
        <v>43.159989209999992</v>
      </c>
      <c r="W18">
        <v>15</v>
      </c>
      <c r="X18">
        <v>0</v>
      </c>
      <c r="Y18">
        <f t="shared" si="10"/>
        <v>0</v>
      </c>
      <c r="Z18">
        <v>0.1</v>
      </c>
      <c r="AA18">
        <f t="shared" si="11"/>
        <v>1.3333329999999999E-2</v>
      </c>
      <c r="AB18">
        <v>506.3</v>
      </c>
      <c r="AC18">
        <f t="shared" si="12"/>
        <v>67.506649789999997</v>
      </c>
      <c r="AD18">
        <v>19.399999999999999</v>
      </c>
      <c r="AE18">
        <f t="shared" si="13"/>
        <v>2.5866660199999996</v>
      </c>
      <c r="AF18">
        <v>710.4</v>
      </c>
      <c r="AG18">
        <f t="shared" si="14"/>
        <v>94.719976319999986</v>
      </c>
      <c r="AH18">
        <v>205.8</v>
      </c>
      <c r="AI18">
        <f t="shared" si="15"/>
        <v>27.439993139999999</v>
      </c>
      <c r="AJ18">
        <v>5.0999999999999996</v>
      </c>
      <c r="AK18">
        <f t="shared" si="16"/>
        <v>0.67999982999999986</v>
      </c>
      <c r="AL18">
        <v>48.1</v>
      </c>
      <c r="AM18">
        <f t="shared" si="17"/>
        <v>6.4133317299999995</v>
      </c>
      <c r="AN18">
        <v>9.9</v>
      </c>
      <c r="AO18">
        <f t="shared" si="18"/>
        <v>1.3199996699999998</v>
      </c>
      <c r="AP18">
        <v>55.2</v>
      </c>
      <c r="AQ18">
        <f t="shared" si="19"/>
        <v>7.35999816</v>
      </c>
      <c r="AS18">
        <v>15</v>
      </c>
      <c r="AT18">
        <v>17.899999999999999</v>
      </c>
      <c r="AU18">
        <f t="shared" si="20"/>
        <v>2.3866660699999995</v>
      </c>
      <c r="AV18">
        <v>7</v>
      </c>
      <c r="AW18">
        <f t="shared" si="21"/>
        <v>0.93333309999999992</v>
      </c>
      <c r="AX18">
        <v>9.6</v>
      </c>
      <c r="AY18">
        <f t="shared" si="22"/>
        <v>1.2799996799999998</v>
      </c>
      <c r="AZ18">
        <v>4.2</v>
      </c>
      <c r="BA18">
        <f t="shared" si="23"/>
        <v>0.55999986000000002</v>
      </c>
      <c r="BB18">
        <v>11.4</v>
      </c>
      <c r="BC18">
        <f t="shared" si="24"/>
        <v>1.5199996199999999</v>
      </c>
      <c r="BD18">
        <v>116.6</v>
      </c>
      <c r="BE18">
        <f t="shared" si="25"/>
        <v>15.546662779999998</v>
      </c>
      <c r="BF18">
        <v>611.6</v>
      </c>
      <c r="BG18">
        <f t="shared" si="26"/>
        <v>81.54664627999999</v>
      </c>
      <c r="BH18">
        <v>39.4</v>
      </c>
      <c r="BI18">
        <f t="shared" si="27"/>
        <v>5.2533320199999993</v>
      </c>
      <c r="BJ18">
        <v>297.7</v>
      </c>
      <c r="BK18">
        <f t="shared" si="28"/>
        <v>39.693323409999998</v>
      </c>
      <c r="BL18">
        <v>480.4</v>
      </c>
      <c r="BM18">
        <f t="shared" si="29"/>
        <v>64.053317319999991</v>
      </c>
    </row>
    <row r="19" spans="1:65" x14ac:dyDescent="0.35">
      <c r="A19">
        <v>16</v>
      </c>
      <c r="B19">
        <v>18.399999999999999</v>
      </c>
      <c r="C19">
        <f t="shared" si="0"/>
        <v>2.4533327199999997</v>
      </c>
      <c r="D19">
        <v>0.1</v>
      </c>
      <c r="E19">
        <f t="shared" si="1"/>
        <v>1.3333329999999999E-2</v>
      </c>
      <c r="F19">
        <v>438.9</v>
      </c>
      <c r="G19">
        <f t="shared" si="2"/>
        <v>58.519985369999993</v>
      </c>
      <c r="H19">
        <v>6.1</v>
      </c>
      <c r="I19">
        <f t="shared" si="3"/>
        <v>0.81333312999999985</v>
      </c>
      <c r="J19">
        <v>34.1</v>
      </c>
      <c r="K19">
        <f t="shared" si="4"/>
        <v>4.5466655299999994</v>
      </c>
      <c r="L19">
        <v>9.5</v>
      </c>
      <c r="M19">
        <f t="shared" si="5"/>
        <v>1.2666663499999999</v>
      </c>
      <c r="N19">
        <v>8.9</v>
      </c>
      <c r="O19">
        <f t="shared" si="6"/>
        <v>1.18666637</v>
      </c>
      <c r="P19">
        <v>244.2</v>
      </c>
      <c r="Q19">
        <f t="shared" si="7"/>
        <v>32.559991859999997</v>
      </c>
      <c r="R19">
        <v>0.8</v>
      </c>
      <c r="S19">
        <f t="shared" si="8"/>
        <v>0.10666663999999999</v>
      </c>
      <c r="T19">
        <v>478.1</v>
      </c>
      <c r="U19">
        <f t="shared" si="9"/>
        <v>63.746650729999999</v>
      </c>
      <c r="W19">
        <v>16</v>
      </c>
      <c r="X19">
        <v>0</v>
      </c>
      <c r="Y19">
        <f t="shared" si="10"/>
        <v>0</v>
      </c>
      <c r="Z19">
        <v>0.1</v>
      </c>
      <c r="AA19">
        <f t="shared" si="11"/>
        <v>1.3333329999999999E-2</v>
      </c>
      <c r="AB19">
        <v>657.3</v>
      </c>
      <c r="AC19">
        <f t="shared" si="12"/>
        <v>87.639978089999985</v>
      </c>
      <c r="AD19">
        <v>49.7</v>
      </c>
      <c r="AE19">
        <f t="shared" si="13"/>
        <v>6.62666501</v>
      </c>
      <c r="AF19">
        <v>824.8</v>
      </c>
      <c r="AG19">
        <f t="shared" si="14"/>
        <v>109.97330583999998</v>
      </c>
      <c r="AH19">
        <v>482.2</v>
      </c>
      <c r="AI19">
        <f t="shared" si="15"/>
        <v>64.293317259999995</v>
      </c>
      <c r="AJ19">
        <v>4.8</v>
      </c>
      <c r="AK19">
        <f t="shared" si="16"/>
        <v>0.63999983999999988</v>
      </c>
      <c r="AL19">
        <v>77.2</v>
      </c>
      <c r="AM19">
        <f t="shared" si="17"/>
        <v>10.29333076</v>
      </c>
      <c r="AN19">
        <v>21.6</v>
      </c>
      <c r="AO19">
        <f t="shared" si="18"/>
        <v>2.8799992799999998</v>
      </c>
      <c r="AP19">
        <v>95</v>
      </c>
      <c r="AQ19">
        <f t="shared" si="19"/>
        <v>12.666663499999999</v>
      </c>
      <c r="AS19">
        <v>16</v>
      </c>
      <c r="AT19">
        <v>18.600000000000001</v>
      </c>
      <c r="AU19">
        <f t="shared" si="20"/>
        <v>2.4799993799999998</v>
      </c>
      <c r="AV19">
        <v>7.2</v>
      </c>
      <c r="AW19">
        <f t="shared" si="21"/>
        <v>0.95999975999999998</v>
      </c>
      <c r="AX19">
        <v>10.9</v>
      </c>
      <c r="AY19">
        <f t="shared" si="22"/>
        <v>1.4533329699999999</v>
      </c>
      <c r="AZ19">
        <v>4.3</v>
      </c>
      <c r="BA19">
        <f t="shared" si="23"/>
        <v>0.57333318999999994</v>
      </c>
      <c r="BB19">
        <v>15.3</v>
      </c>
      <c r="BC19">
        <f t="shared" si="24"/>
        <v>2.03999949</v>
      </c>
      <c r="BD19">
        <v>245.1</v>
      </c>
      <c r="BE19">
        <f t="shared" si="25"/>
        <v>32.679991829999999</v>
      </c>
      <c r="BF19">
        <v>770.3</v>
      </c>
      <c r="BG19">
        <f t="shared" si="26"/>
        <v>102.70664098999998</v>
      </c>
      <c r="BH19">
        <v>67.8</v>
      </c>
      <c r="BI19">
        <f t="shared" si="27"/>
        <v>9.0399977399999987</v>
      </c>
      <c r="BJ19">
        <v>408</v>
      </c>
      <c r="BK19">
        <f t="shared" si="28"/>
        <v>54.399986399999996</v>
      </c>
      <c r="BL19">
        <v>549.4</v>
      </c>
      <c r="BM19">
        <f t="shared" si="29"/>
        <v>73.253315019999988</v>
      </c>
    </row>
    <row r="20" spans="1:65" x14ac:dyDescent="0.35">
      <c r="A20">
        <v>17</v>
      </c>
      <c r="B20">
        <v>48.5</v>
      </c>
      <c r="C20">
        <f t="shared" si="0"/>
        <v>6.4666650499999996</v>
      </c>
      <c r="D20">
        <v>0.1</v>
      </c>
      <c r="E20">
        <f t="shared" si="1"/>
        <v>1.3333329999999999E-2</v>
      </c>
      <c r="F20">
        <v>659.1</v>
      </c>
      <c r="G20">
        <f t="shared" si="2"/>
        <v>87.87997802999999</v>
      </c>
      <c r="H20">
        <v>5.8</v>
      </c>
      <c r="I20">
        <f t="shared" si="3"/>
        <v>0.77333313999999986</v>
      </c>
      <c r="J20">
        <v>135.30000000000001</v>
      </c>
      <c r="K20">
        <f t="shared" si="4"/>
        <v>18.039995489999999</v>
      </c>
      <c r="L20">
        <v>9.6999999999999993</v>
      </c>
      <c r="M20">
        <f t="shared" si="5"/>
        <v>1.2933330099999998</v>
      </c>
      <c r="N20">
        <v>8.6999999999999993</v>
      </c>
      <c r="O20">
        <f t="shared" si="6"/>
        <v>1.1599997099999999</v>
      </c>
      <c r="P20">
        <v>392.3</v>
      </c>
      <c r="Q20">
        <f t="shared" si="7"/>
        <v>52.306653589999996</v>
      </c>
      <c r="R20">
        <v>1</v>
      </c>
      <c r="S20">
        <f t="shared" si="8"/>
        <v>0.13333329999999999</v>
      </c>
      <c r="T20">
        <v>637.79999999999995</v>
      </c>
      <c r="U20">
        <f t="shared" si="9"/>
        <v>85.039978739999981</v>
      </c>
      <c r="W20">
        <v>17</v>
      </c>
      <c r="X20">
        <v>0</v>
      </c>
      <c r="Y20">
        <f t="shared" si="10"/>
        <v>0</v>
      </c>
      <c r="Z20">
        <v>0.1</v>
      </c>
      <c r="AA20">
        <f t="shared" si="11"/>
        <v>1.3333329999999999E-2</v>
      </c>
      <c r="AB20">
        <v>786.8</v>
      </c>
      <c r="AC20">
        <f t="shared" si="12"/>
        <v>104.90664043999999</v>
      </c>
      <c r="AD20">
        <v>136.30000000000001</v>
      </c>
      <c r="AE20">
        <f t="shared" si="13"/>
        <v>18.173328789999999</v>
      </c>
      <c r="AF20">
        <v>913.7</v>
      </c>
      <c r="AG20">
        <f t="shared" si="14"/>
        <v>121.82663620999999</v>
      </c>
      <c r="AH20">
        <v>715.4</v>
      </c>
      <c r="AI20">
        <f t="shared" si="15"/>
        <v>95.386642819999992</v>
      </c>
      <c r="AJ20">
        <v>4.5999999999999996</v>
      </c>
      <c r="AK20">
        <f t="shared" si="16"/>
        <v>0.61333317999999992</v>
      </c>
      <c r="AL20">
        <v>137.19999999999999</v>
      </c>
      <c r="AM20">
        <f t="shared" si="17"/>
        <v>18.293328759999998</v>
      </c>
      <c r="AN20">
        <v>58.1</v>
      </c>
      <c r="AO20">
        <f t="shared" si="18"/>
        <v>7.7466647299999991</v>
      </c>
      <c r="AP20">
        <v>210.9</v>
      </c>
      <c r="AQ20">
        <f t="shared" si="19"/>
        <v>28.119992969999998</v>
      </c>
      <c r="AS20">
        <v>17</v>
      </c>
      <c r="AT20">
        <v>19.2</v>
      </c>
      <c r="AU20">
        <f t="shared" si="20"/>
        <v>2.5599993599999995</v>
      </c>
      <c r="AV20">
        <v>7.3</v>
      </c>
      <c r="AW20">
        <f t="shared" si="21"/>
        <v>0.9733330899999999</v>
      </c>
      <c r="AX20">
        <v>16.100000000000001</v>
      </c>
      <c r="AY20">
        <f t="shared" si="22"/>
        <v>2.1466661299999998</v>
      </c>
      <c r="AZ20">
        <v>4.5999999999999996</v>
      </c>
      <c r="BA20">
        <f t="shared" si="23"/>
        <v>0.61333317999999992</v>
      </c>
      <c r="BB20">
        <v>20.2</v>
      </c>
      <c r="BC20">
        <f t="shared" si="24"/>
        <v>2.6933326599999998</v>
      </c>
      <c r="BD20">
        <v>441.5</v>
      </c>
      <c r="BE20">
        <f t="shared" si="25"/>
        <v>58.866651949999998</v>
      </c>
      <c r="BF20">
        <v>855.6</v>
      </c>
      <c r="BG20">
        <f t="shared" si="26"/>
        <v>114.07997148</v>
      </c>
      <c r="BH20">
        <v>106.1</v>
      </c>
      <c r="BI20">
        <f t="shared" si="27"/>
        <v>14.146663129999999</v>
      </c>
      <c r="BJ20">
        <v>524.1</v>
      </c>
      <c r="BK20">
        <f t="shared" si="28"/>
        <v>69.879982529999992</v>
      </c>
      <c r="BL20">
        <v>616</v>
      </c>
      <c r="BM20">
        <f t="shared" si="29"/>
        <v>82.133312799999999</v>
      </c>
    </row>
    <row r="21" spans="1:65" x14ac:dyDescent="0.35">
      <c r="A21">
        <v>18</v>
      </c>
      <c r="B21">
        <v>100.3</v>
      </c>
      <c r="C21">
        <f t="shared" si="0"/>
        <v>13.373329989999998</v>
      </c>
      <c r="D21">
        <v>0.1</v>
      </c>
      <c r="E21">
        <f t="shared" si="1"/>
        <v>1.3333329999999999E-2</v>
      </c>
      <c r="F21">
        <v>820.6</v>
      </c>
      <c r="G21">
        <f t="shared" si="2"/>
        <v>109.41330597999999</v>
      </c>
      <c r="H21">
        <v>5.4</v>
      </c>
      <c r="I21">
        <f t="shared" si="3"/>
        <v>0.71999981999999996</v>
      </c>
      <c r="J21">
        <v>393.1</v>
      </c>
      <c r="K21">
        <f t="shared" si="4"/>
        <v>52.413320229999997</v>
      </c>
      <c r="L21">
        <v>9.8000000000000007</v>
      </c>
      <c r="M21">
        <f t="shared" si="5"/>
        <v>1.30666634</v>
      </c>
      <c r="N21">
        <v>9.9</v>
      </c>
      <c r="O21">
        <f t="shared" si="6"/>
        <v>1.3199996699999998</v>
      </c>
      <c r="P21">
        <v>547.20000000000005</v>
      </c>
      <c r="Q21">
        <f t="shared" si="7"/>
        <v>72.959981760000005</v>
      </c>
      <c r="R21">
        <v>2.5</v>
      </c>
      <c r="S21">
        <f t="shared" si="8"/>
        <v>0.33333324999999997</v>
      </c>
      <c r="T21">
        <v>732</v>
      </c>
      <c r="U21">
        <f t="shared" si="9"/>
        <v>97.599975599999993</v>
      </c>
      <c r="W21">
        <v>18</v>
      </c>
      <c r="X21">
        <v>0.1</v>
      </c>
      <c r="Y21">
        <f t="shared" si="10"/>
        <v>1.3333329999999999E-2</v>
      </c>
      <c r="Z21">
        <v>0.1</v>
      </c>
      <c r="AA21">
        <f t="shared" si="11"/>
        <v>1.3333329999999999E-2</v>
      </c>
      <c r="AB21">
        <v>881.7</v>
      </c>
      <c r="AC21">
        <f t="shared" si="12"/>
        <v>117.55997060999999</v>
      </c>
      <c r="AD21">
        <v>253.5</v>
      </c>
      <c r="AE21">
        <f t="shared" si="13"/>
        <v>33.799991549999994</v>
      </c>
      <c r="AF21">
        <v>989.6</v>
      </c>
      <c r="AG21">
        <f t="shared" si="14"/>
        <v>131.94663367999999</v>
      </c>
      <c r="AH21">
        <v>871.1</v>
      </c>
      <c r="AI21">
        <f t="shared" si="15"/>
        <v>116.14663762999999</v>
      </c>
      <c r="AJ21">
        <v>4.3</v>
      </c>
      <c r="AK21">
        <f t="shared" si="16"/>
        <v>0.57333318999999994</v>
      </c>
      <c r="AL21">
        <v>307.10000000000002</v>
      </c>
      <c r="AM21">
        <f t="shared" si="17"/>
        <v>40.946656429999997</v>
      </c>
      <c r="AN21">
        <v>168.4</v>
      </c>
      <c r="AO21">
        <f t="shared" si="18"/>
        <v>22.453327719999997</v>
      </c>
      <c r="AP21">
        <v>456.3</v>
      </c>
      <c r="AQ21">
        <f t="shared" si="19"/>
        <v>60.839984789999995</v>
      </c>
      <c r="AS21">
        <v>18</v>
      </c>
      <c r="AT21">
        <v>19.600000000000001</v>
      </c>
      <c r="AU21">
        <f t="shared" si="20"/>
        <v>2.6133326800000001</v>
      </c>
      <c r="AV21">
        <v>7.4</v>
      </c>
      <c r="AW21">
        <f t="shared" si="21"/>
        <v>0.98666641999999993</v>
      </c>
      <c r="AX21">
        <v>39.4</v>
      </c>
      <c r="AY21">
        <f t="shared" si="22"/>
        <v>5.2533320199999993</v>
      </c>
      <c r="AZ21">
        <v>5.5</v>
      </c>
      <c r="BA21">
        <f t="shared" si="23"/>
        <v>0.73333314999999999</v>
      </c>
      <c r="BB21">
        <v>27.3</v>
      </c>
      <c r="BC21">
        <f t="shared" si="24"/>
        <v>3.6399990899999999</v>
      </c>
      <c r="BD21">
        <v>631.6</v>
      </c>
      <c r="BE21">
        <f t="shared" si="25"/>
        <v>84.213312279999997</v>
      </c>
      <c r="BF21">
        <v>903.7</v>
      </c>
      <c r="BG21">
        <f t="shared" si="26"/>
        <v>120.49330320999999</v>
      </c>
      <c r="BH21">
        <v>147.5</v>
      </c>
      <c r="BI21">
        <f t="shared" si="27"/>
        <v>19.666661749999999</v>
      </c>
      <c r="BJ21">
        <v>639.20000000000005</v>
      </c>
      <c r="BK21">
        <f t="shared" si="28"/>
        <v>85.226645359999992</v>
      </c>
      <c r="BL21">
        <v>684</v>
      </c>
      <c r="BM21">
        <f t="shared" si="29"/>
        <v>91.199977199999992</v>
      </c>
    </row>
    <row r="22" spans="1:65" x14ac:dyDescent="0.35">
      <c r="A22">
        <v>19</v>
      </c>
      <c r="B22">
        <v>222.2</v>
      </c>
      <c r="C22">
        <f t="shared" si="0"/>
        <v>29.626659259999997</v>
      </c>
      <c r="D22">
        <v>0.1</v>
      </c>
      <c r="E22">
        <f t="shared" si="1"/>
        <v>1.3333329999999999E-2</v>
      </c>
      <c r="F22">
        <v>866.6</v>
      </c>
      <c r="G22">
        <f t="shared" si="2"/>
        <v>115.54663778</v>
      </c>
      <c r="H22">
        <v>5.0999999999999996</v>
      </c>
      <c r="I22">
        <f t="shared" si="3"/>
        <v>0.67999982999999986</v>
      </c>
      <c r="J22">
        <v>691.7</v>
      </c>
      <c r="K22">
        <f t="shared" si="4"/>
        <v>92.226643609999996</v>
      </c>
      <c r="L22">
        <v>10</v>
      </c>
      <c r="M22">
        <f t="shared" si="5"/>
        <v>1.3333329999999999</v>
      </c>
      <c r="N22">
        <v>18.2</v>
      </c>
      <c r="O22">
        <f t="shared" si="6"/>
        <v>2.4266660599999996</v>
      </c>
      <c r="P22">
        <v>689.2</v>
      </c>
      <c r="Q22">
        <f t="shared" si="7"/>
        <v>91.893310360000001</v>
      </c>
      <c r="R22">
        <v>11.3</v>
      </c>
      <c r="S22">
        <f t="shared" si="8"/>
        <v>1.5066662899999999</v>
      </c>
      <c r="T22">
        <v>524.20000000000005</v>
      </c>
      <c r="U22">
        <f t="shared" si="9"/>
        <v>69.893315860000001</v>
      </c>
      <c r="W22">
        <v>19</v>
      </c>
      <c r="X22">
        <v>0.1</v>
      </c>
      <c r="Y22">
        <f t="shared" si="10"/>
        <v>1.3333329999999999E-2</v>
      </c>
      <c r="Z22">
        <v>0.1</v>
      </c>
      <c r="AA22">
        <f t="shared" si="11"/>
        <v>1.3333329999999999E-2</v>
      </c>
      <c r="AB22">
        <v>855.3</v>
      </c>
      <c r="AC22">
        <f t="shared" si="12"/>
        <v>114.03997148999999</v>
      </c>
      <c r="AD22">
        <v>386.1</v>
      </c>
      <c r="AE22">
        <f t="shared" si="13"/>
        <v>51.479987129999998</v>
      </c>
      <c r="AF22">
        <v>1061.7</v>
      </c>
      <c r="AG22">
        <f t="shared" si="14"/>
        <v>141.55996460999998</v>
      </c>
      <c r="AH22">
        <v>985.2</v>
      </c>
      <c r="AI22">
        <f t="shared" si="15"/>
        <v>131.35996716</v>
      </c>
      <c r="AJ22">
        <v>4.0999999999999996</v>
      </c>
      <c r="AK22">
        <f t="shared" si="16"/>
        <v>0.54666652999999987</v>
      </c>
      <c r="AL22">
        <v>532.6</v>
      </c>
      <c r="AM22">
        <f t="shared" si="17"/>
        <v>71.013315579999997</v>
      </c>
      <c r="AN22">
        <v>455.9</v>
      </c>
      <c r="AO22">
        <f t="shared" si="18"/>
        <v>60.786651469999988</v>
      </c>
      <c r="AP22">
        <v>631.79999999999995</v>
      </c>
      <c r="AQ22">
        <f t="shared" si="19"/>
        <v>84.239978939999986</v>
      </c>
      <c r="AS22">
        <v>19</v>
      </c>
      <c r="AT22">
        <v>19.5</v>
      </c>
      <c r="AU22">
        <f t="shared" si="20"/>
        <v>2.5999993499999996</v>
      </c>
      <c r="AV22">
        <v>7.5</v>
      </c>
      <c r="AW22">
        <f t="shared" si="21"/>
        <v>0.99999974999999997</v>
      </c>
      <c r="AX22">
        <v>104.8</v>
      </c>
      <c r="AY22">
        <f t="shared" si="22"/>
        <v>13.973329839999998</v>
      </c>
      <c r="AZ22">
        <v>9.1999999999999993</v>
      </c>
      <c r="BA22">
        <f t="shared" si="23"/>
        <v>1.2266663599999998</v>
      </c>
      <c r="BB22">
        <v>38.1</v>
      </c>
      <c r="BC22">
        <f t="shared" si="24"/>
        <v>5.0799987299999998</v>
      </c>
      <c r="BD22">
        <v>764.8</v>
      </c>
      <c r="BE22">
        <f t="shared" si="25"/>
        <v>101.97330783999999</v>
      </c>
      <c r="BF22">
        <v>943</v>
      </c>
      <c r="BG22">
        <f t="shared" si="26"/>
        <v>125.73330189999999</v>
      </c>
      <c r="BH22">
        <v>228.6</v>
      </c>
      <c r="BI22">
        <f t="shared" si="27"/>
        <v>30.479992379999995</v>
      </c>
      <c r="BJ22">
        <v>735</v>
      </c>
      <c r="BK22">
        <f t="shared" si="28"/>
        <v>97.999975499999991</v>
      </c>
      <c r="BL22">
        <v>751.1</v>
      </c>
      <c r="BM22">
        <f t="shared" si="29"/>
        <v>100.14664162999999</v>
      </c>
    </row>
    <row r="23" spans="1:65" x14ac:dyDescent="0.35">
      <c r="A23">
        <v>20</v>
      </c>
      <c r="B23">
        <v>304.39999999999998</v>
      </c>
      <c r="C23">
        <f t="shared" si="0"/>
        <v>40.586656519999991</v>
      </c>
      <c r="D23">
        <v>0.1</v>
      </c>
      <c r="E23">
        <f t="shared" si="1"/>
        <v>1.3333329999999999E-2</v>
      </c>
      <c r="F23">
        <v>804</v>
      </c>
      <c r="G23">
        <f t="shared" si="2"/>
        <v>107.19997319999999</v>
      </c>
      <c r="H23">
        <v>4.8</v>
      </c>
      <c r="I23">
        <f t="shared" si="3"/>
        <v>0.63999983999999988</v>
      </c>
      <c r="J23">
        <v>929.2</v>
      </c>
      <c r="K23">
        <f t="shared" si="4"/>
        <v>123.89330235999999</v>
      </c>
      <c r="L23">
        <v>10.5</v>
      </c>
      <c r="M23">
        <f t="shared" si="5"/>
        <v>1.3999996499999998</v>
      </c>
      <c r="N23">
        <v>44.4</v>
      </c>
      <c r="O23">
        <f t="shared" si="6"/>
        <v>5.9199985199999992</v>
      </c>
      <c r="P23">
        <v>835.9</v>
      </c>
      <c r="Q23">
        <f t="shared" si="7"/>
        <v>111.45330546999999</v>
      </c>
      <c r="R23">
        <v>34.700000000000003</v>
      </c>
      <c r="S23">
        <f t="shared" si="8"/>
        <v>4.6266655099999996</v>
      </c>
      <c r="T23">
        <v>696.1</v>
      </c>
      <c r="U23">
        <f t="shared" si="9"/>
        <v>92.813310129999991</v>
      </c>
      <c r="W23">
        <v>20</v>
      </c>
      <c r="X23">
        <v>0.1</v>
      </c>
      <c r="Y23">
        <f t="shared" si="10"/>
        <v>1.3333329999999999E-2</v>
      </c>
      <c r="Z23">
        <v>0.1</v>
      </c>
      <c r="AA23">
        <f t="shared" si="11"/>
        <v>1.3333329999999999E-2</v>
      </c>
      <c r="AB23">
        <v>777.9</v>
      </c>
      <c r="AC23">
        <f t="shared" si="12"/>
        <v>103.71997406999999</v>
      </c>
      <c r="AD23">
        <v>532.20000000000005</v>
      </c>
      <c r="AE23">
        <f t="shared" si="13"/>
        <v>70.959982260000004</v>
      </c>
      <c r="AF23">
        <v>1100.9000000000001</v>
      </c>
      <c r="AG23">
        <f t="shared" si="14"/>
        <v>146.78662997000001</v>
      </c>
      <c r="AH23">
        <v>1077</v>
      </c>
      <c r="AI23">
        <f t="shared" si="15"/>
        <v>143.59996409999999</v>
      </c>
      <c r="AJ23">
        <v>4.2</v>
      </c>
      <c r="AK23">
        <f t="shared" si="16"/>
        <v>0.55999986000000002</v>
      </c>
      <c r="AL23">
        <v>721.3</v>
      </c>
      <c r="AM23">
        <f t="shared" si="17"/>
        <v>96.173309289999992</v>
      </c>
      <c r="AN23">
        <v>690.2</v>
      </c>
      <c r="AO23">
        <f t="shared" si="18"/>
        <v>92.026643659999991</v>
      </c>
      <c r="AP23">
        <v>738.8</v>
      </c>
      <c r="AQ23">
        <f t="shared" si="19"/>
        <v>98.506642039999988</v>
      </c>
      <c r="AS23">
        <v>20</v>
      </c>
      <c r="AT23">
        <v>19.3</v>
      </c>
      <c r="AU23">
        <f t="shared" si="20"/>
        <v>2.57333269</v>
      </c>
      <c r="AV23">
        <v>7.5</v>
      </c>
      <c r="AW23">
        <f t="shared" si="21"/>
        <v>0.99999974999999997</v>
      </c>
      <c r="AX23">
        <v>306.2</v>
      </c>
      <c r="AY23">
        <f t="shared" si="22"/>
        <v>40.826656459999995</v>
      </c>
      <c r="AZ23">
        <v>22.5</v>
      </c>
      <c r="BA23">
        <f t="shared" si="23"/>
        <v>2.9999992499999997</v>
      </c>
      <c r="BB23">
        <v>54</v>
      </c>
      <c r="BC23">
        <f t="shared" si="24"/>
        <v>7.1999981999999996</v>
      </c>
      <c r="BD23">
        <v>859.8</v>
      </c>
      <c r="BE23">
        <f t="shared" si="25"/>
        <v>114.63997133999999</v>
      </c>
      <c r="BF23">
        <v>980.2</v>
      </c>
      <c r="BG23">
        <f t="shared" si="26"/>
        <v>130.69330066000001</v>
      </c>
      <c r="BH23">
        <v>360.2</v>
      </c>
      <c r="BI23">
        <f t="shared" si="27"/>
        <v>48.026654659999991</v>
      </c>
      <c r="BJ23">
        <v>794.1</v>
      </c>
      <c r="BK23">
        <f t="shared" si="28"/>
        <v>105.87997352999999</v>
      </c>
      <c r="BL23">
        <v>815.5</v>
      </c>
      <c r="BM23">
        <f t="shared" si="29"/>
        <v>108.73330614999999</v>
      </c>
    </row>
    <row r="24" spans="1:65" x14ac:dyDescent="0.35">
      <c r="A24">
        <v>21</v>
      </c>
      <c r="B24">
        <v>276.7</v>
      </c>
      <c r="C24">
        <f t="shared" si="0"/>
        <v>36.893324109999995</v>
      </c>
      <c r="D24">
        <v>0.4</v>
      </c>
      <c r="E24">
        <f t="shared" si="1"/>
        <v>5.3333319999999997E-2</v>
      </c>
      <c r="F24">
        <v>729.3</v>
      </c>
      <c r="G24">
        <f t="shared" si="2"/>
        <v>97.23997568999998</v>
      </c>
      <c r="H24">
        <v>5</v>
      </c>
      <c r="I24">
        <f t="shared" si="3"/>
        <v>0.66666649999999994</v>
      </c>
      <c r="J24">
        <v>1117.8</v>
      </c>
      <c r="K24">
        <f t="shared" si="4"/>
        <v>149.03996273999999</v>
      </c>
      <c r="L24">
        <v>11.6</v>
      </c>
      <c r="M24">
        <f t="shared" si="5"/>
        <v>1.5466662799999997</v>
      </c>
      <c r="N24">
        <v>125.8</v>
      </c>
      <c r="O24">
        <f t="shared" si="6"/>
        <v>16.773329139999998</v>
      </c>
      <c r="P24">
        <v>965.7</v>
      </c>
      <c r="Q24">
        <f t="shared" si="7"/>
        <v>128.75996781000001</v>
      </c>
      <c r="R24">
        <v>79.2</v>
      </c>
      <c r="S24">
        <f t="shared" si="8"/>
        <v>10.559997359999999</v>
      </c>
      <c r="T24">
        <v>1025.4000000000001</v>
      </c>
      <c r="U24">
        <f t="shared" si="9"/>
        <v>136.71996582</v>
      </c>
      <c r="W24">
        <v>21</v>
      </c>
      <c r="X24">
        <v>0.2</v>
      </c>
      <c r="Y24">
        <f t="shared" si="10"/>
        <v>2.6666659999999998E-2</v>
      </c>
      <c r="Z24">
        <v>0.1</v>
      </c>
      <c r="AA24">
        <f t="shared" si="11"/>
        <v>1.3333329999999999E-2</v>
      </c>
      <c r="AB24">
        <v>693.3</v>
      </c>
      <c r="AC24">
        <f t="shared" si="12"/>
        <v>92.439976889999983</v>
      </c>
      <c r="AD24">
        <v>690.4</v>
      </c>
      <c r="AE24">
        <f t="shared" si="13"/>
        <v>92.053310319999994</v>
      </c>
      <c r="AF24">
        <v>1050.5</v>
      </c>
      <c r="AG24">
        <f t="shared" si="14"/>
        <v>140.06663164999998</v>
      </c>
      <c r="AH24">
        <v>1162.0999999999999</v>
      </c>
      <c r="AI24">
        <f t="shared" si="15"/>
        <v>154.94662792999998</v>
      </c>
      <c r="AJ24">
        <v>5.7</v>
      </c>
      <c r="AK24">
        <f t="shared" si="16"/>
        <v>0.75999980999999994</v>
      </c>
      <c r="AL24">
        <v>888.8</v>
      </c>
      <c r="AM24">
        <f t="shared" si="17"/>
        <v>118.50663703999999</v>
      </c>
      <c r="AN24">
        <v>828.4</v>
      </c>
      <c r="AO24">
        <f t="shared" si="18"/>
        <v>110.45330571999999</v>
      </c>
      <c r="AP24">
        <v>827.6</v>
      </c>
      <c r="AQ24">
        <f t="shared" si="19"/>
        <v>110.34663907999999</v>
      </c>
      <c r="AS24">
        <v>21</v>
      </c>
      <c r="AT24">
        <v>19.5</v>
      </c>
      <c r="AU24">
        <f t="shared" si="20"/>
        <v>2.5999993499999996</v>
      </c>
      <c r="AV24">
        <v>7.6</v>
      </c>
      <c r="AW24">
        <f t="shared" si="21"/>
        <v>1.0133330799999998</v>
      </c>
      <c r="AX24">
        <v>613.5</v>
      </c>
      <c r="AY24">
        <f t="shared" si="22"/>
        <v>81.799979549999989</v>
      </c>
      <c r="AZ24">
        <v>56.1</v>
      </c>
      <c r="BA24">
        <f t="shared" si="23"/>
        <v>7.4799981299999994</v>
      </c>
      <c r="BB24">
        <v>87.3</v>
      </c>
      <c r="BC24">
        <f t="shared" si="24"/>
        <v>11.639997089999998</v>
      </c>
      <c r="BD24">
        <v>936.4</v>
      </c>
      <c r="BE24">
        <f t="shared" si="25"/>
        <v>124.85330211999998</v>
      </c>
      <c r="BF24">
        <v>1016.7</v>
      </c>
      <c r="BG24">
        <f t="shared" si="26"/>
        <v>135.55996611</v>
      </c>
      <c r="BH24">
        <v>470.6</v>
      </c>
      <c r="BI24">
        <f t="shared" si="27"/>
        <v>62.746650979999998</v>
      </c>
      <c r="BJ24">
        <v>830.1</v>
      </c>
      <c r="BK24">
        <f t="shared" si="28"/>
        <v>110.67997233</v>
      </c>
      <c r="BL24">
        <v>870.4</v>
      </c>
      <c r="BM24">
        <f t="shared" si="29"/>
        <v>116.05330431999998</v>
      </c>
    </row>
    <row r="25" spans="1:65" x14ac:dyDescent="0.35">
      <c r="A25">
        <v>22</v>
      </c>
      <c r="B25">
        <v>232</v>
      </c>
      <c r="C25">
        <f t="shared" si="0"/>
        <v>30.933325599999996</v>
      </c>
      <c r="D25">
        <v>1.3</v>
      </c>
      <c r="E25">
        <f t="shared" si="1"/>
        <v>0.17333329</v>
      </c>
      <c r="F25">
        <v>656.7</v>
      </c>
      <c r="G25">
        <f t="shared" si="2"/>
        <v>87.559978110000003</v>
      </c>
      <c r="H25">
        <v>8.6</v>
      </c>
      <c r="I25">
        <f t="shared" si="3"/>
        <v>1.1466663799999999</v>
      </c>
      <c r="J25">
        <v>1229.4000000000001</v>
      </c>
      <c r="K25">
        <f t="shared" si="4"/>
        <v>163.91995901999999</v>
      </c>
      <c r="L25">
        <v>12.3</v>
      </c>
      <c r="M25">
        <f t="shared" si="5"/>
        <v>1.63999959</v>
      </c>
      <c r="N25">
        <v>312.60000000000002</v>
      </c>
      <c r="O25">
        <f t="shared" si="6"/>
        <v>41.679989579999997</v>
      </c>
      <c r="P25">
        <v>1054.0999999999999</v>
      </c>
      <c r="Q25">
        <f t="shared" si="7"/>
        <v>140.54663152999998</v>
      </c>
      <c r="R25">
        <v>176.3</v>
      </c>
      <c r="S25">
        <f t="shared" si="8"/>
        <v>23.506660789999998</v>
      </c>
      <c r="T25">
        <v>1076.3</v>
      </c>
      <c r="U25">
        <f t="shared" si="9"/>
        <v>143.50663078999997</v>
      </c>
      <c r="W25">
        <v>22</v>
      </c>
      <c r="X25">
        <v>0.3</v>
      </c>
      <c r="Y25">
        <f t="shared" si="10"/>
        <v>3.9999989999999992E-2</v>
      </c>
      <c r="Z25">
        <v>0.3</v>
      </c>
      <c r="AA25">
        <f t="shared" si="11"/>
        <v>3.9999989999999992E-2</v>
      </c>
      <c r="AB25">
        <v>550</v>
      </c>
      <c r="AC25">
        <f t="shared" si="12"/>
        <v>73.333314999999999</v>
      </c>
      <c r="AD25">
        <v>829.1</v>
      </c>
      <c r="AE25">
        <f t="shared" si="13"/>
        <v>110.54663902999999</v>
      </c>
      <c r="AF25">
        <v>963.3</v>
      </c>
      <c r="AG25">
        <f t="shared" si="14"/>
        <v>128.43996788999999</v>
      </c>
      <c r="AH25">
        <v>1254.4000000000001</v>
      </c>
      <c r="AI25">
        <f t="shared" si="15"/>
        <v>167.25329152</v>
      </c>
      <c r="AJ25">
        <v>14.3</v>
      </c>
      <c r="AK25">
        <f t="shared" si="16"/>
        <v>1.9066661899999999</v>
      </c>
      <c r="AL25">
        <v>1020.5</v>
      </c>
      <c r="AM25">
        <f t="shared" si="17"/>
        <v>136.06663264999997</v>
      </c>
      <c r="AN25">
        <v>943.4</v>
      </c>
      <c r="AO25">
        <f t="shared" si="18"/>
        <v>125.78663521999998</v>
      </c>
      <c r="AP25">
        <v>902.1</v>
      </c>
      <c r="AQ25">
        <f t="shared" si="19"/>
        <v>120.27996992999999</v>
      </c>
      <c r="AS25">
        <v>22</v>
      </c>
      <c r="AT25">
        <v>19.899999999999999</v>
      </c>
      <c r="AU25">
        <f t="shared" si="20"/>
        <v>2.6533326699999997</v>
      </c>
      <c r="AV25">
        <v>7.6</v>
      </c>
      <c r="AW25">
        <f t="shared" si="21"/>
        <v>1.0133330799999998</v>
      </c>
      <c r="AX25">
        <v>766.7</v>
      </c>
      <c r="AY25">
        <f t="shared" si="22"/>
        <v>102.22664111</v>
      </c>
      <c r="AZ25">
        <v>141.6</v>
      </c>
      <c r="BA25">
        <f t="shared" si="23"/>
        <v>18.879995279999999</v>
      </c>
      <c r="BB25">
        <v>205.2</v>
      </c>
      <c r="BC25">
        <f t="shared" si="24"/>
        <v>27.359993159999995</v>
      </c>
      <c r="BD25">
        <v>999</v>
      </c>
      <c r="BE25">
        <f t="shared" si="25"/>
        <v>133.19996669999998</v>
      </c>
      <c r="BF25">
        <v>1053.2</v>
      </c>
      <c r="BG25">
        <f t="shared" si="26"/>
        <v>140.42663156</v>
      </c>
      <c r="BH25">
        <v>561.20000000000005</v>
      </c>
      <c r="BI25">
        <f t="shared" si="27"/>
        <v>74.826647960000003</v>
      </c>
      <c r="BJ25">
        <v>859.1</v>
      </c>
      <c r="BK25">
        <f t="shared" si="28"/>
        <v>114.54663803</v>
      </c>
      <c r="BL25">
        <v>915.1</v>
      </c>
      <c r="BM25">
        <f t="shared" si="29"/>
        <v>122.01330282999999</v>
      </c>
    </row>
    <row r="26" spans="1:65" x14ac:dyDescent="0.35">
      <c r="A26">
        <v>23</v>
      </c>
      <c r="B26">
        <v>190.9</v>
      </c>
      <c r="C26">
        <f t="shared" si="0"/>
        <v>25.453326969999999</v>
      </c>
      <c r="D26">
        <v>3.7</v>
      </c>
      <c r="E26">
        <f t="shared" si="1"/>
        <v>0.49333320999999997</v>
      </c>
      <c r="F26">
        <v>577.1</v>
      </c>
      <c r="G26">
        <f t="shared" si="2"/>
        <v>76.946647429999999</v>
      </c>
      <c r="H26">
        <v>26.4</v>
      </c>
      <c r="I26">
        <f t="shared" si="3"/>
        <v>3.5199991199999996</v>
      </c>
      <c r="J26">
        <v>1195.3</v>
      </c>
      <c r="K26">
        <f t="shared" si="4"/>
        <v>159.37329348999998</v>
      </c>
      <c r="L26">
        <v>12.4</v>
      </c>
      <c r="M26">
        <f t="shared" si="5"/>
        <v>1.65333292</v>
      </c>
      <c r="N26">
        <v>533</v>
      </c>
      <c r="O26">
        <f t="shared" si="6"/>
        <v>71.06664889999999</v>
      </c>
      <c r="P26">
        <v>1117.7</v>
      </c>
      <c r="Q26">
        <f t="shared" si="7"/>
        <v>149.02662941</v>
      </c>
      <c r="R26">
        <v>287</v>
      </c>
      <c r="S26">
        <f t="shared" si="8"/>
        <v>38.266657099999996</v>
      </c>
      <c r="T26">
        <v>1103.9000000000001</v>
      </c>
      <c r="U26">
        <f t="shared" si="9"/>
        <v>147.18662986999999</v>
      </c>
      <c r="W26">
        <v>23</v>
      </c>
      <c r="X26">
        <v>0.3</v>
      </c>
      <c r="Y26">
        <f t="shared" si="10"/>
        <v>3.9999989999999992E-2</v>
      </c>
      <c r="Z26">
        <v>0.8</v>
      </c>
      <c r="AA26">
        <f t="shared" si="11"/>
        <v>0.10666663999999999</v>
      </c>
      <c r="AB26">
        <v>355.7</v>
      </c>
      <c r="AC26">
        <f t="shared" si="12"/>
        <v>47.426654809999995</v>
      </c>
      <c r="AD26">
        <v>938.3</v>
      </c>
      <c r="AE26">
        <f t="shared" si="13"/>
        <v>125.10663538999998</v>
      </c>
      <c r="AF26">
        <v>887.7</v>
      </c>
      <c r="AG26">
        <f t="shared" si="14"/>
        <v>118.35997040999999</v>
      </c>
      <c r="AH26">
        <v>1276.8</v>
      </c>
      <c r="AI26">
        <f t="shared" si="15"/>
        <v>170.23995743999998</v>
      </c>
      <c r="AJ26">
        <v>45.3</v>
      </c>
      <c r="AK26">
        <f t="shared" si="16"/>
        <v>6.0399984899999994</v>
      </c>
      <c r="AL26">
        <v>1094.3</v>
      </c>
      <c r="AM26">
        <f t="shared" si="17"/>
        <v>145.90663018999999</v>
      </c>
      <c r="AN26">
        <v>1028</v>
      </c>
      <c r="AO26">
        <f t="shared" si="18"/>
        <v>137.06663239999997</v>
      </c>
      <c r="AP26">
        <v>959.7</v>
      </c>
      <c r="AQ26">
        <f t="shared" si="19"/>
        <v>127.95996801</v>
      </c>
      <c r="AS26">
        <v>23</v>
      </c>
      <c r="AT26">
        <v>20.2</v>
      </c>
      <c r="AU26">
        <f t="shared" si="20"/>
        <v>2.6933326599999998</v>
      </c>
      <c r="AV26">
        <v>7.7</v>
      </c>
      <c r="AW26">
        <f t="shared" si="21"/>
        <v>1.02666641</v>
      </c>
      <c r="AX26">
        <v>733.4</v>
      </c>
      <c r="AY26">
        <f t="shared" si="22"/>
        <v>97.78664221999999</v>
      </c>
      <c r="AZ26">
        <v>344.1</v>
      </c>
      <c r="BA26">
        <f t="shared" si="23"/>
        <v>45.879988529999999</v>
      </c>
      <c r="BB26">
        <v>405.1</v>
      </c>
      <c r="BC26">
        <f t="shared" si="24"/>
        <v>54.01331983</v>
      </c>
      <c r="BD26">
        <v>1043.7</v>
      </c>
      <c r="BE26">
        <f t="shared" si="25"/>
        <v>139.15996521</v>
      </c>
      <c r="BF26">
        <v>1080.7</v>
      </c>
      <c r="BG26">
        <f t="shared" si="26"/>
        <v>144.09329731</v>
      </c>
      <c r="BH26">
        <v>642.4</v>
      </c>
      <c r="BI26">
        <f t="shared" si="27"/>
        <v>85.653311919999993</v>
      </c>
      <c r="BJ26">
        <v>879.9</v>
      </c>
      <c r="BK26">
        <f t="shared" si="28"/>
        <v>117.31997066999999</v>
      </c>
      <c r="BL26">
        <v>950</v>
      </c>
      <c r="BM26">
        <f t="shared" si="29"/>
        <v>126.66663499999999</v>
      </c>
    </row>
    <row r="27" spans="1:65" x14ac:dyDescent="0.35">
      <c r="A27">
        <v>24</v>
      </c>
      <c r="B27">
        <v>155.9</v>
      </c>
      <c r="C27">
        <f t="shared" si="0"/>
        <v>20.786661469999999</v>
      </c>
      <c r="D27">
        <v>14.8</v>
      </c>
      <c r="E27">
        <f t="shared" si="1"/>
        <v>1.9733328399999999</v>
      </c>
      <c r="F27">
        <v>470.9</v>
      </c>
      <c r="G27">
        <f t="shared" si="2"/>
        <v>62.78665096999999</v>
      </c>
      <c r="H27">
        <v>95</v>
      </c>
      <c r="I27">
        <f t="shared" si="3"/>
        <v>12.666663499999999</v>
      </c>
      <c r="J27">
        <v>1092.4000000000001</v>
      </c>
      <c r="K27">
        <f t="shared" si="4"/>
        <v>145.65329692</v>
      </c>
      <c r="L27">
        <v>12.3</v>
      </c>
      <c r="M27">
        <f t="shared" si="5"/>
        <v>1.63999959</v>
      </c>
      <c r="N27">
        <v>725.1</v>
      </c>
      <c r="O27">
        <f t="shared" si="6"/>
        <v>96.679975829999989</v>
      </c>
      <c r="P27">
        <v>1176.4000000000001</v>
      </c>
      <c r="Q27">
        <f t="shared" si="7"/>
        <v>156.85329411999999</v>
      </c>
      <c r="R27">
        <v>393.1</v>
      </c>
      <c r="S27">
        <f t="shared" si="8"/>
        <v>52.413320229999997</v>
      </c>
      <c r="T27">
        <v>1146.4000000000001</v>
      </c>
      <c r="U27">
        <f t="shared" si="9"/>
        <v>152.85329511999998</v>
      </c>
      <c r="W27">
        <v>24</v>
      </c>
      <c r="X27">
        <v>0.3</v>
      </c>
      <c r="Y27">
        <f t="shared" si="10"/>
        <v>3.9999989999999992E-2</v>
      </c>
      <c r="Z27">
        <v>1.2</v>
      </c>
      <c r="AA27">
        <f t="shared" si="11"/>
        <v>0.15999995999999997</v>
      </c>
      <c r="AB27">
        <v>215.5</v>
      </c>
      <c r="AC27">
        <f t="shared" si="12"/>
        <v>28.733326149999996</v>
      </c>
      <c r="AD27">
        <v>1011.6</v>
      </c>
      <c r="AE27">
        <f t="shared" si="13"/>
        <v>134.87996627999999</v>
      </c>
      <c r="AF27">
        <v>810.3</v>
      </c>
      <c r="AG27">
        <f t="shared" si="14"/>
        <v>108.03997298999998</v>
      </c>
      <c r="AH27">
        <v>1181</v>
      </c>
      <c r="AI27">
        <f t="shared" si="15"/>
        <v>157.4666273</v>
      </c>
      <c r="AJ27">
        <v>177.7</v>
      </c>
      <c r="AK27">
        <f t="shared" si="16"/>
        <v>23.693327409999995</v>
      </c>
      <c r="AL27">
        <v>1149.5999999999999</v>
      </c>
      <c r="AM27">
        <f t="shared" si="17"/>
        <v>153.27996167999999</v>
      </c>
      <c r="AN27">
        <v>1092.5</v>
      </c>
      <c r="AO27">
        <f t="shared" si="18"/>
        <v>145.66663025</v>
      </c>
      <c r="AP27">
        <v>1011.3</v>
      </c>
      <c r="AQ27">
        <f t="shared" si="19"/>
        <v>134.83996628999998</v>
      </c>
      <c r="AS27">
        <v>24</v>
      </c>
      <c r="AT27">
        <v>20.6</v>
      </c>
      <c r="AU27">
        <f t="shared" si="20"/>
        <v>2.74666598</v>
      </c>
      <c r="AV27">
        <v>7.7</v>
      </c>
      <c r="AW27">
        <f t="shared" si="21"/>
        <v>1.02666641</v>
      </c>
      <c r="AX27">
        <v>688.2</v>
      </c>
      <c r="AY27">
        <f t="shared" si="22"/>
        <v>91.759977059999997</v>
      </c>
      <c r="AZ27">
        <v>564.5</v>
      </c>
      <c r="BA27">
        <f t="shared" si="23"/>
        <v>75.266647849999998</v>
      </c>
      <c r="BB27">
        <v>567.20000000000005</v>
      </c>
      <c r="BC27">
        <f t="shared" si="24"/>
        <v>75.626647759999997</v>
      </c>
      <c r="BD27">
        <v>1012.6</v>
      </c>
      <c r="BE27">
        <f t="shared" si="25"/>
        <v>135.01329957999999</v>
      </c>
      <c r="BF27">
        <v>1049.3</v>
      </c>
      <c r="BG27">
        <f t="shared" si="26"/>
        <v>139.90663168999998</v>
      </c>
      <c r="BH27">
        <v>707.9</v>
      </c>
      <c r="BI27">
        <f t="shared" si="27"/>
        <v>94.386643069999991</v>
      </c>
      <c r="BJ27">
        <v>893.9</v>
      </c>
      <c r="BK27">
        <f t="shared" si="28"/>
        <v>119.18663686999999</v>
      </c>
      <c r="BL27">
        <v>975.8</v>
      </c>
      <c r="BM27">
        <f t="shared" si="29"/>
        <v>130.10663413999998</v>
      </c>
    </row>
    <row r="28" spans="1:65" x14ac:dyDescent="0.35">
      <c r="A28">
        <v>25</v>
      </c>
      <c r="B28">
        <v>127</v>
      </c>
      <c r="C28">
        <f t="shared" si="0"/>
        <v>16.933329099999998</v>
      </c>
      <c r="D28">
        <v>54.3</v>
      </c>
      <c r="E28">
        <f t="shared" si="1"/>
        <v>7.2399981899999988</v>
      </c>
      <c r="F28">
        <v>335.4</v>
      </c>
      <c r="G28">
        <f t="shared" si="2"/>
        <v>44.71998881999999</v>
      </c>
      <c r="H28">
        <v>314.89999999999998</v>
      </c>
      <c r="I28">
        <f t="shared" si="3"/>
        <v>41.986656169999996</v>
      </c>
      <c r="J28">
        <v>1006.6</v>
      </c>
      <c r="K28">
        <f t="shared" si="4"/>
        <v>134.21329978</v>
      </c>
      <c r="L28">
        <v>12.6</v>
      </c>
      <c r="M28">
        <f t="shared" si="5"/>
        <v>1.6799995799999998</v>
      </c>
      <c r="N28">
        <v>866.4</v>
      </c>
      <c r="O28">
        <f t="shared" si="6"/>
        <v>115.51997111999998</v>
      </c>
      <c r="P28">
        <v>1236.7</v>
      </c>
      <c r="Q28">
        <f t="shared" si="7"/>
        <v>164.89329211</v>
      </c>
      <c r="R28">
        <v>502.4</v>
      </c>
      <c r="S28">
        <f t="shared" si="8"/>
        <v>66.986649919999991</v>
      </c>
      <c r="T28">
        <v>1184.3</v>
      </c>
      <c r="U28">
        <f t="shared" si="9"/>
        <v>157.90662718999997</v>
      </c>
      <c r="W28">
        <v>25</v>
      </c>
      <c r="X28">
        <v>0.3</v>
      </c>
      <c r="Y28">
        <f t="shared" si="10"/>
        <v>3.9999989999999992E-2</v>
      </c>
      <c r="Z28">
        <v>1.7</v>
      </c>
      <c r="AA28">
        <f t="shared" si="11"/>
        <v>0.22666660999999996</v>
      </c>
      <c r="AB28">
        <v>149.9</v>
      </c>
      <c r="AC28">
        <f t="shared" si="12"/>
        <v>19.98666167</v>
      </c>
      <c r="AD28">
        <v>971.3</v>
      </c>
      <c r="AE28">
        <f t="shared" si="13"/>
        <v>129.50663428999999</v>
      </c>
      <c r="AF28">
        <v>668.9</v>
      </c>
      <c r="AG28">
        <f t="shared" si="14"/>
        <v>89.186644369999982</v>
      </c>
      <c r="AH28">
        <v>1083.4000000000001</v>
      </c>
      <c r="AI28">
        <f t="shared" si="15"/>
        <v>144.45329722</v>
      </c>
      <c r="AJ28">
        <v>485.9</v>
      </c>
      <c r="AK28">
        <f t="shared" si="16"/>
        <v>64.786650469999998</v>
      </c>
      <c r="AL28">
        <v>1205.0999999999999</v>
      </c>
      <c r="AM28">
        <f t="shared" si="17"/>
        <v>160.67995982999997</v>
      </c>
      <c r="AN28">
        <v>1142</v>
      </c>
      <c r="AO28">
        <f t="shared" si="18"/>
        <v>152.26662859999999</v>
      </c>
      <c r="AP28">
        <v>1061.2</v>
      </c>
      <c r="AQ28">
        <f t="shared" si="19"/>
        <v>141.49329796000001</v>
      </c>
      <c r="AS28">
        <v>25</v>
      </c>
      <c r="AT28">
        <v>21.2</v>
      </c>
      <c r="AU28">
        <f t="shared" si="20"/>
        <v>2.8266659599999997</v>
      </c>
      <c r="AV28">
        <v>7.7</v>
      </c>
      <c r="AW28">
        <f t="shared" si="21"/>
        <v>1.02666641</v>
      </c>
      <c r="AX28">
        <v>652.6</v>
      </c>
      <c r="AY28">
        <f t="shared" si="22"/>
        <v>87.013311579999993</v>
      </c>
      <c r="AZ28">
        <v>739.2</v>
      </c>
      <c r="BA28">
        <f t="shared" si="23"/>
        <v>98.559975359999996</v>
      </c>
      <c r="BB28">
        <v>674.8</v>
      </c>
      <c r="BC28">
        <f t="shared" si="24"/>
        <v>89.973310839999982</v>
      </c>
      <c r="BD28">
        <v>954.6</v>
      </c>
      <c r="BE28">
        <f t="shared" si="25"/>
        <v>127.27996818</v>
      </c>
      <c r="BF28">
        <v>989.1</v>
      </c>
      <c r="BG28">
        <f t="shared" si="26"/>
        <v>131.87996702999999</v>
      </c>
      <c r="BH28">
        <v>771</v>
      </c>
      <c r="BI28">
        <f t="shared" si="27"/>
        <v>102.79997429999999</v>
      </c>
      <c r="BJ28">
        <v>909.8</v>
      </c>
      <c r="BK28">
        <f t="shared" si="28"/>
        <v>121.30663633999998</v>
      </c>
      <c r="BL28">
        <v>995.8</v>
      </c>
      <c r="BM28">
        <f t="shared" si="29"/>
        <v>132.77330013999998</v>
      </c>
    </row>
    <row r="29" spans="1:65" x14ac:dyDescent="0.35">
      <c r="A29">
        <v>26</v>
      </c>
      <c r="B29">
        <v>103.3</v>
      </c>
      <c r="C29">
        <f t="shared" si="0"/>
        <v>13.773329889999998</v>
      </c>
      <c r="D29">
        <v>191.2</v>
      </c>
      <c r="E29">
        <f t="shared" si="1"/>
        <v>25.493326959999997</v>
      </c>
      <c r="F29">
        <v>218.6</v>
      </c>
      <c r="G29">
        <f t="shared" si="2"/>
        <v>29.146659379999996</v>
      </c>
      <c r="H29">
        <v>574.79999999999995</v>
      </c>
      <c r="I29">
        <f t="shared" si="3"/>
        <v>76.639980839999993</v>
      </c>
      <c r="J29">
        <v>933.9</v>
      </c>
      <c r="K29">
        <f t="shared" si="4"/>
        <v>124.51996886999999</v>
      </c>
      <c r="L29">
        <v>13.6</v>
      </c>
      <c r="M29">
        <f t="shared" si="5"/>
        <v>1.8133328799999997</v>
      </c>
      <c r="N29">
        <v>967</v>
      </c>
      <c r="O29">
        <f t="shared" si="6"/>
        <v>128.93330109999999</v>
      </c>
      <c r="P29">
        <v>1292.5999999999999</v>
      </c>
      <c r="Q29">
        <f t="shared" si="7"/>
        <v>172.34662357999997</v>
      </c>
      <c r="R29">
        <v>603.4</v>
      </c>
      <c r="S29">
        <f t="shared" si="8"/>
        <v>80.453313219999984</v>
      </c>
      <c r="T29">
        <v>1202.2</v>
      </c>
      <c r="U29">
        <f t="shared" si="9"/>
        <v>160.29329325999998</v>
      </c>
      <c r="W29">
        <v>26</v>
      </c>
      <c r="X29">
        <v>0.4</v>
      </c>
      <c r="Y29">
        <f t="shared" si="10"/>
        <v>5.3333319999999997E-2</v>
      </c>
      <c r="Z29">
        <v>2.6</v>
      </c>
      <c r="AA29">
        <f t="shared" si="11"/>
        <v>0.34666658</v>
      </c>
      <c r="AB29">
        <v>119</v>
      </c>
      <c r="AC29">
        <f t="shared" si="12"/>
        <v>15.866662699999999</v>
      </c>
      <c r="AD29">
        <v>890.4</v>
      </c>
      <c r="AE29">
        <f t="shared" si="13"/>
        <v>118.71997031999999</v>
      </c>
      <c r="AF29">
        <v>455.1</v>
      </c>
      <c r="AG29">
        <f t="shared" si="14"/>
        <v>60.679984829999995</v>
      </c>
      <c r="AH29">
        <v>1005.5</v>
      </c>
      <c r="AI29">
        <f t="shared" si="15"/>
        <v>134.06663315</v>
      </c>
      <c r="AJ29">
        <v>723.7</v>
      </c>
      <c r="AK29">
        <f t="shared" si="16"/>
        <v>96.493309209999993</v>
      </c>
      <c r="AL29">
        <v>1251.4000000000001</v>
      </c>
      <c r="AM29">
        <f t="shared" si="17"/>
        <v>166.85329161999999</v>
      </c>
      <c r="AN29">
        <v>1177.3</v>
      </c>
      <c r="AO29">
        <f t="shared" si="18"/>
        <v>156.97329408999997</v>
      </c>
      <c r="AP29">
        <v>1103</v>
      </c>
      <c r="AQ29">
        <f t="shared" si="19"/>
        <v>147.06662989999998</v>
      </c>
      <c r="AS29">
        <v>26</v>
      </c>
      <c r="AT29">
        <v>22</v>
      </c>
      <c r="AU29">
        <f t="shared" si="20"/>
        <v>2.9333326</v>
      </c>
      <c r="AV29">
        <v>7.7</v>
      </c>
      <c r="AW29">
        <f t="shared" si="21"/>
        <v>1.02666641</v>
      </c>
      <c r="AX29">
        <v>620.29999999999995</v>
      </c>
      <c r="AY29">
        <f t="shared" si="22"/>
        <v>82.706645989999984</v>
      </c>
      <c r="AZ29">
        <v>858.2</v>
      </c>
      <c r="BA29">
        <f t="shared" si="23"/>
        <v>114.42663806</v>
      </c>
      <c r="BB29">
        <v>757.6</v>
      </c>
      <c r="BC29">
        <f t="shared" si="24"/>
        <v>101.01330807999999</v>
      </c>
      <c r="BD29">
        <v>904.5</v>
      </c>
      <c r="BE29">
        <f t="shared" si="25"/>
        <v>120.59996984999999</v>
      </c>
      <c r="BF29">
        <v>935.9</v>
      </c>
      <c r="BG29">
        <f t="shared" si="26"/>
        <v>124.78663546999998</v>
      </c>
      <c r="BH29">
        <v>843.6</v>
      </c>
      <c r="BI29">
        <f t="shared" si="27"/>
        <v>112.47997187999999</v>
      </c>
      <c r="BJ29">
        <v>930.1</v>
      </c>
      <c r="BK29">
        <f t="shared" si="28"/>
        <v>124.01330232999999</v>
      </c>
      <c r="BL29">
        <v>1009.2</v>
      </c>
      <c r="BM29">
        <f t="shared" si="29"/>
        <v>134.55996636</v>
      </c>
    </row>
    <row r="30" spans="1:65" x14ac:dyDescent="0.35">
      <c r="A30">
        <v>27</v>
      </c>
      <c r="B30">
        <v>83.9</v>
      </c>
      <c r="C30">
        <f t="shared" si="0"/>
        <v>11.18666387</v>
      </c>
      <c r="D30">
        <v>382.1</v>
      </c>
      <c r="E30">
        <f t="shared" si="1"/>
        <v>50.946653929999997</v>
      </c>
      <c r="F30">
        <v>139.5</v>
      </c>
      <c r="G30">
        <f t="shared" si="2"/>
        <v>18.599995349999997</v>
      </c>
      <c r="H30">
        <v>761.5</v>
      </c>
      <c r="I30">
        <f t="shared" si="3"/>
        <v>101.53330794999999</v>
      </c>
      <c r="J30">
        <v>859.3</v>
      </c>
      <c r="K30">
        <f t="shared" si="4"/>
        <v>114.57330468999999</v>
      </c>
      <c r="L30">
        <v>18.600000000000001</v>
      </c>
      <c r="M30">
        <f t="shared" si="5"/>
        <v>2.4799993799999998</v>
      </c>
      <c r="N30">
        <v>1052.2</v>
      </c>
      <c r="O30">
        <f t="shared" si="6"/>
        <v>140.29329826</v>
      </c>
      <c r="P30">
        <v>1332.8</v>
      </c>
      <c r="Q30">
        <f t="shared" si="7"/>
        <v>177.70662223999997</v>
      </c>
      <c r="R30">
        <v>672.9</v>
      </c>
      <c r="S30">
        <f t="shared" si="8"/>
        <v>89.719977569999983</v>
      </c>
      <c r="T30">
        <v>1201.4000000000001</v>
      </c>
      <c r="U30">
        <f t="shared" si="9"/>
        <v>160.18662662</v>
      </c>
      <c r="W30">
        <v>27</v>
      </c>
      <c r="X30">
        <v>0.5</v>
      </c>
      <c r="Y30">
        <f t="shared" si="10"/>
        <v>6.6666649999999994E-2</v>
      </c>
      <c r="Z30">
        <v>5.5</v>
      </c>
      <c r="AA30">
        <f t="shared" si="11"/>
        <v>0.73333314999999999</v>
      </c>
      <c r="AB30">
        <v>100.7</v>
      </c>
      <c r="AC30">
        <f t="shared" si="12"/>
        <v>13.426663309999999</v>
      </c>
      <c r="AD30">
        <v>819.1</v>
      </c>
      <c r="AE30">
        <f t="shared" si="13"/>
        <v>109.21330603</v>
      </c>
      <c r="AF30">
        <v>276.7</v>
      </c>
      <c r="AG30">
        <f t="shared" si="14"/>
        <v>36.893324109999995</v>
      </c>
      <c r="AH30">
        <v>940.6</v>
      </c>
      <c r="AI30">
        <f t="shared" si="15"/>
        <v>125.41330197999999</v>
      </c>
      <c r="AJ30">
        <v>879.8</v>
      </c>
      <c r="AK30">
        <f t="shared" si="16"/>
        <v>117.30663733999998</v>
      </c>
      <c r="AL30">
        <v>1280.9000000000001</v>
      </c>
      <c r="AM30">
        <f t="shared" si="17"/>
        <v>170.78662396999999</v>
      </c>
      <c r="AN30">
        <v>1209.8</v>
      </c>
      <c r="AO30">
        <f t="shared" si="18"/>
        <v>161.30662633999998</v>
      </c>
      <c r="AP30">
        <v>1140.8</v>
      </c>
      <c r="AQ30">
        <f t="shared" si="19"/>
        <v>152.10662863999997</v>
      </c>
      <c r="AS30">
        <v>27</v>
      </c>
      <c r="AT30">
        <v>23.1</v>
      </c>
      <c r="AU30">
        <f t="shared" si="20"/>
        <v>3.0799992299999999</v>
      </c>
      <c r="AV30">
        <v>7.6</v>
      </c>
      <c r="AW30">
        <f t="shared" si="21"/>
        <v>1.0133330799999998</v>
      </c>
      <c r="AX30">
        <v>586.5</v>
      </c>
      <c r="AY30">
        <f t="shared" si="22"/>
        <v>78.199980449999998</v>
      </c>
      <c r="AZ30">
        <v>862.8</v>
      </c>
      <c r="BA30">
        <f t="shared" si="23"/>
        <v>115.03997123999999</v>
      </c>
      <c r="BB30">
        <v>832.1</v>
      </c>
      <c r="BC30">
        <f t="shared" si="24"/>
        <v>110.94663892999999</v>
      </c>
      <c r="BD30">
        <v>862</v>
      </c>
      <c r="BE30">
        <f t="shared" si="25"/>
        <v>114.93330459999999</v>
      </c>
      <c r="BF30">
        <v>889.5</v>
      </c>
      <c r="BG30">
        <f t="shared" si="26"/>
        <v>118.59997034999999</v>
      </c>
      <c r="BH30">
        <v>900.7</v>
      </c>
      <c r="BI30">
        <f t="shared" si="27"/>
        <v>120.09330331</v>
      </c>
      <c r="BJ30">
        <v>956.2</v>
      </c>
      <c r="BK30">
        <f t="shared" si="28"/>
        <v>127.49330146</v>
      </c>
      <c r="BL30">
        <v>1007.7</v>
      </c>
      <c r="BM30">
        <f t="shared" si="29"/>
        <v>134.35996641</v>
      </c>
    </row>
    <row r="31" spans="1:65" x14ac:dyDescent="0.35">
      <c r="A31">
        <v>28</v>
      </c>
      <c r="B31">
        <v>67.900000000000006</v>
      </c>
      <c r="C31">
        <f t="shared" si="0"/>
        <v>9.0533310700000005</v>
      </c>
      <c r="D31">
        <v>531.70000000000005</v>
      </c>
      <c r="E31">
        <f t="shared" si="1"/>
        <v>70.893315610000002</v>
      </c>
      <c r="F31">
        <v>92.3</v>
      </c>
      <c r="G31">
        <f t="shared" si="2"/>
        <v>12.306663589999998</v>
      </c>
      <c r="H31">
        <v>904</v>
      </c>
      <c r="I31">
        <f t="shared" si="3"/>
        <v>120.53330319999999</v>
      </c>
      <c r="J31">
        <v>771.2</v>
      </c>
      <c r="K31">
        <f t="shared" si="4"/>
        <v>102.82664095999999</v>
      </c>
      <c r="L31">
        <v>36.4</v>
      </c>
      <c r="M31">
        <f t="shared" si="5"/>
        <v>4.8533321199999993</v>
      </c>
      <c r="N31">
        <v>1133.7</v>
      </c>
      <c r="O31">
        <f t="shared" si="6"/>
        <v>151.15996221</v>
      </c>
      <c r="P31">
        <v>1302</v>
      </c>
      <c r="Q31">
        <f t="shared" si="7"/>
        <v>173.59995659999998</v>
      </c>
      <c r="R31">
        <v>723.4</v>
      </c>
      <c r="S31">
        <f t="shared" si="8"/>
        <v>96.453309219999994</v>
      </c>
      <c r="T31">
        <v>1200.5</v>
      </c>
      <c r="U31">
        <f t="shared" si="9"/>
        <v>160.06662664999999</v>
      </c>
      <c r="W31">
        <v>28</v>
      </c>
      <c r="X31">
        <v>0.6</v>
      </c>
      <c r="Y31">
        <f t="shared" si="10"/>
        <v>7.9999979999999984E-2</v>
      </c>
      <c r="Z31">
        <v>14.2</v>
      </c>
      <c r="AA31">
        <f t="shared" si="11"/>
        <v>1.8933328599999997</v>
      </c>
      <c r="AB31">
        <v>88.4</v>
      </c>
      <c r="AC31">
        <f t="shared" si="12"/>
        <v>11.78666372</v>
      </c>
      <c r="AD31">
        <v>753.3</v>
      </c>
      <c r="AE31">
        <f t="shared" si="13"/>
        <v>100.43997488999999</v>
      </c>
      <c r="AF31">
        <v>175.2</v>
      </c>
      <c r="AG31">
        <f t="shared" si="14"/>
        <v>23.359994159999996</v>
      </c>
      <c r="AH31">
        <v>884.1</v>
      </c>
      <c r="AI31">
        <f t="shared" si="15"/>
        <v>117.87997052999999</v>
      </c>
      <c r="AJ31">
        <v>996.9</v>
      </c>
      <c r="AK31">
        <f t="shared" si="16"/>
        <v>132.91996676999997</v>
      </c>
      <c r="AL31">
        <v>1306.2</v>
      </c>
      <c r="AM31">
        <f t="shared" si="17"/>
        <v>174.15995645999999</v>
      </c>
      <c r="AN31">
        <v>1239.8</v>
      </c>
      <c r="AO31">
        <f t="shared" si="18"/>
        <v>165.30662533999998</v>
      </c>
      <c r="AP31">
        <v>1178.4000000000001</v>
      </c>
      <c r="AQ31">
        <f t="shared" si="19"/>
        <v>157.11996071999999</v>
      </c>
      <c r="AS31">
        <v>28</v>
      </c>
      <c r="AT31">
        <v>24.5</v>
      </c>
      <c r="AU31">
        <f t="shared" si="20"/>
        <v>3.2666658499999999</v>
      </c>
      <c r="AV31">
        <v>7.7</v>
      </c>
      <c r="AW31">
        <f t="shared" si="21"/>
        <v>1.02666641</v>
      </c>
      <c r="AX31">
        <v>530.29999999999995</v>
      </c>
      <c r="AY31">
        <f t="shared" si="22"/>
        <v>70.706648989999991</v>
      </c>
      <c r="AZ31">
        <v>809.9</v>
      </c>
      <c r="BA31">
        <f t="shared" si="23"/>
        <v>107.98663966999999</v>
      </c>
      <c r="BB31">
        <v>895.6</v>
      </c>
      <c r="BC31">
        <f t="shared" si="24"/>
        <v>119.41330348</v>
      </c>
      <c r="BD31">
        <v>824.7</v>
      </c>
      <c r="BE31">
        <f t="shared" si="25"/>
        <v>109.95997251</v>
      </c>
      <c r="BF31">
        <v>849</v>
      </c>
      <c r="BG31">
        <f t="shared" si="26"/>
        <v>113.19997169999999</v>
      </c>
      <c r="BH31">
        <v>933.1</v>
      </c>
      <c r="BI31">
        <f t="shared" si="27"/>
        <v>124.41330222999999</v>
      </c>
      <c r="BJ31">
        <v>979.7</v>
      </c>
      <c r="BK31">
        <f t="shared" si="28"/>
        <v>130.62663401</v>
      </c>
      <c r="BL31">
        <v>1009.1</v>
      </c>
      <c r="BM31">
        <f t="shared" si="29"/>
        <v>134.54663302999998</v>
      </c>
    </row>
    <row r="32" spans="1:65" x14ac:dyDescent="0.35">
      <c r="A32">
        <v>29</v>
      </c>
      <c r="B32">
        <v>54.6</v>
      </c>
      <c r="C32">
        <f t="shared" si="0"/>
        <v>7.2799981799999998</v>
      </c>
      <c r="D32">
        <v>639.9</v>
      </c>
      <c r="E32">
        <f t="shared" si="1"/>
        <v>85.319978669999983</v>
      </c>
      <c r="F32">
        <v>66.099999999999994</v>
      </c>
      <c r="G32">
        <f t="shared" si="2"/>
        <v>8.8133311299999981</v>
      </c>
      <c r="H32">
        <v>1024.9000000000001</v>
      </c>
      <c r="I32">
        <f t="shared" si="3"/>
        <v>136.65329917</v>
      </c>
      <c r="J32">
        <v>674</v>
      </c>
      <c r="K32">
        <f t="shared" si="4"/>
        <v>89.866644199999996</v>
      </c>
      <c r="L32">
        <v>77.400000000000006</v>
      </c>
      <c r="M32">
        <f t="shared" si="5"/>
        <v>10.31999742</v>
      </c>
      <c r="N32">
        <v>1196</v>
      </c>
      <c r="O32">
        <f t="shared" si="6"/>
        <v>159.46662679999997</v>
      </c>
      <c r="P32">
        <v>1207.2</v>
      </c>
      <c r="Q32">
        <f t="shared" si="7"/>
        <v>160.95995976</v>
      </c>
      <c r="R32">
        <v>772.2</v>
      </c>
      <c r="S32">
        <f t="shared" si="8"/>
        <v>102.95997426</v>
      </c>
      <c r="T32">
        <v>1196.0999999999999</v>
      </c>
      <c r="U32">
        <f t="shared" si="9"/>
        <v>159.47996012999997</v>
      </c>
      <c r="W32">
        <v>29</v>
      </c>
      <c r="X32">
        <v>0.9</v>
      </c>
      <c r="Y32">
        <f t="shared" si="10"/>
        <v>0.11999997</v>
      </c>
      <c r="Z32">
        <v>47.6</v>
      </c>
      <c r="AA32">
        <f t="shared" si="11"/>
        <v>6.3466650799999993</v>
      </c>
      <c r="AB32">
        <v>79.099999999999994</v>
      </c>
      <c r="AC32">
        <f t="shared" si="12"/>
        <v>10.546664029999999</v>
      </c>
      <c r="AD32">
        <v>687.7</v>
      </c>
      <c r="AE32">
        <f t="shared" si="13"/>
        <v>91.693310409999995</v>
      </c>
      <c r="AF32">
        <v>130.4</v>
      </c>
      <c r="AG32">
        <f t="shared" si="14"/>
        <v>17.386662319999999</v>
      </c>
      <c r="AH32">
        <v>832.1</v>
      </c>
      <c r="AI32">
        <f t="shared" si="15"/>
        <v>110.94663892999999</v>
      </c>
      <c r="AJ32">
        <v>1093</v>
      </c>
      <c r="AK32">
        <f t="shared" si="16"/>
        <v>145.7332969</v>
      </c>
      <c r="AL32">
        <v>1290.5999999999999</v>
      </c>
      <c r="AM32">
        <f t="shared" si="17"/>
        <v>172.07995697999996</v>
      </c>
      <c r="AN32">
        <v>1263.5999999999999</v>
      </c>
      <c r="AO32">
        <f t="shared" si="18"/>
        <v>168.47995787999997</v>
      </c>
      <c r="AP32">
        <v>1214.3</v>
      </c>
      <c r="AQ32">
        <f t="shared" si="19"/>
        <v>161.90662618999997</v>
      </c>
      <c r="AS32">
        <v>29</v>
      </c>
      <c r="AT32">
        <v>27.9</v>
      </c>
      <c r="AU32">
        <f t="shared" si="20"/>
        <v>3.7199990699999996</v>
      </c>
      <c r="AV32">
        <v>8</v>
      </c>
      <c r="AW32">
        <f t="shared" si="21"/>
        <v>1.0666663999999999</v>
      </c>
      <c r="AX32">
        <v>397.6</v>
      </c>
      <c r="AY32">
        <f t="shared" si="22"/>
        <v>53.01332008</v>
      </c>
      <c r="AZ32">
        <v>768.1</v>
      </c>
      <c r="BA32">
        <f t="shared" si="23"/>
        <v>102.41330773</v>
      </c>
      <c r="BB32">
        <v>921.7</v>
      </c>
      <c r="BC32">
        <f t="shared" si="24"/>
        <v>122.89330260999999</v>
      </c>
      <c r="BD32">
        <v>791</v>
      </c>
      <c r="BE32">
        <f t="shared" si="25"/>
        <v>105.46664029999999</v>
      </c>
      <c r="BF32">
        <v>812.6</v>
      </c>
      <c r="BG32">
        <f t="shared" si="26"/>
        <v>108.34663957999999</v>
      </c>
      <c r="BH32">
        <v>959.7</v>
      </c>
      <c r="BI32">
        <f t="shared" si="27"/>
        <v>127.95996801</v>
      </c>
      <c r="BJ32">
        <v>998.6</v>
      </c>
      <c r="BK32">
        <f t="shared" si="28"/>
        <v>133.14663338</v>
      </c>
      <c r="BL32">
        <v>1017</v>
      </c>
      <c r="BM32">
        <f t="shared" si="29"/>
        <v>135.59996609999999</v>
      </c>
    </row>
    <row r="33" spans="1:65" x14ac:dyDescent="0.35">
      <c r="A33">
        <v>30</v>
      </c>
      <c r="B33">
        <v>43.7</v>
      </c>
      <c r="C33">
        <f t="shared" si="0"/>
        <v>5.8266652099999998</v>
      </c>
      <c r="D33">
        <v>637.70000000000005</v>
      </c>
      <c r="E33">
        <f t="shared" si="1"/>
        <v>85.02664541</v>
      </c>
      <c r="F33">
        <v>52.6</v>
      </c>
      <c r="G33">
        <f t="shared" si="2"/>
        <v>7.0133315799999991</v>
      </c>
      <c r="H33">
        <v>1044.4000000000001</v>
      </c>
      <c r="I33">
        <f t="shared" si="3"/>
        <v>139.25329851999999</v>
      </c>
      <c r="J33">
        <v>546</v>
      </c>
      <c r="K33">
        <f t="shared" si="4"/>
        <v>72.799981799999998</v>
      </c>
      <c r="L33">
        <v>199.6</v>
      </c>
      <c r="M33">
        <f t="shared" si="5"/>
        <v>26.613326679999997</v>
      </c>
      <c r="N33">
        <v>1247.5</v>
      </c>
      <c r="O33">
        <f t="shared" si="6"/>
        <v>166.33329174999997</v>
      </c>
      <c r="P33">
        <v>1119.3</v>
      </c>
      <c r="Q33">
        <f t="shared" si="7"/>
        <v>149.23996268999997</v>
      </c>
      <c r="R33">
        <v>811.9</v>
      </c>
      <c r="S33">
        <f t="shared" si="8"/>
        <v>108.25330626999998</v>
      </c>
      <c r="T33">
        <v>1187.8</v>
      </c>
      <c r="U33">
        <f t="shared" si="9"/>
        <v>158.37329373999998</v>
      </c>
      <c r="W33">
        <v>30</v>
      </c>
      <c r="X33">
        <v>2.2000000000000002</v>
      </c>
      <c r="Y33">
        <f t="shared" si="10"/>
        <v>0.29333325999999998</v>
      </c>
      <c r="Z33">
        <v>170.5</v>
      </c>
      <c r="AA33">
        <f t="shared" si="11"/>
        <v>22.73332765</v>
      </c>
      <c r="AB33">
        <v>72.099999999999994</v>
      </c>
      <c r="AC33">
        <f t="shared" si="12"/>
        <v>9.6133309299999983</v>
      </c>
      <c r="AD33">
        <v>611.1</v>
      </c>
      <c r="AE33">
        <f t="shared" si="13"/>
        <v>81.479979630000003</v>
      </c>
      <c r="AF33">
        <v>107.6</v>
      </c>
      <c r="AG33">
        <f t="shared" si="14"/>
        <v>14.346663079999997</v>
      </c>
      <c r="AH33">
        <v>782.4</v>
      </c>
      <c r="AI33">
        <f t="shared" si="15"/>
        <v>104.31997391999998</v>
      </c>
      <c r="AJ33">
        <v>1177.9000000000001</v>
      </c>
      <c r="AK33">
        <f t="shared" si="16"/>
        <v>157.05329406999999</v>
      </c>
      <c r="AL33">
        <v>1200.3</v>
      </c>
      <c r="AM33">
        <f t="shared" si="17"/>
        <v>160.03995998999997</v>
      </c>
      <c r="AN33">
        <v>1271.5999999999999</v>
      </c>
      <c r="AO33">
        <f t="shared" si="18"/>
        <v>169.54662427999997</v>
      </c>
      <c r="AP33">
        <v>1256.4000000000001</v>
      </c>
      <c r="AQ33">
        <f t="shared" si="19"/>
        <v>167.51995811999998</v>
      </c>
      <c r="AS33">
        <v>30</v>
      </c>
      <c r="AT33">
        <v>42.1</v>
      </c>
      <c r="AU33">
        <f t="shared" si="20"/>
        <v>5.6133319299999993</v>
      </c>
      <c r="AV33">
        <v>11.6</v>
      </c>
      <c r="AW33">
        <f t="shared" si="21"/>
        <v>1.5466662799999997</v>
      </c>
      <c r="AX33">
        <v>248.2</v>
      </c>
      <c r="AY33">
        <f t="shared" si="22"/>
        <v>33.093325059999998</v>
      </c>
      <c r="AZ33">
        <v>732.7</v>
      </c>
      <c r="BA33">
        <f t="shared" si="23"/>
        <v>97.693308909999999</v>
      </c>
      <c r="BB33">
        <v>878.8</v>
      </c>
      <c r="BC33">
        <f t="shared" si="24"/>
        <v>117.17330403999998</v>
      </c>
      <c r="BD33">
        <v>755.9</v>
      </c>
      <c r="BE33">
        <f t="shared" si="25"/>
        <v>100.78664146999999</v>
      </c>
      <c r="BF33">
        <v>777.8</v>
      </c>
      <c r="BG33">
        <f t="shared" si="26"/>
        <v>103.70664073999998</v>
      </c>
      <c r="BH33">
        <v>991.2</v>
      </c>
      <c r="BI33">
        <f t="shared" si="27"/>
        <v>132.15996695999999</v>
      </c>
      <c r="BJ33">
        <v>1010.6</v>
      </c>
      <c r="BK33">
        <f t="shared" si="28"/>
        <v>134.74663297999999</v>
      </c>
      <c r="BL33">
        <v>1031.9000000000001</v>
      </c>
      <c r="BM33">
        <f t="shared" si="29"/>
        <v>137.58663227</v>
      </c>
    </row>
    <row r="34" spans="1:65" x14ac:dyDescent="0.35">
      <c r="A34">
        <v>31</v>
      </c>
      <c r="B34">
        <v>32.200000000000003</v>
      </c>
      <c r="C34">
        <f t="shared" si="0"/>
        <v>4.2933322599999997</v>
      </c>
      <c r="D34">
        <v>563.9</v>
      </c>
      <c r="E34">
        <f t="shared" si="1"/>
        <v>75.186647869999987</v>
      </c>
      <c r="F34">
        <v>46.2</v>
      </c>
      <c r="G34">
        <f t="shared" si="2"/>
        <v>6.1599984599999997</v>
      </c>
      <c r="H34">
        <v>957.1</v>
      </c>
      <c r="I34">
        <f t="shared" si="3"/>
        <v>127.61330142999999</v>
      </c>
      <c r="J34">
        <v>402.2</v>
      </c>
      <c r="K34">
        <f t="shared" si="4"/>
        <v>53.626653259999991</v>
      </c>
      <c r="L34">
        <v>493.1</v>
      </c>
      <c r="M34">
        <f t="shared" si="5"/>
        <v>65.74665023</v>
      </c>
      <c r="N34">
        <v>1272.8</v>
      </c>
      <c r="O34">
        <f t="shared" si="6"/>
        <v>169.70662423999997</v>
      </c>
      <c r="P34">
        <v>1046.7</v>
      </c>
      <c r="Q34">
        <f t="shared" si="7"/>
        <v>139.55996511000001</v>
      </c>
      <c r="R34">
        <v>840.9</v>
      </c>
      <c r="S34">
        <f t="shared" si="8"/>
        <v>112.11997196999998</v>
      </c>
      <c r="T34">
        <v>1179</v>
      </c>
      <c r="U34">
        <f t="shared" si="9"/>
        <v>157.19996069999999</v>
      </c>
      <c r="W34">
        <v>31</v>
      </c>
      <c r="X34">
        <v>7.8</v>
      </c>
      <c r="Y34">
        <f t="shared" si="10"/>
        <v>1.0399997399999998</v>
      </c>
      <c r="Z34">
        <v>323</v>
      </c>
      <c r="AA34">
        <f t="shared" si="11"/>
        <v>43.066655899999994</v>
      </c>
      <c r="AB34">
        <v>66.8</v>
      </c>
      <c r="AC34">
        <f t="shared" si="12"/>
        <v>8.9066644399999984</v>
      </c>
      <c r="AD34">
        <v>495.5</v>
      </c>
      <c r="AE34">
        <f t="shared" si="13"/>
        <v>66.066650150000001</v>
      </c>
      <c r="AF34">
        <v>93.4</v>
      </c>
      <c r="AG34">
        <f t="shared" si="14"/>
        <v>12.45333022</v>
      </c>
      <c r="AH34">
        <v>733.1</v>
      </c>
      <c r="AI34">
        <f t="shared" si="15"/>
        <v>97.746642229999992</v>
      </c>
      <c r="AJ34">
        <v>1236</v>
      </c>
      <c r="AK34">
        <f t="shared" si="16"/>
        <v>164.79995879999998</v>
      </c>
      <c r="AL34">
        <v>1108.5</v>
      </c>
      <c r="AM34">
        <f t="shared" si="17"/>
        <v>147.79996304999997</v>
      </c>
      <c r="AN34">
        <v>1267.5999999999999</v>
      </c>
      <c r="AO34">
        <f t="shared" si="18"/>
        <v>169.01329107999996</v>
      </c>
      <c r="AP34">
        <v>1313.8</v>
      </c>
      <c r="AQ34">
        <f t="shared" si="19"/>
        <v>175.17328953999998</v>
      </c>
      <c r="AS34">
        <v>31</v>
      </c>
      <c r="AT34">
        <v>95.9</v>
      </c>
      <c r="AU34">
        <f t="shared" si="20"/>
        <v>12.786663469999999</v>
      </c>
      <c r="AV34">
        <v>37.200000000000003</v>
      </c>
      <c r="AW34">
        <f t="shared" si="21"/>
        <v>4.9599987599999995</v>
      </c>
      <c r="AX34">
        <v>159.69999999999999</v>
      </c>
      <c r="AY34">
        <f t="shared" si="22"/>
        <v>21.293328009999996</v>
      </c>
      <c r="AZ34">
        <v>701</v>
      </c>
      <c r="BA34">
        <f t="shared" si="23"/>
        <v>93.466643299999987</v>
      </c>
      <c r="BB34">
        <v>830.8</v>
      </c>
      <c r="BC34">
        <f t="shared" si="24"/>
        <v>110.77330563999999</v>
      </c>
      <c r="BD34">
        <v>690.3</v>
      </c>
      <c r="BE34">
        <f t="shared" si="25"/>
        <v>92.039976989999985</v>
      </c>
      <c r="BF34">
        <v>734.8</v>
      </c>
      <c r="BG34">
        <f t="shared" si="26"/>
        <v>97.973308839999987</v>
      </c>
      <c r="BH34">
        <v>1019.4</v>
      </c>
      <c r="BI34">
        <f t="shared" si="27"/>
        <v>135.91996601999998</v>
      </c>
      <c r="BJ34">
        <v>1020.2</v>
      </c>
      <c r="BK34">
        <f t="shared" si="28"/>
        <v>136.02663265999999</v>
      </c>
      <c r="BL34">
        <v>1043.9000000000001</v>
      </c>
      <c r="BM34">
        <f t="shared" si="29"/>
        <v>139.18663187000001</v>
      </c>
    </row>
    <row r="35" spans="1:65" x14ac:dyDescent="0.35">
      <c r="A35">
        <v>32</v>
      </c>
      <c r="B35">
        <v>23.1</v>
      </c>
      <c r="C35">
        <f t="shared" si="0"/>
        <v>3.0799992299999999</v>
      </c>
      <c r="D35">
        <v>486.8</v>
      </c>
      <c r="E35">
        <f t="shared" si="1"/>
        <v>64.906650439999993</v>
      </c>
      <c r="F35">
        <v>42.1</v>
      </c>
      <c r="G35">
        <f t="shared" si="2"/>
        <v>5.6133319299999993</v>
      </c>
      <c r="H35">
        <v>871.1</v>
      </c>
      <c r="I35">
        <f t="shared" si="3"/>
        <v>116.14663762999999</v>
      </c>
      <c r="J35">
        <v>271.60000000000002</v>
      </c>
      <c r="K35">
        <f t="shared" si="4"/>
        <v>36.213324280000002</v>
      </c>
      <c r="L35">
        <v>799.5</v>
      </c>
      <c r="M35">
        <f t="shared" si="5"/>
        <v>106.59997334999998</v>
      </c>
      <c r="N35">
        <v>1212.7</v>
      </c>
      <c r="O35">
        <f t="shared" si="6"/>
        <v>161.69329291</v>
      </c>
      <c r="P35">
        <v>985.9</v>
      </c>
      <c r="Q35">
        <f t="shared" si="7"/>
        <v>131.45330046999999</v>
      </c>
      <c r="R35">
        <v>857.2</v>
      </c>
      <c r="S35">
        <f t="shared" si="8"/>
        <v>114.29330476</v>
      </c>
      <c r="T35">
        <v>1180.5999999999999</v>
      </c>
      <c r="U35">
        <f t="shared" si="9"/>
        <v>157.41329397999996</v>
      </c>
      <c r="W35">
        <v>32</v>
      </c>
      <c r="X35">
        <v>25.7</v>
      </c>
      <c r="Y35">
        <f t="shared" si="10"/>
        <v>3.4266658099999998</v>
      </c>
      <c r="Z35">
        <v>462.1</v>
      </c>
      <c r="AA35">
        <f t="shared" si="11"/>
        <v>61.613317930000001</v>
      </c>
      <c r="AB35">
        <v>62.6</v>
      </c>
      <c r="AC35">
        <f t="shared" si="12"/>
        <v>8.3466645799999988</v>
      </c>
      <c r="AD35">
        <v>344.1</v>
      </c>
      <c r="AE35">
        <f t="shared" si="13"/>
        <v>45.879988529999999</v>
      </c>
      <c r="AF35">
        <v>83.6</v>
      </c>
      <c r="AG35">
        <f t="shared" si="14"/>
        <v>11.146663879999998</v>
      </c>
      <c r="AH35">
        <v>682.5</v>
      </c>
      <c r="AI35">
        <f t="shared" si="15"/>
        <v>90.999977249999986</v>
      </c>
      <c r="AJ35">
        <v>1249.0999999999999</v>
      </c>
      <c r="AK35">
        <f t="shared" si="16"/>
        <v>166.54662502999997</v>
      </c>
      <c r="AL35">
        <v>1033.4000000000001</v>
      </c>
      <c r="AM35">
        <f t="shared" si="17"/>
        <v>137.78663222</v>
      </c>
      <c r="AN35">
        <v>1257</v>
      </c>
      <c r="AO35">
        <f t="shared" si="18"/>
        <v>167.59995809999998</v>
      </c>
      <c r="AP35">
        <v>1382.1</v>
      </c>
      <c r="AQ35">
        <f t="shared" si="19"/>
        <v>184.27995392999998</v>
      </c>
      <c r="AS35">
        <v>32</v>
      </c>
      <c r="AT35">
        <v>288.7</v>
      </c>
      <c r="AU35">
        <f t="shared" si="20"/>
        <v>38.493323709999999</v>
      </c>
      <c r="AV35">
        <v>153.1</v>
      </c>
      <c r="AW35">
        <f t="shared" si="21"/>
        <v>20.413328229999998</v>
      </c>
      <c r="AX35">
        <v>112.9</v>
      </c>
      <c r="AY35">
        <f t="shared" si="22"/>
        <v>15.053329569999999</v>
      </c>
      <c r="AZ35">
        <v>671.6</v>
      </c>
      <c r="BA35">
        <f t="shared" si="23"/>
        <v>89.546644279999995</v>
      </c>
      <c r="BB35">
        <v>790.8</v>
      </c>
      <c r="BC35">
        <f t="shared" si="24"/>
        <v>105.43997363999999</v>
      </c>
      <c r="BD35">
        <v>589.20000000000005</v>
      </c>
      <c r="BE35">
        <f t="shared" si="25"/>
        <v>78.559980359999997</v>
      </c>
      <c r="BF35">
        <v>639.79999999999995</v>
      </c>
      <c r="BG35">
        <f t="shared" si="26"/>
        <v>85.306645339999989</v>
      </c>
      <c r="BH35">
        <v>1043.2</v>
      </c>
      <c r="BI35">
        <f t="shared" si="27"/>
        <v>139.09329855999999</v>
      </c>
      <c r="BJ35">
        <v>1035</v>
      </c>
      <c r="BK35">
        <f t="shared" si="28"/>
        <v>137.99996549999997</v>
      </c>
      <c r="BL35">
        <v>1047.5999999999999</v>
      </c>
      <c r="BM35">
        <f t="shared" si="29"/>
        <v>139.67996507999999</v>
      </c>
    </row>
    <row r="36" spans="1:65" x14ac:dyDescent="0.35">
      <c r="A36">
        <v>33</v>
      </c>
      <c r="B36">
        <v>21.9</v>
      </c>
      <c r="C36">
        <f t="shared" si="0"/>
        <v>2.9199992699999995</v>
      </c>
      <c r="D36">
        <v>411.3</v>
      </c>
      <c r="E36">
        <f t="shared" si="1"/>
        <v>54.839986289999999</v>
      </c>
      <c r="F36">
        <v>39.1</v>
      </c>
      <c r="G36">
        <f t="shared" si="2"/>
        <v>5.2133320300000001</v>
      </c>
      <c r="H36">
        <v>785.8</v>
      </c>
      <c r="I36">
        <f t="shared" si="3"/>
        <v>104.77330713999999</v>
      </c>
      <c r="J36">
        <v>180</v>
      </c>
      <c r="K36">
        <f t="shared" si="4"/>
        <v>23.999993999999997</v>
      </c>
      <c r="L36">
        <v>1011.7</v>
      </c>
      <c r="M36">
        <f t="shared" si="5"/>
        <v>134.89329960999999</v>
      </c>
      <c r="N36">
        <v>1119.5999999999999</v>
      </c>
      <c r="O36">
        <f t="shared" si="6"/>
        <v>149.27996267999998</v>
      </c>
      <c r="P36">
        <v>933.2</v>
      </c>
      <c r="Q36">
        <f t="shared" si="7"/>
        <v>124.42663555999999</v>
      </c>
      <c r="R36">
        <v>878.1</v>
      </c>
      <c r="S36">
        <f t="shared" si="8"/>
        <v>117.07997073</v>
      </c>
      <c r="T36">
        <v>1177.5</v>
      </c>
      <c r="U36">
        <f t="shared" si="9"/>
        <v>156.99996074999999</v>
      </c>
      <c r="W36">
        <v>33</v>
      </c>
      <c r="X36">
        <v>117.9</v>
      </c>
      <c r="Y36">
        <f t="shared" si="10"/>
        <v>15.719996069999999</v>
      </c>
      <c r="Z36">
        <v>613.5</v>
      </c>
      <c r="AA36">
        <f t="shared" si="11"/>
        <v>81.799979549999989</v>
      </c>
      <c r="AB36">
        <v>59.1</v>
      </c>
      <c r="AC36">
        <f t="shared" si="12"/>
        <v>7.8799980299999994</v>
      </c>
      <c r="AD36">
        <v>226.4</v>
      </c>
      <c r="AE36">
        <f t="shared" si="13"/>
        <v>30.186659119999998</v>
      </c>
      <c r="AF36">
        <v>76.5</v>
      </c>
      <c r="AG36">
        <f t="shared" si="14"/>
        <v>10.19999745</v>
      </c>
      <c r="AH36">
        <v>630.1</v>
      </c>
      <c r="AI36">
        <f t="shared" si="15"/>
        <v>84.013312329999991</v>
      </c>
      <c r="AJ36">
        <v>1223.7</v>
      </c>
      <c r="AK36">
        <f t="shared" si="16"/>
        <v>163.15995920999998</v>
      </c>
      <c r="AL36">
        <v>970</v>
      </c>
      <c r="AM36">
        <f t="shared" si="17"/>
        <v>129.33330099999998</v>
      </c>
      <c r="AN36">
        <v>1223</v>
      </c>
      <c r="AO36">
        <f t="shared" si="18"/>
        <v>163.06662589999999</v>
      </c>
      <c r="AP36">
        <v>1403.1</v>
      </c>
      <c r="AQ36">
        <f t="shared" si="19"/>
        <v>187.07995322999997</v>
      </c>
      <c r="AS36">
        <v>33</v>
      </c>
      <c r="AT36">
        <v>505.7</v>
      </c>
      <c r="AU36">
        <f t="shared" si="20"/>
        <v>67.426649809999986</v>
      </c>
      <c r="AV36">
        <v>417.3</v>
      </c>
      <c r="AW36">
        <f t="shared" si="21"/>
        <v>55.639986089999994</v>
      </c>
      <c r="AX36">
        <v>86.1</v>
      </c>
      <c r="AY36">
        <f t="shared" si="22"/>
        <v>11.479997129999997</v>
      </c>
      <c r="AZ36">
        <v>643.6</v>
      </c>
      <c r="BA36">
        <f t="shared" si="23"/>
        <v>85.813311880000001</v>
      </c>
      <c r="BB36">
        <v>756.1</v>
      </c>
      <c r="BC36">
        <f t="shared" si="24"/>
        <v>100.81330813</v>
      </c>
      <c r="BD36">
        <v>477.3</v>
      </c>
      <c r="BE36">
        <f t="shared" si="25"/>
        <v>63.639984089999999</v>
      </c>
      <c r="BF36">
        <v>501.1</v>
      </c>
      <c r="BG36">
        <f t="shared" si="26"/>
        <v>66.813316630000003</v>
      </c>
      <c r="BH36">
        <v>1054.5999999999999</v>
      </c>
      <c r="BI36">
        <f t="shared" si="27"/>
        <v>140.61329817999999</v>
      </c>
      <c r="BJ36">
        <v>1058.2</v>
      </c>
      <c r="BK36">
        <f t="shared" si="28"/>
        <v>141.09329806</v>
      </c>
      <c r="BL36">
        <v>1051.9000000000001</v>
      </c>
      <c r="BM36">
        <f t="shared" si="29"/>
        <v>140.25329826999999</v>
      </c>
    </row>
    <row r="37" spans="1:65" x14ac:dyDescent="0.35">
      <c r="A37">
        <v>34</v>
      </c>
      <c r="B37">
        <v>19.8</v>
      </c>
      <c r="C37">
        <f t="shared" si="0"/>
        <v>2.6399993399999997</v>
      </c>
      <c r="D37">
        <v>330</v>
      </c>
      <c r="E37">
        <f t="shared" si="1"/>
        <v>43.999988999999999</v>
      </c>
      <c r="F37">
        <v>36.6</v>
      </c>
      <c r="G37">
        <f t="shared" si="2"/>
        <v>4.8799987799999993</v>
      </c>
      <c r="H37">
        <v>661.5</v>
      </c>
      <c r="I37">
        <f t="shared" si="3"/>
        <v>88.19997794999999</v>
      </c>
      <c r="J37">
        <v>123.7</v>
      </c>
      <c r="K37">
        <f t="shared" si="4"/>
        <v>16.493329209999999</v>
      </c>
      <c r="L37">
        <v>1159.8</v>
      </c>
      <c r="M37">
        <f t="shared" si="5"/>
        <v>154.63996133999999</v>
      </c>
      <c r="N37">
        <v>1039.3</v>
      </c>
      <c r="O37">
        <f t="shared" si="6"/>
        <v>138.57329868999997</v>
      </c>
      <c r="P37">
        <v>885.5</v>
      </c>
      <c r="Q37">
        <f t="shared" si="7"/>
        <v>118.06663714999999</v>
      </c>
      <c r="R37">
        <v>913.9</v>
      </c>
      <c r="S37">
        <f t="shared" si="8"/>
        <v>121.85330286999998</v>
      </c>
      <c r="T37">
        <v>1173.5</v>
      </c>
      <c r="U37">
        <f t="shared" si="9"/>
        <v>156.46662755</v>
      </c>
      <c r="W37">
        <v>34</v>
      </c>
      <c r="X37">
        <v>290</v>
      </c>
      <c r="Y37">
        <f t="shared" si="10"/>
        <v>38.666656999999994</v>
      </c>
      <c r="Z37">
        <v>694.5</v>
      </c>
      <c r="AA37">
        <f t="shared" si="11"/>
        <v>92.59997684999999</v>
      </c>
      <c r="AB37">
        <v>56.2</v>
      </c>
      <c r="AC37">
        <f t="shared" si="12"/>
        <v>7.4933314599999994</v>
      </c>
      <c r="AD37">
        <v>156.5</v>
      </c>
      <c r="AE37">
        <f t="shared" si="13"/>
        <v>20.866661449999999</v>
      </c>
      <c r="AF37">
        <v>71</v>
      </c>
      <c r="AG37">
        <f t="shared" si="14"/>
        <v>9.4666642999999997</v>
      </c>
      <c r="AH37">
        <v>575.4</v>
      </c>
      <c r="AI37">
        <f t="shared" si="15"/>
        <v>76.719980819999989</v>
      </c>
      <c r="AJ37">
        <v>1229.2</v>
      </c>
      <c r="AK37">
        <f t="shared" si="16"/>
        <v>163.89329236</v>
      </c>
      <c r="AL37">
        <v>914.8</v>
      </c>
      <c r="AM37">
        <f t="shared" si="17"/>
        <v>121.97330283999999</v>
      </c>
      <c r="AN37">
        <v>1153</v>
      </c>
      <c r="AO37">
        <f t="shared" si="18"/>
        <v>153.73329489999998</v>
      </c>
      <c r="AP37">
        <v>1317.2</v>
      </c>
      <c r="AQ37">
        <f t="shared" si="19"/>
        <v>175.62662276</v>
      </c>
      <c r="AS37">
        <v>34</v>
      </c>
      <c r="AT37">
        <v>508.3</v>
      </c>
      <c r="AU37">
        <f t="shared" si="20"/>
        <v>67.773316389999991</v>
      </c>
      <c r="AV37">
        <v>628.70000000000005</v>
      </c>
      <c r="AW37">
        <f t="shared" si="21"/>
        <v>83.826645709999994</v>
      </c>
      <c r="AX37">
        <v>69.5</v>
      </c>
      <c r="AY37">
        <f t="shared" si="22"/>
        <v>9.2666643499999992</v>
      </c>
      <c r="AZ37">
        <v>616.20000000000005</v>
      </c>
      <c r="BA37">
        <f t="shared" si="23"/>
        <v>82.159979460000002</v>
      </c>
      <c r="BB37">
        <v>724.6</v>
      </c>
      <c r="BC37">
        <f t="shared" si="24"/>
        <v>96.613309179999987</v>
      </c>
      <c r="BD37">
        <v>357.7</v>
      </c>
      <c r="BE37">
        <f t="shared" si="25"/>
        <v>47.693321409999996</v>
      </c>
      <c r="BF37">
        <v>358</v>
      </c>
      <c r="BG37">
        <f t="shared" si="26"/>
        <v>47.733321399999994</v>
      </c>
      <c r="BH37">
        <v>1065.2</v>
      </c>
      <c r="BI37">
        <f t="shared" si="27"/>
        <v>142.02663115999999</v>
      </c>
      <c r="BJ37">
        <v>1082.7</v>
      </c>
      <c r="BK37">
        <f t="shared" si="28"/>
        <v>144.35996391</v>
      </c>
      <c r="BL37">
        <v>1051.9000000000001</v>
      </c>
      <c r="BM37">
        <f t="shared" si="29"/>
        <v>140.25329826999999</v>
      </c>
    </row>
    <row r="38" spans="1:65" x14ac:dyDescent="0.35">
      <c r="A38">
        <v>35</v>
      </c>
      <c r="B38">
        <v>17.3</v>
      </c>
      <c r="C38">
        <f t="shared" si="0"/>
        <v>2.3066660899999998</v>
      </c>
      <c r="D38">
        <v>233.4</v>
      </c>
      <c r="E38">
        <f t="shared" si="1"/>
        <v>31.119992219999997</v>
      </c>
      <c r="F38">
        <v>34.700000000000003</v>
      </c>
      <c r="G38">
        <f t="shared" si="2"/>
        <v>4.6266655099999996</v>
      </c>
      <c r="H38">
        <v>513.1</v>
      </c>
      <c r="I38">
        <f t="shared" si="3"/>
        <v>68.413316229999992</v>
      </c>
      <c r="J38">
        <v>89.2</v>
      </c>
      <c r="K38">
        <f t="shared" si="4"/>
        <v>11.893330359999998</v>
      </c>
      <c r="L38">
        <v>1266.4000000000001</v>
      </c>
      <c r="M38">
        <f t="shared" si="5"/>
        <v>168.85329111999999</v>
      </c>
      <c r="N38">
        <v>958.4</v>
      </c>
      <c r="O38">
        <f t="shared" si="6"/>
        <v>127.78663471999998</v>
      </c>
      <c r="P38">
        <v>842</v>
      </c>
      <c r="Q38">
        <f t="shared" si="7"/>
        <v>112.26663859999999</v>
      </c>
      <c r="R38">
        <v>984.1</v>
      </c>
      <c r="S38">
        <f t="shared" si="8"/>
        <v>131.21330053</v>
      </c>
      <c r="T38">
        <v>1177.2</v>
      </c>
      <c r="U38">
        <f t="shared" si="9"/>
        <v>156.95996076</v>
      </c>
      <c r="W38">
        <v>35</v>
      </c>
      <c r="X38">
        <v>449.9</v>
      </c>
      <c r="Y38">
        <f t="shared" si="10"/>
        <v>59.986651669999993</v>
      </c>
      <c r="Z38">
        <v>643.29999999999995</v>
      </c>
      <c r="AA38">
        <f t="shared" si="11"/>
        <v>85.773311889999988</v>
      </c>
      <c r="AB38">
        <v>53.8</v>
      </c>
      <c r="AC38">
        <f t="shared" si="12"/>
        <v>7.1733315399999986</v>
      </c>
      <c r="AD38">
        <v>122</v>
      </c>
      <c r="AE38">
        <f t="shared" si="13"/>
        <v>16.2666626</v>
      </c>
      <c r="AF38">
        <v>66.400000000000006</v>
      </c>
      <c r="AG38">
        <f t="shared" si="14"/>
        <v>8.85333112</v>
      </c>
      <c r="AH38">
        <v>518.4</v>
      </c>
      <c r="AI38">
        <f t="shared" si="15"/>
        <v>69.119982719999996</v>
      </c>
      <c r="AJ38">
        <v>1202.7</v>
      </c>
      <c r="AK38">
        <f t="shared" si="16"/>
        <v>160.35995990999999</v>
      </c>
      <c r="AL38">
        <v>865</v>
      </c>
      <c r="AM38">
        <f t="shared" si="17"/>
        <v>115.33330449999998</v>
      </c>
      <c r="AN38">
        <v>1071.3</v>
      </c>
      <c r="AO38">
        <f t="shared" si="18"/>
        <v>142.83996428999998</v>
      </c>
      <c r="AP38">
        <v>1215.2</v>
      </c>
      <c r="AQ38">
        <f t="shared" si="19"/>
        <v>162.02662615999998</v>
      </c>
      <c r="AS38">
        <v>35</v>
      </c>
      <c r="AT38">
        <v>453.4</v>
      </c>
      <c r="AU38">
        <f t="shared" si="20"/>
        <v>60.453318219999993</v>
      </c>
      <c r="AV38">
        <v>640.20000000000005</v>
      </c>
      <c r="AW38">
        <f t="shared" si="21"/>
        <v>85.359978659999996</v>
      </c>
      <c r="AX38">
        <v>58.7</v>
      </c>
      <c r="AY38">
        <f t="shared" si="22"/>
        <v>7.8266647099999993</v>
      </c>
      <c r="AZ38">
        <v>588.79999999999995</v>
      </c>
      <c r="BA38">
        <f t="shared" si="23"/>
        <v>78.50664703999999</v>
      </c>
      <c r="BB38">
        <v>695.3</v>
      </c>
      <c r="BC38">
        <f t="shared" si="24"/>
        <v>92.70664348999999</v>
      </c>
      <c r="BD38">
        <v>259.5</v>
      </c>
      <c r="BE38">
        <f t="shared" si="25"/>
        <v>34.599991349999996</v>
      </c>
      <c r="BF38">
        <v>240.3</v>
      </c>
      <c r="BG38">
        <f t="shared" si="26"/>
        <v>32.039991989999997</v>
      </c>
      <c r="BH38">
        <v>1075.2</v>
      </c>
      <c r="BI38">
        <f t="shared" si="27"/>
        <v>143.35996416</v>
      </c>
      <c r="BJ38">
        <v>1089.3</v>
      </c>
      <c r="BK38">
        <f t="shared" si="28"/>
        <v>145.23996368999997</v>
      </c>
      <c r="BL38">
        <v>1051.2</v>
      </c>
      <c r="BM38">
        <f t="shared" si="29"/>
        <v>140.15996496</v>
      </c>
    </row>
    <row r="39" spans="1:65" x14ac:dyDescent="0.35">
      <c r="A39">
        <v>36</v>
      </c>
      <c r="B39">
        <v>15.3</v>
      </c>
      <c r="C39">
        <f t="shared" si="0"/>
        <v>2.03999949</v>
      </c>
      <c r="D39">
        <v>146.19999999999999</v>
      </c>
      <c r="E39">
        <f t="shared" si="1"/>
        <v>19.493328459999997</v>
      </c>
      <c r="F39">
        <v>33.1</v>
      </c>
      <c r="G39">
        <f t="shared" si="2"/>
        <v>4.41333223</v>
      </c>
      <c r="H39">
        <v>359.7</v>
      </c>
      <c r="I39">
        <f t="shared" si="3"/>
        <v>47.959988009999996</v>
      </c>
      <c r="J39">
        <v>68.7</v>
      </c>
      <c r="K39">
        <f t="shared" si="4"/>
        <v>9.159997709999999</v>
      </c>
      <c r="L39">
        <v>1281.5999999999999</v>
      </c>
      <c r="M39">
        <f t="shared" si="5"/>
        <v>170.87995727999999</v>
      </c>
      <c r="N39">
        <v>839.5</v>
      </c>
      <c r="O39">
        <f t="shared" si="6"/>
        <v>111.93330534999998</v>
      </c>
      <c r="P39">
        <v>800.7</v>
      </c>
      <c r="Q39">
        <f t="shared" si="7"/>
        <v>106.75997330999999</v>
      </c>
      <c r="R39">
        <v>1071.4000000000001</v>
      </c>
      <c r="S39">
        <f t="shared" si="8"/>
        <v>142.85329762000001</v>
      </c>
      <c r="T39">
        <v>1164.8</v>
      </c>
      <c r="U39">
        <f t="shared" si="9"/>
        <v>155.30662783999998</v>
      </c>
      <c r="W39">
        <v>36</v>
      </c>
      <c r="X39">
        <v>530.5</v>
      </c>
      <c r="Y39">
        <f t="shared" si="10"/>
        <v>70.733315649999994</v>
      </c>
      <c r="Z39">
        <v>564.70000000000005</v>
      </c>
      <c r="AA39">
        <f t="shared" si="11"/>
        <v>75.293314510000002</v>
      </c>
      <c r="AB39">
        <v>51.7</v>
      </c>
      <c r="AC39">
        <f t="shared" si="12"/>
        <v>6.8933316099999997</v>
      </c>
      <c r="AD39">
        <v>103.6</v>
      </c>
      <c r="AE39">
        <f t="shared" si="13"/>
        <v>13.813329879999998</v>
      </c>
      <c r="AF39">
        <v>62.4</v>
      </c>
      <c r="AG39">
        <f t="shared" si="14"/>
        <v>8.3199979199999987</v>
      </c>
      <c r="AH39">
        <v>458.6</v>
      </c>
      <c r="AI39">
        <f t="shared" si="15"/>
        <v>61.146651379999994</v>
      </c>
      <c r="AJ39">
        <v>1114.3</v>
      </c>
      <c r="AK39">
        <f t="shared" si="16"/>
        <v>148.57329618999998</v>
      </c>
      <c r="AL39">
        <v>818.4</v>
      </c>
      <c r="AM39">
        <f t="shared" si="17"/>
        <v>109.11997271999999</v>
      </c>
      <c r="AN39">
        <v>1001.2</v>
      </c>
      <c r="AO39">
        <f t="shared" si="18"/>
        <v>133.49329996</v>
      </c>
      <c r="AP39">
        <v>1133.3</v>
      </c>
      <c r="AQ39">
        <f t="shared" si="19"/>
        <v>151.10662888999997</v>
      </c>
      <c r="AS39">
        <v>36</v>
      </c>
      <c r="AT39">
        <v>392.6</v>
      </c>
      <c r="AU39">
        <f t="shared" si="20"/>
        <v>52.346653580000002</v>
      </c>
      <c r="AV39">
        <v>587.4</v>
      </c>
      <c r="AW39">
        <f t="shared" si="21"/>
        <v>78.319980419999993</v>
      </c>
      <c r="AX39">
        <v>51.3</v>
      </c>
      <c r="AY39">
        <f t="shared" si="22"/>
        <v>6.8399982899999987</v>
      </c>
      <c r="AZ39">
        <v>559.79999999999995</v>
      </c>
      <c r="BA39">
        <f t="shared" si="23"/>
        <v>74.639981339999991</v>
      </c>
      <c r="BB39">
        <v>667.6</v>
      </c>
      <c r="BC39">
        <f t="shared" si="24"/>
        <v>89.013311079999994</v>
      </c>
      <c r="BD39">
        <v>192.6</v>
      </c>
      <c r="BE39">
        <f t="shared" si="25"/>
        <v>25.679993579999998</v>
      </c>
      <c r="BF39">
        <v>160.9</v>
      </c>
      <c r="BG39">
        <f t="shared" si="26"/>
        <v>21.45332797</v>
      </c>
      <c r="BH39">
        <v>1050.9000000000001</v>
      </c>
      <c r="BI39">
        <f t="shared" si="27"/>
        <v>140.11996497000001</v>
      </c>
      <c r="BJ39">
        <v>1046.5999999999999</v>
      </c>
      <c r="BK39">
        <f t="shared" si="28"/>
        <v>139.54663177999998</v>
      </c>
      <c r="BL39">
        <v>1049.2</v>
      </c>
      <c r="BM39">
        <f t="shared" si="29"/>
        <v>139.89329835999999</v>
      </c>
    </row>
    <row r="40" spans="1:65" x14ac:dyDescent="0.35">
      <c r="A40">
        <v>37</v>
      </c>
      <c r="B40">
        <v>13.8</v>
      </c>
      <c r="C40">
        <f t="shared" si="0"/>
        <v>1.83999954</v>
      </c>
      <c r="D40">
        <v>90.8</v>
      </c>
      <c r="E40">
        <f t="shared" si="1"/>
        <v>12.106663639999999</v>
      </c>
      <c r="F40">
        <v>31.7</v>
      </c>
      <c r="G40">
        <f t="shared" si="2"/>
        <v>4.2266656099999995</v>
      </c>
      <c r="H40">
        <v>223.3</v>
      </c>
      <c r="I40">
        <f t="shared" si="3"/>
        <v>29.773325889999999</v>
      </c>
      <c r="J40">
        <v>56.1</v>
      </c>
      <c r="K40">
        <f t="shared" si="4"/>
        <v>7.4799981299999994</v>
      </c>
      <c r="L40">
        <v>1186.4000000000001</v>
      </c>
      <c r="M40">
        <f t="shared" si="5"/>
        <v>158.18662712</v>
      </c>
      <c r="N40">
        <v>697.1</v>
      </c>
      <c r="O40">
        <f t="shared" si="6"/>
        <v>92.946643429999995</v>
      </c>
      <c r="P40">
        <v>759.9</v>
      </c>
      <c r="Q40">
        <f t="shared" si="7"/>
        <v>101.31997466999999</v>
      </c>
      <c r="R40">
        <v>1176</v>
      </c>
      <c r="S40">
        <f t="shared" si="8"/>
        <v>156.79996079999998</v>
      </c>
      <c r="T40">
        <v>1123.2</v>
      </c>
      <c r="U40">
        <f t="shared" si="9"/>
        <v>149.75996255999999</v>
      </c>
      <c r="W40">
        <v>37</v>
      </c>
      <c r="X40">
        <v>486.9</v>
      </c>
      <c r="Y40">
        <f t="shared" si="10"/>
        <v>64.919983769999988</v>
      </c>
      <c r="Z40">
        <v>489.5</v>
      </c>
      <c r="AA40">
        <f t="shared" si="11"/>
        <v>65.266650349999992</v>
      </c>
      <c r="AB40">
        <v>49.9</v>
      </c>
      <c r="AC40">
        <f t="shared" si="12"/>
        <v>6.6533316699999991</v>
      </c>
      <c r="AD40">
        <v>91.5</v>
      </c>
      <c r="AE40">
        <f t="shared" si="13"/>
        <v>12.199996949999999</v>
      </c>
      <c r="AF40">
        <v>59.5</v>
      </c>
      <c r="AG40">
        <f t="shared" si="14"/>
        <v>7.9333313499999996</v>
      </c>
      <c r="AH40">
        <v>389.7</v>
      </c>
      <c r="AI40">
        <f t="shared" si="15"/>
        <v>51.959987009999992</v>
      </c>
      <c r="AJ40">
        <v>1031.8</v>
      </c>
      <c r="AK40">
        <f t="shared" si="16"/>
        <v>137.57329893999997</v>
      </c>
      <c r="AL40">
        <v>773.3</v>
      </c>
      <c r="AM40">
        <f t="shared" si="17"/>
        <v>103.10664088999998</v>
      </c>
      <c r="AN40">
        <v>940.9</v>
      </c>
      <c r="AO40">
        <f t="shared" si="18"/>
        <v>125.45330196999998</v>
      </c>
      <c r="AP40">
        <v>1065.5</v>
      </c>
      <c r="AQ40">
        <f t="shared" si="19"/>
        <v>142.06663114999998</v>
      </c>
      <c r="AS40">
        <v>37</v>
      </c>
      <c r="AT40">
        <v>308.89999999999998</v>
      </c>
      <c r="AU40">
        <f t="shared" si="20"/>
        <v>41.186656369999994</v>
      </c>
      <c r="AV40">
        <v>539.5</v>
      </c>
      <c r="AW40">
        <f t="shared" si="21"/>
        <v>71.933315349999987</v>
      </c>
      <c r="AX40">
        <v>46</v>
      </c>
      <c r="AY40">
        <f t="shared" si="22"/>
        <v>6.1333317999999997</v>
      </c>
      <c r="AZ40">
        <v>526.1</v>
      </c>
      <c r="BA40">
        <f t="shared" si="23"/>
        <v>70.14664913</v>
      </c>
      <c r="BB40">
        <v>640.79999999999995</v>
      </c>
      <c r="BC40">
        <f t="shared" si="24"/>
        <v>85.439978639999993</v>
      </c>
      <c r="BD40">
        <v>149.5</v>
      </c>
      <c r="BE40">
        <f t="shared" si="25"/>
        <v>19.933328349999996</v>
      </c>
      <c r="BF40">
        <v>118.4</v>
      </c>
      <c r="BG40">
        <f t="shared" si="26"/>
        <v>15.786662719999999</v>
      </c>
      <c r="BH40">
        <v>995.5</v>
      </c>
      <c r="BI40">
        <f t="shared" si="27"/>
        <v>132.73330014999999</v>
      </c>
      <c r="BJ40">
        <v>987</v>
      </c>
      <c r="BK40">
        <f t="shared" si="28"/>
        <v>131.59996709999999</v>
      </c>
      <c r="BL40">
        <v>1046</v>
      </c>
      <c r="BM40">
        <f t="shared" si="29"/>
        <v>139.46663179999999</v>
      </c>
    </row>
    <row r="41" spans="1:65" x14ac:dyDescent="0.35">
      <c r="A41">
        <v>38</v>
      </c>
      <c r="B41">
        <v>12.6</v>
      </c>
      <c r="C41">
        <f t="shared" si="0"/>
        <v>1.6799995799999998</v>
      </c>
      <c r="D41">
        <v>61.8</v>
      </c>
      <c r="E41">
        <f t="shared" si="1"/>
        <v>8.2399979399999985</v>
      </c>
      <c r="F41">
        <v>30.6</v>
      </c>
      <c r="G41">
        <f t="shared" si="2"/>
        <v>4.0799989800000001</v>
      </c>
      <c r="H41">
        <v>136.30000000000001</v>
      </c>
      <c r="I41">
        <f t="shared" si="3"/>
        <v>18.173328789999999</v>
      </c>
      <c r="J41">
        <v>47.7</v>
      </c>
      <c r="K41">
        <f t="shared" si="4"/>
        <v>6.3599984100000002</v>
      </c>
      <c r="L41">
        <v>1091.7</v>
      </c>
      <c r="M41">
        <f t="shared" si="5"/>
        <v>145.55996360999998</v>
      </c>
      <c r="N41">
        <v>546.79999999999995</v>
      </c>
      <c r="O41">
        <f t="shared" si="6"/>
        <v>72.906648439999984</v>
      </c>
      <c r="P41">
        <v>718.7</v>
      </c>
      <c r="Q41">
        <f t="shared" si="7"/>
        <v>95.826642710000002</v>
      </c>
      <c r="R41">
        <v>1306</v>
      </c>
      <c r="S41">
        <f t="shared" si="8"/>
        <v>174.13328979999997</v>
      </c>
      <c r="T41">
        <v>1063.8</v>
      </c>
      <c r="U41">
        <f t="shared" si="9"/>
        <v>141.83996453999998</v>
      </c>
      <c r="W41">
        <v>38</v>
      </c>
      <c r="X41">
        <v>420.4</v>
      </c>
      <c r="Y41">
        <f t="shared" si="10"/>
        <v>56.053319319999993</v>
      </c>
      <c r="Z41">
        <v>413.3</v>
      </c>
      <c r="AA41">
        <f t="shared" si="11"/>
        <v>55.106652889999999</v>
      </c>
      <c r="AB41">
        <v>48.4</v>
      </c>
      <c r="AC41">
        <f t="shared" si="12"/>
        <v>6.4533317199999995</v>
      </c>
      <c r="AD41">
        <v>82.8</v>
      </c>
      <c r="AE41">
        <f t="shared" si="13"/>
        <v>11.039997239999998</v>
      </c>
      <c r="AF41">
        <v>57.3</v>
      </c>
      <c r="AG41">
        <f t="shared" si="14"/>
        <v>7.6399980899999989</v>
      </c>
      <c r="AH41">
        <v>314.39999999999998</v>
      </c>
      <c r="AI41">
        <f t="shared" si="15"/>
        <v>41.919989519999994</v>
      </c>
      <c r="AJ41">
        <v>960.7</v>
      </c>
      <c r="AK41">
        <f t="shared" si="16"/>
        <v>128.09330130999999</v>
      </c>
      <c r="AL41">
        <v>728.1</v>
      </c>
      <c r="AM41">
        <f t="shared" si="17"/>
        <v>97.079975730000001</v>
      </c>
      <c r="AN41">
        <v>888.1</v>
      </c>
      <c r="AO41">
        <f t="shared" si="18"/>
        <v>118.41330373</v>
      </c>
      <c r="AP41">
        <v>1007.5</v>
      </c>
      <c r="AQ41">
        <f t="shared" si="19"/>
        <v>134.33329974999998</v>
      </c>
      <c r="AS41">
        <v>38</v>
      </c>
      <c r="AT41">
        <v>217.8</v>
      </c>
      <c r="AU41">
        <f t="shared" si="20"/>
        <v>29.039992739999999</v>
      </c>
      <c r="AV41">
        <v>493.3</v>
      </c>
      <c r="AW41">
        <f t="shared" si="21"/>
        <v>65.77331688999999</v>
      </c>
      <c r="AX41">
        <v>42.1</v>
      </c>
      <c r="AY41">
        <f t="shared" si="22"/>
        <v>5.6133319299999993</v>
      </c>
      <c r="AZ41">
        <v>486.6</v>
      </c>
      <c r="BA41">
        <f t="shared" si="23"/>
        <v>64.879983780000003</v>
      </c>
      <c r="BB41">
        <v>614.20000000000005</v>
      </c>
      <c r="BC41">
        <f t="shared" si="24"/>
        <v>81.893312859999995</v>
      </c>
      <c r="BD41">
        <v>118.1</v>
      </c>
      <c r="BE41">
        <f t="shared" si="25"/>
        <v>15.746662729999997</v>
      </c>
      <c r="BF41">
        <v>95.9</v>
      </c>
      <c r="BG41">
        <f t="shared" si="26"/>
        <v>12.786663469999999</v>
      </c>
      <c r="BH41">
        <v>943.6</v>
      </c>
      <c r="BI41">
        <f t="shared" si="27"/>
        <v>125.81330188</v>
      </c>
      <c r="BJ41">
        <v>935.1</v>
      </c>
      <c r="BK41">
        <f t="shared" si="28"/>
        <v>124.67996882999999</v>
      </c>
      <c r="BL41">
        <v>1037.9000000000001</v>
      </c>
      <c r="BM41">
        <f t="shared" si="29"/>
        <v>138.38663206999999</v>
      </c>
    </row>
    <row r="42" spans="1:65" x14ac:dyDescent="0.35">
      <c r="A42">
        <v>39</v>
      </c>
      <c r="B42">
        <v>12.4</v>
      </c>
      <c r="C42">
        <f t="shared" si="0"/>
        <v>1.65333292</v>
      </c>
      <c r="D42">
        <v>46.4</v>
      </c>
      <c r="E42">
        <f t="shared" si="1"/>
        <v>6.1866651199999989</v>
      </c>
      <c r="F42">
        <v>29.6</v>
      </c>
      <c r="G42">
        <f t="shared" si="2"/>
        <v>3.9466656799999997</v>
      </c>
      <c r="H42">
        <v>93.4</v>
      </c>
      <c r="I42">
        <f t="shared" si="3"/>
        <v>12.45333022</v>
      </c>
      <c r="J42">
        <v>41.6</v>
      </c>
      <c r="K42">
        <f t="shared" si="4"/>
        <v>5.54666528</v>
      </c>
      <c r="L42">
        <v>983.2</v>
      </c>
      <c r="M42">
        <f t="shared" si="5"/>
        <v>131.09330055999999</v>
      </c>
      <c r="N42">
        <v>399</v>
      </c>
      <c r="O42">
        <f t="shared" si="6"/>
        <v>53.199986699999997</v>
      </c>
      <c r="P42">
        <v>675.8</v>
      </c>
      <c r="Q42">
        <f t="shared" si="7"/>
        <v>90.106644139999986</v>
      </c>
      <c r="R42">
        <v>1365.8</v>
      </c>
      <c r="S42">
        <f t="shared" si="8"/>
        <v>182.10662113999999</v>
      </c>
      <c r="T42">
        <v>1004.7</v>
      </c>
      <c r="U42">
        <f t="shared" si="9"/>
        <v>133.95996650999999</v>
      </c>
      <c r="W42">
        <v>39</v>
      </c>
      <c r="X42">
        <v>359.4</v>
      </c>
      <c r="Y42">
        <f t="shared" si="10"/>
        <v>47.919988019999991</v>
      </c>
      <c r="Z42">
        <v>317.7</v>
      </c>
      <c r="AA42">
        <f t="shared" si="11"/>
        <v>42.359989409999997</v>
      </c>
      <c r="AB42">
        <v>47</v>
      </c>
      <c r="AC42">
        <f t="shared" si="12"/>
        <v>6.2666650999999991</v>
      </c>
      <c r="AD42">
        <v>76.400000000000006</v>
      </c>
      <c r="AE42">
        <f t="shared" si="13"/>
        <v>10.18666412</v>
      </c>
      <c r="AF42">
        <v>55.5</v>
      </c>
      <c r="AG42">
        <f t="shared" si="14"/>
        <v>7.3999981499999992</v>
      </c>
      <c r="AH42">
        <v>244</v>
      </c>
      <c r="AI42">
        <f t="shared" si="15"/>
        <v>32.5333252</v>
      </c>
      <c r="AJ42">
        <v>886.3</v>
      </c>
      <c r="AK42">
        <f t="shared" si="16"/>
        <v>118.17330378999998</v>
      </c>
      <c r="AL42">
        <v>681.6</v>
      </c>
      <c r="AM42">
        <f t="shared" si="17"/>
        <v>90.879977279999991</v>
      </c>
      <c r="AN42">
        <v>840.2</v>
      </c>
      <c r="AO42">
        <f t="shared" si="18"/>
        <v>112.02663865999999</v>
      </c>
      <c r="AP42">
        <v>956.3</v>
      </c>
      <c r="AQ42">
        <f t="shared" si="19"/>
        <v>127.50663478999998</v>
      </c>
      <c r="AS42">
        <v>39</v>
      </c>
      <c r="AT42">
        <v>158.80000000000001</v>
      </c>
      <c r="AU42">
        <f t="shared" si="20"/>
        <v>21.173328040000001</v>
      </c>
      <c r="AV42">
        <v>447.3</v>
      </c>
      <c r="AW42">
        <f t="shared" si="21"/>
        <v>59.639985089999996</v>
      </c>
      <c r="AX42">
        <v>39</v>
      </c>
      <c r="AY42">
        <f t="shared" si="22"/>
        <v>5.1999986999999992</v>
      </c>
      <c r="AZ42">
        <v>446.8</v>
      </c>
      <c r="BA42">
        <f t="shared" si="23"/>
        <v>59.573318439999994</v>
      </c>
      <c r="BB42">
        <v>587.29999999999995</v>
      </c>
      <c r="BC42">
        <f t="shared" si="24"/>
        <v>78.306647089999984</v>
      </c>
      <c r="BD42">
        <v>95.4</v>
      </c>
      <c r="BE42">
        <f t="shared" si="25"/>
        <v>12.71999682</v>
      </c>
      <c r="BF42">
        <v>82</v>
      </c>
      <c r="BG42">
        <f t="shared" si="26"/>
        <v>10.9333306</v>
      </c>
      <c r="BH42">
        <v>898.5</v>
      </c>
      <c r="BI42">
        <f t="shared" si="27"/>
        <v>119.79997004999998</v>
      </c>
      <c r="BJ42">
        <v>890.1</v>
      </c>
      <c r="BK42">
        <f t="shared" si="28"/>
        <v>118.67997032999999</v>
      </c>
      <c r="BL42">
        <v>1024.0999999999999</v>
      </c>
      <c r="BM42">
        <f t="shared" si="29"/>
        <v>136.54663252999998</v>
      </c>
    </row>
    <row r="43" spans="1:65" x14ac:dyDescent="0.35">
      <c r="A43">
        <v>40</v>
      </c>
      <c r="B43">
        <v>11.3</v>
      </c>
      <c r="C43">
        <f t="shared" si="0"/>
        <v>1.5066662899999999</v>
      </c>
      <c r="D43">
        <v>36.9</v>
      </c>
      <c r="E43">
        <f t="shared" si="1"/>
        <v>4.9199987699999994</v>
      </c>
      <c r="F43">
        <v>28.8</v>
      </c>
      <c r="G43">
        <f t="shared" si="2"/>
        <v>3.8399990399999999</v>
      </c>
      <c r="H43">
        <v>71.8</v>
      </c>
      <c r="I43">
        <f t="shared" si="3"/>
        <v>9.5733309399999982</v>
      </c>
      <c r="J43">
        <v>37</v>
      </c>
      <c r="K43">
        <f t="shared" si="4"/>
        <v>4.9333320999999994</v>
      </c>
      <c r="L43">
        <v>787.1</v>
      </c>
      <c r="M43">
        <f t="shared" si="5"/>
        <v>104.94664042999999</v>
      </c>
      <c r="N43">
        <v>274.7</v>
      </c>
      <c r="O43">
        <f t="shared" si="6"/>
        <v>36.626657509999994</v>
      </c>
      <c r="P43">
        <v>629.9</v>
      </c>
      <c r="Q43">
        <f t="shared" si="7"/>
        <v>83.986645669999987</v>
      </c>
      <c r="R43">
        <v>1285.3</v>
      </c>
      <c r="S43">
        <f t="shared" si="8"/>
        <v>171.37329048999999</v>
      </c>
      <c r="T43">
        <v>953.4</v>
      </c>
      <c r="U43">
        <f t="shared" si="9"/>
        <v>127.11996821999999</v>
      </c>
      <c r="W43">
        <v>40</v>
      </c>
      <c r="X43">
        <v>302.3</v>
      </c>
      <c r="Y43">
        <f t="shared" si="10"/>
        <v>40.306656589999996</v>
      </c>
      <c r="Z43">
        <v>211.2</v>
      </c>
      <c r="AA43">
        <f t="shared" si="11"/>
        <v>28.159992959999997</v>
      </c>
      <c r="AB43">
        <v>45.8</v>
      </c>
      <c r="AC43">
        <f t="shared" si="12"/>
        <v>6.1066651399999987</v>
      </c>
      <c r="AD43">
        <v>71.5</v>
      </c>
      <c r="AE43">
        <f t="shared" si="13"/>
        <v>9.5333309499999999</v>
      </c>
      <c r="AF43">
        <v>53.9</v>
      </c>
      <c r="AG43">
        <f t="shared" si="14"/>
        <v>7.1866648699999995</v>
      </c>
      <c r="AH43">
        <v>186.3</v>
      </c>
      <c r="AI43">
        <f t="shared" si="15"/>
        <v>24.839993789999998</v>
      </c>
      <c r="AJ43">
        <v>775.9</v>
      </c>
      <c r="AK43">
        <f t="shared" si="16"/>
        <v>103.45330746999998</v>
      </c>
      <c r="AL43">
        <v>633.20000000000005</v>
      </c>
      <c r="AM43">
        <f t="shared" si="17"/>
        <v>84.426645559999997</v>
      </c>
      <c r="AN43">
        <v>795.3</v>
      </c>
      <c r="AO43">
        <f t="shared" si="18"/>
        <v>106.03997348999998</v>
      </c>
      <c r="AP43">
        <v>909.9</v>
      </c>
      <c r="AQ43">
        <f t="shared" si="19"/>
        <v>121.31996966999999</v>
      </c>
      <c r="AS43">
        <v>40</v>
      </c>
      <c r="AT43">
        <v>126.9</v>
      </c>
      <c r="AU43">
        <f t="shared" si="20"/>
        <v>16.91999577</v>
      </c>
      <c r="AV43">
        <v>401.8</v>
      </c>
      <c r="AW43">
        <f t="shared" si="21"/>
        <v>53.573319939999998</v>
      </c>
      <c r="AX43">
        <v>36.6</v>
      </c>
      <c r="AY43">
        <f t="shared" si="22"/>
        <v>4.8799987799999993</v>
      </c>
      <c r="AZ43">
        <v>401.9</v>
      </c>
      <c r="BA43">
        <f t="shared" si="23"/>
        <v>53.586653269999992</v>
      </c>
      <c r="BB43">
        <v>558.9</v>
      </c>
      <c r="BC43">
        <f t="shared" si="24"/>
        <v>74.519981369999996</v>
      </c>
      <c r="BD43">
        <v>81.099999999999994</v>
      </c>
      <c r="BE43">
        <f t="shared" si="25"/>
        <v>10.813330629999998</v>
      </c>
      <c r="BF43">
        <v>72.599999999999994</v>
      </c>
      <c r="BG43">
        <f t="shared" si="26"/>
        <v>9.6799975799999984</v>
      </c>
      <c r="BH43">
        <v>858.8</v>
      </c>
      <c r="BI43">
        <f t="shared" si="27"/>
        <v>114.50663803999998</v>
      </c>
      <c r="BJ43">
        <v>850.6</v>
      </c>
      <c r="BK43">
        <f t="shared" si="28"/>
        <v>113.41330497999999</v>
      </c>
      <c r="BL43">
        <v>1007.3</v>
      </c>
      <c r="BM43">
        <f t="shared" si="29"/>
        <v>134.30663308999999</v>
      </c>
    </row>
    <row r="44" spans="1:65" x14ac:dyDescent="0.35">
      <c r="A44">
        <v>41</v>
      </c>
      <c r="B44">
        <v>10.1</v>
      </c>
      <c r="C44">
        <f t="shared" si="0"/>
        <v>1.3466663299999999</v>
      </c>
      <c r="D44">
        <v>30.6</v>
      </c>
      <c r="E44">
        <f t="shared" si="1"/>
        <v>4.0799989800000001</v>
      </c>
      <c r="F44">
        <v>28.1</v>
      </c>
      <c r="G44">
        <f t="shared" si="2"/>
        <v>3.7466657299999997</v>
      </c>
      <c r="H44">
        <v>58.9</v>
      </c>
      <c r="I44">
        <f t="shared" si="3"/>
        <v>7.8533313699999994</v>
      </c>
      <c r="J44">
        <v>33.5</v>
      </c>
      <c r="K44">
        <f t="shared" si="4"/>
        <v>4.4666655499999992</v>
      </c>
      <c r="L44">
        <v>571.1</v>
      </c>
      <c r="M44">
        <f t="shared" si="5"/>
        <v>76.14664762999999</v>
      </c>
      <c r="N44">
        <v>180.8</v>
      </c>
      <c r="O44">
        <f t="shared" si="6"/>
        <v>24.106660639999998</v>
      </c>
      <c r="P44">
        <v>580.70000000000005</v>
      </c>
      <c r="Q44">
        <f t="shared" si="7"/>
        <v>77.426647309999993</v>
      </c>
      <c r="R44">
        <v>1185.0999999999999</v>
      </c>
      <c r="S44">
        <f t="shared" si="8"/>
        <v>158.01329382999998</v>
      </c>
      <c r="T44">
        <v>907.8</v>
      </c>
      <c r="U44">
        <f t="shared" si="9"/>
        <v>121.03996973999999</v>
      </c>
      <c r="W44">
        <v>41</v>
      </c>
      <c r="X44">
        <v>238.3</v>
      </c>
      <c r="Y44">
        <f t="shared" si="10"/>
        <v>31.77332539</v>
      </c>
      <c r="Z44">
        <v>134.69999999999999</v>
      </c>
      <c r="AA44">
        <f t="shared" si="11"/>
        <v>17.959995509999995</v>
      </c>
      <c r="AB44">
        <v>44.8</v>
      </c>
      <c r="AC44">
        <f t="shared" si="12"/>
        <v>5.9733318399999993</v>
      </c>
      <c r="AD44">
        <v>67.400000000000006</v>
      </c>
      <c r="AE44">
        <f t="shared" si="13"/>
        <v>8.9866644200000003</v>
      </c>
      <c r="AF44">
        <v>52.6</v>
      </c>
      <c r="AG44">
        <f t="shared" si="14"/>
        <v>7.0133315799999991</v>
      </c>
      <c r="AH44">
        <v>143.19999999999999</v>
      </c>
      <c r="AI44">
        <f t="shared" si="15"/>
        <v>19.093328559999996</v>
      </c>
      <c r="AJ44">
        <v>615.70000000000005</v>
      </c>
      <c r="AK44">
        <f t="shared" si="16"/>
        <v>82.09331281</v>
      </c>
      <c r="AL44">
        <v>582.9</v>
      </c>
      <c r="AM44">
        <f t="shared" si="17"/>
        <v>77.71998056999999</v>
      </c>
      <c r="AN44">
        <v>751.7</v>
      </c>
      <c r="AO44">
        <f t="shared" si="18"/>
        <v>100.22664161</v>
      </c>
      <c r="AP44">
        <v>866.8</v>
      </c>
      <c r="AQ44">
        <f t="shared" si="19"/>
        <v>115.57330443999999</v>
      </c>
      <c r="AS44">
        <v>41</v>
      </c>
      <c r="AT44">
        <v>107.3</v>
      </c>
      <c r="AU44">
        <f t="shared" si="20"/>
        <v>14.306663089999999</v>
      </c>
      <c r="AV44">
        <v>357.1</v>
      </c>
      <c r="AW44">
        <f t="shared" si="21"/>
        <v>47.613321429999999</v>
      </c>
      <c r="AX44">
        <v>34.6</v>
      </c>
      <c r="AY44">
        <f t="shared" si="22"/>
        <v>4.6133321799999996</v>
      </c>
      <c r="AZ44">
        <v>321.3</v>
      </c>
      <c r="BA44">
        <f t="shared" si="23"/>
        <v>42.839989289999998</v>
      </c>
      <c r="BB44">
        <v>528.6</v>
      </c>
      <c r="BC44">
        <f t="shared" si="24"/>
        <v>70.479982379999996</v>
      </c>
      <c r="BD44">
        <v>71.7</v>
      </c>
      <c r="BE44">
        <f t="shared" si="25"/>
        <v>9.5599976099999999</v>
      </c>
      <c r="BF44">
        <v>65.8</v>
      </c>
      <c r="BG44">
        <f t="shared" si="26"/>
        <v>8.773331139999998</v>
      </c>
      <c r="BH44">
        <v>822.5</v>
      </c>
      <c r="BI44">
        <f t="shared" si="27"/>
        <v>109.66663924999999</v>
      </c>
      <c r="BJ44">
        <v>815.4</v>
      </c>
      <c r="BK44">
        <f t="shared" si="28"/>
        <v>108.71997281999998</v>
      </c>
      <c r="BL44">
        <v>991</v>
      </c>
      <c r="BM44">
        <f t="shared" si="29"/>
        <v>132.1333003</v>
      </c>
    </row>
    <row r="45" spans="1:65" x14ac:dyDescent="0.35">
      <c r="A45">
        <v>42</v>
      </c>
      <c r="B45">
        <v>9.5</v>
      </c>
      <c r="C45">
        <f t="shared" si="0"/>
        <v>1.2666663499999999</v>
      </c>
      <c r="D45">
        <v>26.2</v>
      </c>
      <c r="E45">
        <f t="shared" si="1"/>
        <v>3.4933324599999995</v>
      </c>
      <c r="F45">
        <v>27.4</v>
      </c>
      <c r="G45">
        <f t="shared" si="2"/>
        <v>3.6533324199999995</v>
      </c>
      <c r="H45">
        <v>50.1</v>
      </c>
      <c r="I45">
        <f t="shared" si="3"/>
        <v>6.6799983299999992</v>
      </c>
      <c r="J45">
        <v>30.6</v>
      </c>
      <c r="K45">
        <f t="shared" si="4"/>
        <v>4.0799989800000001</v>
      </c>
      <c r="L45">
        <v>374.1</v>
      </c>
      <c r="M45">
        <f t="shared" si="5"/>
        <v>49.879987530000001</v>
      </c>
      <c r="N45">
        <v>125.3</v>
      </c>
      <c r="O45">
        <f t="shared" si="6"/>
        <v>16.706662489999999</v>
      </c>
      <c r="P45">
        <v>528.6</v>
      </c>
      <c r="Q45">
        <f t="shared" si="7"/>
        <v>70.479982379999996</v>
      </c>
      <c r="R45">
        <v>1104.3</v>
      </c>
      <c r="S45">
        <f t="shared" si="8"/>
        <v>147.23996318999997</v>
      </c>
      <c r="T45">
        <v>866.1</v>
      </c>
      <c r="U45">
        <f t="shared" si="9"/>
        <v>115.47997113</v>
      </c>
      <c r="W45">
        <v>42</v>
      </c>
      <c r="X45">
        <v>169.2</v>
      </c>
      <c r="Y45">
        <f t="shared" si="10"/>
        <v>22.559994359999997</v>
      </c>
      <c r="Z45">
        <v>91.4</v>
      </c>
      <c r="AA45">
        <f t="shared" si="11"/>
        <v>12.186663619999999</v>
      </c>
      <c r="AB45">
        <v>43.8</v>
      </c>
      <c r="AC45">
        <f t="shared" si="12"/>
        <v>5.839998539999999</v>
      </c>
      <c r="AD45">
        <v>64</v>
      </c>
      <c r="AE45">
        <f t="shared" si="13"/>
        <v>8.5333311999999992</v>
      </c>
      <c r="AF45">
        <v>51.4</v>
      </c>
      <c r="AG45">
        <f t="shared" si="14"/>
        <v>6.8533316199999996</v>
      </c>
      <c r="AH45">
        <v>112.5</v>
      </c>
      <c r="AI45">
        <f t="shared" si="15"/>
        <v>14.999996249999999</v>
      </c>
      <c r="AJ45">
        <v>429.8</v>
      </c>
      <c r="AK45">
        <f t="shared" si="16"/>
        <v>57.306652339999999</v>
      </c>
      <c r="AL45">
        <v>531.6</v>
      </c>
      <c r="AM45">
        <f t="shared" si="17"/>
        <v>70.879982279999993</v>
      </c>
      <c r="AN45">
        <v>707.9</v>
      </c>
      <c r="AO45">
        <f t="shared" si="18"/>
        <v>94.386643069999991</v>
      </c>
      <c r="AP45">
        <v>826.6</v>
      </c>
      <c r="AQ45">
        <f t="shared" si="19"/>
        <v>110.21330578</v>
      </c>
      <c r="AS45">
        <v>42</v>
      </c>
      <c r="AT45">
        <v>94.3</v>
      </c>
      <c r="AU45">
        <f t="shared" si="20"/>
        <v>12.573330189999998</v>
      </c>
      <c r="AV45">
        <v>313</v>
      </c>
      <c r="AW45">
        <f t="shared" si="21"/>
        <v>41.733322899999997</v>
      </c>
      <c r="AX45">
        <v>32.9</v>
      </c>
      <c r="AY45">
        <f t="shared" si="22"/>
        <v>4.386665569999999</v>
      </c>
      <c r="AZ45">
        <v>218.3</v>
      </c>
      <c r="BA45">
        <f t="shared" si="23"/>
        <v>29.106659389999997</v>
      </c>
      <c r="BB45">
        <v>496.2</v>
      </c>
      <c r="BC45">
        <f t="shared" si="24"/>
        <v>66.159983459999992</v>
      </c>
      <c r="BD45">
        <v>65.099999999999994</v>
      </c>
      <c r="BE45">
        <f t="shared" si="25"/>
        <v>8.6799978299999978</v>
      </c>
      <c r="BF45">
        <v>60.6</v>
      </c>
      <c r="BG45">
        <f t="shared" si="26"/>
        <v>8.0799979799999999</v>
      </c>
      <c r="BH45">
        <v>785.6</v>
      </c>
      <c r="BI45">
        <f t="shared" si="27"/>
        <v>104.74664048</v>
      </c>
      <c r="BJ45">
        <v>783.3</v>
      </c>
      <c r="BK45">
        <f t="shared" si="28"/>
        <v>104.43997388999999</v>
      </c>
      <c r="BL45">
        <v>976</v>
      </c>
      <c r="BM45">
        <f t="shared" si="29"/>
        <v>130.1333008</v>
      </c>
    </row>
    <row r="46" spans="1:65" x14ac:dyDescent="0.35">
      <c r="A46">
        <v>43</v>
      </c>
      <c r="B46">
        <v>9</v>
      </c>
      <c r="C46">
        <f t="shared" si="0"/>
        <v>1.1999996999999998</v>
      </c>
      <c r="D46">
        <v>22.9</v>
      </c>
      <c r="E46">
        <f t="shared" si="1"/>
        <v>3.0533325699999994</v>
      </c>
      <c r="F46">
        <v>26.9</v>
      </c>
      <c r="G46">
        <f t="shared" si="2"/>
        <v>3.5866657699999993</v>
      </c>
      <c r="H46">
        <v>43.8</v>
      </c>
      <c r="I46">
        <f t="shared" si="3"/>
        <v>5.839998539999999</v>
      </c>
      <c r="J46">
        <v>28.3</v>
      </c>
      <c r="K46">
        <f t="shared" si="4"/>
        <v>3.7733323899999998</v>
      </c>
      <c r="L46">
        <v>237</v>
      </c>
      <c r="M46">
        <f t="shared" si="5"/>
        <v>31.599992099999998</v>
      </c>
      <c r="N46">
        <v>95.1</v>
      </c>
      <c r="O46">
        <f t="shared" si="6"/>
        <v>12.679996829999999</v>
      </c>
      <c r="P46">
        <v>474.9</v>
      </c>
      <c r="Q46">
        <f t="shared" si="7"/>
        <v>63.319984169999991</v>
      </c>
      <c r="R46">
        <v>1037.4000000000001</v>
      </c>
      <c r="S46">
        <f t="shared" si="8"/>
        <v>138.31996541999999</v>
      </c>
      <c r="T46">
        <v>826.9</v>
      </c>
      <c r="U46">
        <f t="shared" si="9"/>
        <v>110.25330576999998</v>
      </c>
      <c r="W46">
        <v>43</v>
      </c>
      <c r="X46">
        <v>119.1</v>
      </c>
      <c r="Y46">
        <f t="shared" si="10"/>
        <v>15.879996029999997</v>
      </c>
      <c r="Z46">
        <v>67</v>
      </c>
      <c r="AA46">
        <f t="shared" si="11"/>
        <v>8.9333310999999984</v>
      </c>
      <c r="AB46">
        <v>42.9</v>
      </c>
      <c r="AC46">
        <f t="shared" si="12"/>
        <v>5.7199985699999996</v>
      </c>
      <c r="AD46">
        <v>61.2</v>
      </c>
      <c r="AE46">
        <f t="shared" si="13"/>
        <v>8.1599979600000001</v>
      </c>
      <c r="AF46">
        <v>50.3</v>
      </c>
      <c r="AG46">
        <f t="shared" si="14"/>
        <v>6.7066649899999993</v>
      </c>
      <c r="AH46">
        <v>92.4</v>
      </c>
      <c r="AI46">
        <f t="shared" si="15"/>
        <v>12.319996919999999</v>
      </c>
      <c r="AJ46">
        <v>271.5</v>
      </c>
      <c r="AK46">
        <f t="shared" si="16"/>
        <v>36.19999095</v>
      </c>
      <c r="AL46">
        <v>481.3</v>
      </c>
      <c r="AM46">
        <f t="shared" si="17"/>
        <v>64.17331729</v>
      </c>
      <c r="AN46">
        <v>662.7</v>
      </c>
      <c r="AO46">
        <f t="shared" si="18"/>
        <v>88.359977909999998</v>
      </c>
      <c r="AP46">
        <v>788.2</v>
      </c>
      <c r="AQ46">
        <f t="shared" si="19"/>
        <v>105.09330706</v>
      </c>
      <c r="AS46">
        <v>43</v>
      </c>
      <c r="AT46">
        <v>85.1</v>
      </c>
      <c r="AU46">
        <f t="shared" si="20"/>
        <v>11.346663829999999</v>
      </c>
      <c r="AV46">
        <v>262.60000000000002</v>
      </c>
      <c r="AW46">
        <f t="shared" si="21"/>
        <v>35.013324580000003</v>
      </c>
      <c r="AX46">
        <v>31.6</v>
      </c>
      <c r="AY46">
        <f t="shared" si="22"/>
        <v>4.2133322799999995</v>
      </c>
      <c r="AZ46">
        <v>140.9</v>
      </c>
      <c r="BA46">
        <f t="shared" si="23"/>
        <v>18.786661970000001</v>
      </c>
      <c r="BB46">
        <v>461.5</v>
      </c>
      <c r="BC46">
        <f t="shared" si="24"/>
        <v>61.533317949999997</v>
      </c>
      <c r="BD46">
        <v>60.3</v>
      </c>
      <c r="BE46">
        <f t="shared" si="25"/>
        <v>8.039997989999998</v>
      </c>
      <c r="BF46">
        <v>56.4</v>
      </c>
      <c r="BG46">
        <f t="shared" si="26"/>
        <v>7.5199981199999995</v>
      </c>
      <c r="BH46">
        <v>742.1</v>
      </c>
      <c r="BI46">
        <f t="shared" si="27"/>
        <v>98.946641929999998</v>
      </c>
      <c r="BJ46">
        <v>753.5</v>
      </c>
      <c r="BK46">
        <f t="shared" si="28"/>
        <v>100.46664154999999</v>
      </c>
      <c r="BL46">
        <v>966.5</v>
      </c>
      <c r="BM46">
        <f t="shared" si="29"/>
        <v>128.86663444999999</v>
      </c>
    </row>
    <row r="47" spans="1:65" x14ac:dyDescent="0.35">
      <c r="A47">
        <v>44</v>
      </c>
      <c r="B47">
        <v>8.6999999999999993</v>
      </c>
      <c r="C47">
        <f t="shared" si="0"/>
        <v>1.1599997099999999</v>
      </c>
      <c r="D47">
        <v>20.399999999999999</v>
      </c>
      <c r="E47">
        <f t="shared" si="1"/>
        <v>2.7199993199999994</v>
      </c>
      <c r="F47">
        <v>26.4</v>
      </c>
      <c r="G47">
        <f t="shared" si="2"/>
        <v>3.5199991199999996</v>
      </c>
      <c r="H47">
        <v>39</v>
      </c>
      <c r="I47">
        <f t="shared" si="3"/>
        <v>5.1999986999999992</v>
      </c>
      <c r="J47">
        <v>26.3</v>
      </c>
      <c r="K47">
        <f t="shared" si="4"/>
        <v>3.5066657899999996</v>
      </c>
      <c r="L47">
        <v>164.7</v>
      </c>
      <c r="M47">
        <f t="shared" si="5"/>
        <v>21.959994509999998</v>
      </c>
      <c r="N47">
        <v>77.400000000000006</v>
      </c>
      <c r="O47">
        <f t="shared" si="6"/>
        <v>10.31999742</v>
      </c>
      <c r="P47">
        <v>420.8</v>
      </c>
      <c r="Q47">
        <f t="shared" si="7"/>
        <v>56.106652639999993</v>
      </c>
      <c r="R47">
        <v>981.3</v>
      </c>
      <c r="S47">
        <f t="shared" si="8"/>
        <v>130.83996728999998</v>
      </c>
      <c r="T47">
        <v>788.8</v>
      </c>
      <c r="U47">
        <f t="shared" si="9"/>
        <v>105.17330703999998</v>
      </c>
      <c r="W47">
        <v>44</v>
      </c>
      <c r="X47">
        <v>89.8</v>
      </c>
      <c r="Y47">
        <f t="shared" si="10"/>
        <v>11.973330339999999</v>
      </c>
      <c r="Z47">
        <v>52</v>
      </c>
      <c r="AA47">
        <f t="shared" si="11"/>
        <v>6.9333315999999989</v>
      </c>
      <c r="AB47">
        <v>42.1</v>
      </c>
      <c r="AC47">
        <f t="shared" si="12"/>
        <v>5.6133319299999993</v>
      </c>
      <c r="AD47">
        <v>58.8</v>
      </c>
      <c r="AE47">
        <f t="shared" si="13"/>
        <v>7.8399980399999993</v>
      </c>
      <c r="AF47">
        <v>49.3</v>
      </c>
      <c r="AG47">
        <f t="shared" si="14"/>
        <v>6.573331689999999</v>
      </c>
      <c r="AH47">
        <v>79.8</v>
      </c>
      <c r="AI47">
        <f t="shared" si="15"/>
        <v>10.639997339999999</v>
      </c>
      <c r="AJ47">
        <v>179.3</v>
      </c>
      <c r="AK47">
        <f t="shared" si="16"/>
        <v>23.906660689999999</v>
      </c>
      <c r="AL47">
        <v>433.7</v>
      </c>
      <c r="AM47">
        <f t="shared" si="17"/>
        <v>57.826652209999992</v>
      </c>
      <c r="AN47">
        <v>615.5</v>
      </c>
      <c r="AO47">
        <f t="shared" si="18"/>
        <v>82.066646149999997</v>
      </c>
      <c r="AP47">
        <v>750.6</v>
      </c>
      <c r="AQ47">
        <f t="shared" si="19"/>
        <v>100.07997497999999</v>
      </c>
      <c r="AS47">
        <v>44</v>
      </c>
      <c r="AT47">
        <v>78.599999999999994</v>
      </c>
      <c r="AU47">
        <f t="shared" si="20"/>
        <v>10.479997379999999</v>
      </c>
      <c r="AV47">
        <v>193.1</v>
      </c>
      <c r="AW47">
        <f t="shared" si="21"/>
        <v>25.746660229999996</v>
      </c>
      <c r="AX47">
        <v>30.4</v>
      </c>
      <c r="AY47">
        <f t="shared" si="22"/>
        <v>4.0533323199999991</v>
      </c>
      <c r="AZ47">
        <v>97.4</v>
      </c>
      <c r="BA47">
        <f t="shared" si="23"/>
        <v>12.986663419999999</v>
      </c>
      <c r="BB47">
        <v>425</v>
      </c>
      <c r="BC47">
        <f t="shared" si="24"/>
        <v>56.666652499999998</v>
      </c>
      <c r="BD47">
        <v>56.4</v>
      </c>
      <c r="BE47">
        <f t="shared" si="25"/>
        <v>7.5199981199999995</v>
      </c>
      <c r="BF47">
        <v>53</v>
      </c>
      <c r="BG47">
        <f t="shared" si="26"/>
        <v>7.0666648999999992</v>
      </c>
      <c r="BH47">
        <v>690.4</v>
      </c>
      <c r="BI47">
        <f t="shared" si="27"/>
        <v>92.053310319999994</v>
      </c>
      <c r="BJ47">
        <v>724.8</v>
      </c>
      <c r="BK47">
        <f t="shared" si="28"/>
        <v>96.639975839999991</v>
      </c>
      <c r="BL47">
        <v>950.3</v>
      </c>
      <c r="BM47">
        <f t="shared" si="29"/>
        <v>126.70663498999998</v>
      </c>
    </row>
    <row r="48" spans="1:65" x14ac:dyDescent="0.35">
      <c r="A48">
        <v>45</v>
      </c>
      <c r="B48">
        <v>8.4</v>
      </c>
      <c r="C48">
        <f t="shared" si="0"/>
        <v>1.11999972</v>
      </c>
      <c r="D48">
        <v>18.5</v>
      </c>
      <c r="E48">
        <f t="shared" si="1"/>
        <v>2.4666660499999997</v>
      </c>
      <c r="F48">
        <v>26</v>
      </c>
      <c r="G48">
        <f t="shared" si="2"/>
        <v>3.4666657999999995</v>
      </c>
      <c r="H48">
        <v>35.299999999999997</v>
      </c>
      <c r="I48">
        <f t="shared" si="3"/>
        <v>4.7066654899999989</v>
      </c>
      <c r="J48">
        <v>24.7</v>
      </c>
      <c r="K48">
        <f t="shared" si="4"/>
        <v>3.2933325099999995</v>
      </c>
      <c r="L48">
        <v>124.5</v>
      </c>
      <c r="M48">
        <f t="shared" si="5"/>
        <v>16.599995849999999</v>
      </c>
      <c r="N48">
        <v>65.8</v>
      </c>
      <c r="O48">
        <f t="shared" si="6"/>
        <v>8.773331139999998</v>
      </c>
      <c r="P48">
        <v>368.7</v>
      </c>
      <c r="Q48">
        <f t="shared" si="7"/>
        <v>49.159987709999996</v>
      </c>
      <c r="R48">
        <v>932.4</v>
      </c>
      <c r="S48">
        <f t="shared" si="8"/>
        <v>124.31996891999998</v>
      </c>
      <c r="T48">
        <v>750.7</v>
      </c>
      <c r="U48">
        <f t="shared" si="9"/>
        <v>100.09330831</v>
      </c>
      <c r="W48">
        <v>45</v>
      </c>
      <c r="X48">
        <v>71.8</v>
      </c>
      <c r="Y48">
        <f t="shared" si="10"/>
        <v>9.5733309399999982</v>
      </c>
      <c r="Z48">
        <v>42.2</v>
      </c>
      <c r="AA48">
        <f t="shared" si="11"/>
        <v>5.6266652600000002</v>
      </c>
      <c r="AB48">
        <v>41.4</v>
      </c>
      <c r="AC48">
        <f t="shared" si="12"/>
        <v>5.5199986199999991</v>
      </c>
      <c r="AD48">
        <v>56.8</v>
      </c>
      <c r="AE48">
        <f t="shared" si="13"/>
        <v>7.5733314399999987</v>
      </c>
      <c r="AF48">
        <v>48.4</v>
      </c>
      <c r="AG48">
        <f t="shared" si="14"/>
        <v>6.4533317199999995</v>
      </c>
      <c r="AH48">
        <v>71.3</v>
      </c>
      <c r="AI48">
        <f t="shared" si="15"/>
        <v>9.506664289999998</v>
      </c>
      <c r="AJ48">
        <v>131.9</v>
      </c>
      <c r="AK48">
        <f t="shared" si="16"/>
        <v>17.586662269999998</v>
      </c>
      <c r="AL48">
        <v>389</v>
      </c>
      <c r="AM48">
        <f t="shared" si="17"/>
        <v>51.866653699999993</v>
      </c>
      <c r="AN48">
        <v>566.5</v>
      </c>
      <c r="AO48">
        <f t="shared" si="18"/>
        <v>75.533314449999992</v>
      </c>
      <c r="AP48">
        <v>712.7</v>
      </c>
      <c r="AQ48">
        <f t="shared" si="19"/>
        <v>95.026642909999993</v>
      </c>
      <c r="AS48">
        <v>45</v>
      </c>
      <c r="AT48">
        <v>73.7</v>
      </c>
      <c r="AU48">
        <f t="shared" si="20"/>
        <v>9.8266642099999988</v>
      </c>
      <c r="AV48">
        <v>127.7</v>
      </c>
      <c r="AW48">
        <f t="shared" si="21"/>
        <v>17.02666241</v>
      </c>
      <c r="AX48">
        <v>29.3</v>
      </c>
      <c r="AY48">
        <f t="shared" si="22"/>
        <v>3.9066656899999996</v>
      </c>
      <c r="AZ48">
        <v>75</v>
      </c>
      <c r="BA48">
        <f t="shared" si="23"/>
        <v>9.9999974999999992</v>
      </c>
      <c r="BB48">
        <v>386.9</v>
      </c>
      <c r="BC48">
        <f t="shared" si="24"/>
        <v>51.586653769999991</v>
      </c>
      <c r="BD48">
        <v>53.2</v>
      </c>
      <c r="BE48">
        <f t="shared" si="25"/>
        <v>7.0933315599999993</v>
      </c>
      <c r="BF48">
        <v>50.2</v>
      </c>
      <c r="BG48">
        <f t="shared" si="26"/>
        <v>6.6933316600000001</v>
      </c>
      <c r="BH48">
        <v>636.29999999999995</v>
      </c>
      <c r="BI48">
        <f t="shared" si="27"/>
        <v>84.839978789999989</v>
      </c>
      <c r="BJ48">
        <v>688</v>
      </c>
      <c r="BK48">
        <f t="shared" si="28"/>
        <v>91.733310399999993</v>
      </c>
      <c r="BL48">
        <v>916.8</v>
      </c>
      <c r="BM48">
        <f t="shared" si="29"/>
        <v>122.23996943999998</v>
      </c>
    </row>
    <row r="49" spans="1:65" x14ac:dyDescent="0.35">
      <c r="A49">
        <v>46</v>
      </c>
      <c r="B49">
        <v>8.1</v>
      </c>
      <c r="C49">
        <f t="shared" si="0"/>
        <v>1.0799997299999999</v>
      </c>
      <c r="D49">
        <v>16.899999999999999</v>
      </c>
      <c r="E49">
        <f t="shared" si="1"/>
        <v>2.2533327699999997</v>
      </c>
      <c r="F49">
        <v>25.6</v>
      </c>
      <c r="G49">
        <f t="shared" si="2"/>
        <v>3.4133324799999998</v>
      </c>
      <c r="H49">
        <v>32.299999999999997</v>
      </c>
      <c r="I49">
        <f t="shared" si="3"/>
        <v>4.3066655899999988</v>
      </c>
      <c r="J49">
        <v>23.6</v>
      </c>
      <c r="K49">
        <f t="shared" si="4"/>
        <v>3.14666588</v>
      </c>
      <c r="L49">
        <v>99.7</v>
      </c>
      <c r="M49">
        <f t="shared" si="5"/>
        <v>13.29333001</v>
      </c>
      <c r="N49">
        <v>57.5</v>
      </c>
      <c r="O49">
        <f t="shared" si="6"/>
        <v>7.6666647499999989</v>
      </c>
      <c r="P49">
        <v>320.10000000000002</v>
      </c>
      <c r="Q49">
        <f t="shared" si="7"/>
        <v>42.679989329999998</v>
      </c>
      <c r="R49">
        <v>887.8</v>
      </c>
      <c r="S49">
        <f t="shared" si="8"/>
        <v>118.37330373999998</v>
      </c>
      <c r="T49">
        <v>711.3</v>
      </c>
      <c r="U49">
        <f t="shared" si="9"/>
        <v>94.839976289999981</v>
      </c>
      <c r="W49">
        <v>46</v>
      </c>
      <c r="X49">
        <v>60.3</v>
      </c>
      <c r="Y49">
        <f t="shared" si="10"/>
        <v>8.039997989999998</v>
      </c>
      <c r="Z49">
        <v>35.4</v>
      </c>
      <c r="AA49">
        <f t="shared" si="11"/>
        <v>4.7199988199999998</v>
      </c>
      <c r="AB49">
        <v>40.700000000000003</v>
      </c>
      <c r="AC49">
        <f t="shared" si="12"/>
        <v>5.4266653099999997</v>
      </c>
      <c r="AD49">
        <v>55.1</v>
      </c>
      <c r="AE49">
        <f t="shared" si="13"/>
        <v>7.3466648299999999</v>
      </c>
      <c r="AF49">
        <v>47.5</v>
      </c>
      <c r="AG49">
        <f t="shared" si="14"/>
        <v>6.3333317499999993</v>
      </c>
      <c r="AH49">
        <v>65</v>
      </c>
      <c r="AI49">
        <f t="shared" si="15"/>
        <v>8.6666644999999995</v>
      </c>
      <c r="AJ49">
        <v>107.1</v>
      </c>
      <c r="AK49">
        <f t="shared" si="16"/>
        <v>14.279996429999997</v>
      </c>
      <c r="AL49">
        <v>347.3</v>
      </c>
      <c r="AM49">
        <f t="shared" si="17"/>
        <v>46.30665509</v>
      </c>
      <c r="AN49">
        <v>516.29999999999995</v>
      </c>
      <c r="AO49">
        <f t="shared" si="18"/>
        <v>68.839982789999993</v>
      </c>
      <c r="AP49">
        <v>673.7</v>
      </c>
      <c r="AQ49">
        <f t="shared" si="19"/>
        <v>89.826644209999998</v>
      </c>
      <c r="AS49">
        <v>46</v>
      </c>
      <c r="AT49">
        <v>69.900000000000006</v>
      </c>
      <c r="AU49">
        <f t="shared" si="20"/>
        <v>9.3199976699999993</v>
      </c>
      <c r="AV49">
        <v>88.8</v>
      </c>
      <c r="AW49">
        <f t="shared" si="21"/>
        <v>11.839997039999998</v>
      </c>
      <c r="AX49">
        <v>28.4</v>
      </c>
      <c r="AY49">
        <f t="shared" si="22"/>
        <v>3.7866657199999993</v>
      </c>
      <c r="AZ49">
        <v>61.7</v>
      </c>
      <c r="BA49">
        <f t="shared" si="23"/>
        <v>8.2266646100000003</v>
      </c>
      <c r="BB49">
        <v>348.5</v>
      </c>
      <c r="BC49">
        <f t="shared" si="24"/>
        <v>46.466655049999993</v>
      </c>
      <c r="BD49">
        <v>50.7</v>
      </c>
      <c r="BE49">
        <f t="shared" si="25"/>
        <v>6.7599983099999994</v>
      </c>
      <c r="BF49">
        <v>47.9</v>
      </c>
      <c r="BG49">
        <f t="shared" si="26"/>
        <v>6.3866650699999994</v>
      </c>
      <c r="BH49">
        <v>575.1</v>
      </c>
      <c r="BI49">
        <f t="shared" si="27"/>
        <v>76.679980829999991</v>
      </c>
      <c r="BJ49">
        <v>604</v>
      </c>
      <c r="BK49">
        <f t="shared" si="28"/>
        <v>80.533313199999995</v>
      </c>
      <c r="BL49">
        <v>814.7</v>
      </c>
      <c r="BM49">
        <f t="shared" si="29"/>
        <v>108.62663950999999</v>
      </c>
    </row>
    <row r="50" spans="1:65" x14ac:dyDescent="0.35">
      <c r="A50">
        <v>47</v>
      </c>
      <c r="B50">
        <v>7.9</v>
      </c>
      <c r="C50">
        <f t="shared" si="0"/>
        <v>1.0533330699999999</v>
      </c>
      <c r="D50">
        <v>15.7</v>
      </c>
      <c r="E50">
        <f t="shared" si="1"/>
        <v>2.0933328099999997</v>
      </c>
      <c r="F50">
        <v>25.3</v>
      </c>
      <c r="G50">
        <f t="shared" si="2"/>
        <v>3.3733324899999997</v>
      </c>
      <c r="H50">
        <v>29.9</v>
      </c>
      <c r="I50">
        <f t="shared" si="3"/>
        <v>3.9866656699999994</v>
      </c>
      <c r="J50">
        <v>22.6</v>
      </c>
      <c r="K50">
        <f t="shared" si="4"/>
        <v>3.0133325799999997</v>
      </c>
      <c r="L50">
        <v>83</v>
      </c>
      <c r="M50">
        <f t="shared" si="5"/>
        <v>11.066663899999998</v>
      </c>
      <c r="N50">
        <v>51.4</v>
      </c>
      <c r="O50">
        <f t="shared" si="6"/>
        <v>6.8533316199999996</v>
      </c>
      <c r="P50">
        <v>276</v>
      </c>
      <c r="Q50">
        <f t="shared" si="7"/>
        <v>36.799990799999996</v>
      </c>
      <c r="R50">
        <v>845.7</v>
      </c>
      <c r="S50">
        <f t="shared" si="8"/>
        <v>112.75997181</v>
      </c>
      <c r="T50">
        <v>669.4</v>
      </c>
      <c r="U50">
        <f t="shared" si="9"/>
        <v>89.253311019999984</v>
      </c>
      <c r="W50">
        <v>47</v>
      </c>
      <c r="X50">
        <v>52.7</v>
      </c>
      <c r="Y50">
        <f t="shared" si="10"/>
        <v>7.02666491</v>
      </c>
      <c r="Z50">
        <v>30.2</v>
      </c>
      <c r="AA50">
        <f t="shared" si="11"/>
        <v>4.0266656599999999</v>
      </c>
      <c r="AB50">
        <v>40.1</v>
      </c>
      <c r="AC50">
        <f t="shared" si="12"/>
        <v>5.3466653299999995</v>
      </c>
      <c r="AD50">
        <v>53.6</v>
      </c>
      <c r="AE50">
        <f t="shared" si="13"/>
        <v>7.1466648799999994</v>
      </c>
      <c r="AF50">
        <v>46.8</v>
      </c>
      <c r="AG50">
        <f t="shared" si="14"/>
        <v>6.239998439999999</v>
      </c>
      <c r="AH50">
        <v>60.3</v>
      </c>
      <c r="AI50">
        <f t="shared" si="15"/>
        <v>8.039997989999998</v>
      </c>
      <c r="AJ50">
        <v>91.7</v>
      </c>
      <c r="AK50">
        <f t="shared" si="16"/>
        <v>12.226663609999999</v>
      </c>
      <c r="AL50">
        <v>309</v>
      </c>
      <c r="AM50">
        <f t="shared" si="17"/>
        <v>41.199989699999996</v>
      </c>
      <c r="AN50">
        <v>466.7</v>
      </c>
      <c r="AO50">
        <f t="shared" si="18"/>
        <v>62.226651109999992</v>
      </c>
      <c r="AP50">
        <v>632.4</v>
      </c>
      <c r="AQ50">
        <f t="shared" si="19"/>
        <v>84.319978919999983</v>
      </c>
      <c r="AS50">
        <v>47</v>
      </c>
      <c r="AT50">
        <v>67</v>
      </c>
      <c r="AU50">
        <f t="shared" si="20"/>
        <v>8.9333310999999984</v>
      </c>
      <c r="AV50">
        <v>66.8</v>
      </c>
      <c r="AW50">
        <f t="shared" si="21"/>
        <v>8.9066644399999984</v>
      </c>
      <c r="AX50">
        <v>27.6</v>
      </c>
      <c r="AY50">
        <f t="shared" si="22"/>
        <v>3.67999908</v>
      </c>
      <c r="AZ50">
        <v>52.7</v>
      </c>
      <c r="BA50">
        <f t="shared" si="23"/>
        <v>7.02666491</v>
      </c>
      <c r="BB50">
        <v>311.2</v>
      </c>
      <c r="BC50">
        <f t="shared" si="24"/>
        <v>41.493322959999993</v>
      </c>
      <c r="BD50">
        <v>48.7</v>
      </c>
      <c r="BE50">
        <f t="shared" si="25"/>
        <v>6.4933317099999996</v>
      </c>
      <c r="BF50">
        <v>46</v>
      </c>
      <c r="BG50">
        <f t="shared" si="26"/>
        <v>6.1333317999999997</v>
      </c>
      <c r="BH50">
        <v>496.1</v>
      </c>
      <c r="BI50">
        <f t="shared" si="27"/>
        <v>66.146650129999998</v>
      </c>
      <c r="BJ50">
        <v>468</v>
      </c>
      <c r="BK50">
        <f t="shared" si="28"/>
        <v>62.399984399999994</v>
      </c>
      <c r="BL50">
        <v>740.5</v>
      </c>
      <c r="BM50">
        <f t="shared" si="29"/>
        <v>98.733308649999998</v>
      </c>
    </row>
    <row r="51" spans="1:65" x14ac:dyDescent="0.35">
      <c r="A51">
        <v>48</v>
      </c>
      <c r="B51">
        <v>7.7</v>
      </c>
      <c r="C51">
        <f t="shared" si="0"/>
        <v>1.02666641</v>
      </c>
      <c r="D51">
        <v>14.6</v>
      </c>
      <c r="E51">
        <f t="shared" si="1"/>
        <v>1.9466661799999998</v>
      </c>
      <c r="F51">
        <v>25.1</v>
      </c>
      <c r="G51">
        <f t="shared" si="2"/>
        <v>3.3466658300000001</v>
      </c>
      <c r="H51">
        <v>27.9</v>
      </c>
      <c r="I51">
        <f t="shared" si="3"/>
        <v>3.7199990699999996</v>
      </c>
      <c r="J51">
        <v>21.8</v>
      </c>
      <c r="K51">
        <f t="shared" si="4"/>
        <v>2.9066659399999999</v>
      </c>
      <c r="L51">
        <v>71.099999999999994</v>
      </c>
      <c r="M51">
        <f t="shared" si="5"/>
        <v>9.479997629999998</v>
      </c>
      <c r="N51">
        <v>46.7</v>
      </c>
      <c r="O51">
        <f t="shared" si="6"/>
        <v>6.2266651099999999</v>
      </c>
      <c r="P51">
        <v>237</v>
      </c>
      <c r="Q51">
        <f t="shared" si="7"/>
        <v>31.599992099999998</v>
      </c>
      <c r="R51">
        <v>804.7</v>
      </c>
      <c r="S51">
        <f t="shared" si="8"/>
        <v>107.29330650999999</v>
      </c>
      <c r="T51">
        <v>623.9</v>
      </c>
      <c r="U51">
        <f t="shared" si="9"/>
        <v>83.186645869999992</v>
      </c>
      <c r="W51">
        <v>48</v>
      </c>
      <c r="X51">
        <v>47.3</v>
      </c>
      <c r="Y51">
        <f t="shared" si="10"/>
        <v>6.3066650899999992</v>
      </c>
      <c r="Z51">
        <v>26.3</v>
      </c>
      <c r="AA51">
        <f t="shared" si="11"/>
        <v>3.5066657899999996</v>
      </c>
      <c r="AB51">
        <v>39.6</v>
      </c>
      <c r="AC51">
        <f t="shared" si="12"/>
        <v>5.2799986799999994</v>
      </c>
      <c r="AD51">
        <v>52.2</v>
      </c>
      <c r="AE51">
        <f t="shared" si="13"/>
        <v>6.9599982599999999</v>
      </c>
      <c r="AF51">
        <v>46.1</v>
      </c>
      <c r="AG51">
        <f t="shared" si="14"/>
        <v>6.1466651299999997</v>
      </c>
      <c r="AH51">
        <v>56.6</v>
      </c>
      <c r="AI51">
        <f t="shared" si="15"/>
        <v>7.5466647799999995</v>
      </c>
      <c r="AJ51">
        <v>80.900000000000006</v>
      </c>
      <c r="AK51">
        <f t="shared" si="16"/>
        <v>10.786663969999999</v>
      </c>
      <c r="AL51">
        <v>274.5</v>
      </c>
      <c r="AM51">
        <f t="shared" si="17"/>
        <v>36.599990849999998</v>
      </c>
      <c r="AN51">
        <v>419.4</v>
      </c>
      <c r="AO51">
        <f t="shared" si="18"/>
        <v>55.919986019999989</v>
      </c>
      <c r="AP51">
        <v>588.5</v>
      </c>
      <c r="AQ51">
        <f t="shared" si="19"/>
        <v>78.466647049999992</v>
      </c>
      <c r="AS51">
        <v>48</v>
      </c>
      <c r="AT51">
        <v>65.099999999999994</v>
      </c>
      <c r="AU51">
        <f t="shared" si="20"/>
        <v>8.6799978299999978</v>
      </c>
      <c r="AV51">
        <v>53.1</v>
      </c>
      <c r="AW51">
        <f t="shared" si="21"/>
        <v>7.0799982299999993</v>
      </c>
      <c r="AX51">
        <v>26.9</v>
      </c>
      <c r="AY51">
        <f t="shared" si="22"/>
        <v>3.5866657699999993</v>
      </c>
      <c r="AZ51">
        <v>46.2</v>
      </c>
      <c r="BA51">
        <f t="shared" si="23"/>
        <v>6.1599984599999997</v>
      </c>
      <c r="BB51">
        <v>275.39999999999998</v>
      </c>
      <c r="BC51">
        <f t="shared" si="24"/>
        <v>36.719990819999992</v>
      </c>
      <c r="BD51">
        <v>46.9</v>
      </c>
      <c r="BE51">
        <f t="shared" si="25"/>
        <v>6.2533317699999991</v>
      </c>
      <c r="BF51">
        <v>44.4</v>
      </c>
      <c r="BG51">
        <f t="shared" si="26"/>
        <v>5.9199985199999992</v>
      </c>
      <c r="BH51">
        <v>395.3</v>
      </c>
      <c r="BI51">
        <f t="shared" si="27"/>
        <v>52.706653489999994</v>
      </c>
      <c r="BJ51">
        <v>316.89999999999998</v>
      </c>
      <c r="BK51">
        <f t="shared" si="28"/>
        <v>42.25332276999999</v>
      </c>
      <c r="BL51">
        <v>726.6</v>
      </c>
      <c r="BM51">
        <f t="shared" si="29"/>
        <v>96.879975779999995</v>
      </c>
    </row>
    <row r="52" spans="1:65" x14ac:dyDescent="0.35">
      <c r="A52">
        <v>49</v>
      </c>
      <c r="B52">
        <v>7.5</v>
      </c>
      <c r="C52">
        <f t="shared" si="0"/>
        <v>0.99999974999999997</v>
      </c>
      <c r="D52">
        <v>13.8</v>
      </c>
      <c r="E52">
        <f t="shared" si="1"/>
        <v>1.83999954</v>
      </c>
      <c r="F52">
        <v>24.8</v>
      </c>
      <c r="G52">
        <f t="shared" si="2"/>
        <v>3.30666584</v>
      </c>
      <c r="H52">
        <v>26.2</v>
      </c>
      <c r="I52">
        <f t="shared" si="3"/>
        <v>3.4933324599999995</v>
      </c>
      <c r="J52">
        <v>21.2</v>
      </c>
      <c r="K52">
        <f t="shared" si="4"/>
        <v>2.8266659599999997</v>
      </c>
      <c r="L52">
        <v>62.6</v>
      </c>
      <c r="M52">
        <f t="shared" si="5"/>
        <v>8.3466645799999988</v>
      </c>
      <c r="N52">
        <v>43.1</v>
      </c>
      <c r="O52">
        <f t="shared" si="6"/>
        <v>5.7466652299999996</v>
      </c>
      <c r="P52">
        <v>203.5</v>
      </c>
      <c r="Q52">
        <f t="shared" si="7"/>
        <v>27.133326549999996</v>
      </c>
      <c r="R52">
        <v>762.7</v>
      </c>
      <c r="S52">
        <f t="shared" si="8"/>
        <v>101.69330791</v>
      </c>
      <c r="T52">
        <v>575.29999999999995</v>
      </c>
      <c r="U52">
        <f t="shared" si="9"/>
        <v>76.70664748999998</v>
      </c>
      <c r="W52">
        <v>49</v>
      </c>
      <c r="X52">
        <v>43.4</v>
      </c>
      <c r="Y52">
        <f t="shared" si="10"/>
        <v>5.7866652199999997</v>
      </c>
      <c r="Z52">
        <v>23.2</v>
      </c>
      <c r="AA52">
        <f t="shared" si="11"/>
        <v>3.0933325599999995</v>
      </c>
      <c r="AB52">
        <v>39.1</v>
      </c>
      <c r="AC52">
        <f t="shared" si="12"/>
        <v>5.2133320300000001</v>
      </c>
      <c r="AD52">
        <v>51.1</v>
      </c>
      <c r="AE52">
        <f t="shared" si="13"/>
        <v>6.8133316299999995</v>
      </c>
      <c r="AF52">
        <v>45.4</v>
      </c>
      <c r="AG52">
        <f t="shared" si="14"/>
        <v>6.0533318199999995</v>
      </c>
      <c r="AH52">
        <v>53.6</v>
      </c>
      <c r="AI52">
        <f t="shared" si="15"/>
        <v>7.1466648799999994</v>
      </c>
      <c r="AJ52">
        <v>71.599999999999994</v>
      </c>
      <c r="AK52">
        <f t="shared" si="16"/>
        <v>9.5466642799999981</v>
      </c>
      <c r="AL52">
        <v>243.8</v>
      </c>
      <c r="AM52">
        <f t="shared" si="17"/>
        <v>32.506658539999997</v>
      </c>
      <c r="AN52">
        <v>375</v>
      </c>
      <c r="AO52">
        <f t="shared" si="18"/>
        <v>49.999987499999996</v>
      </c>
      <c r="AP52">
        <v>542.5</v>
      </c>
      <c r="AQ52">
        <f t="shared" si="19"/>
        <v>72.333315249999998</v>
      </c>
      <c r="AS52">
        <v>49</v>
      </c>
      <c r="AT52">
        <v>63.8</v>
      </c>
      <c r="AU52">
        <f t="shared" si="20"/>
        <v>8.5066645399999992</v>
      </c>
      <c r="AV52">
        <v>43.9</v>
      </c>
      <c r="AW52">
        <f t="shared" si="21"/>
        <v>5.853331869999999</v>
      </c>
      <c r="AX52">
        <v>26.3</v>
      </c>
      <c r="AY52">
        <f t="shared" si="22"/>
        <v>3.5066657899999996</v>
      </c>
      <c r="AZ52">
        <v>41.4</v>
      </c>
      <c r="BA52">
        <f t="shared" si="23"/>
        <v>5.5199986199999991</v>
      </c>
      <c r="BB52">
        <v>239.8</v>
      </c>
      <c r="BC52">
        <f t="shared" si="24"/>
        <v>31.973325339999999</v>
      </c>
      <c r="BD52">
        <v>45.4</v>
      </c>
      <c r="BE52">
        <f t="shared" si="25"/>
        <v>6.0533318199999995</v>
      </c>
      <c r="BF52">
        <v>42.9</v>
      </c>
      <c r="BG52">
        <f t="shared" si="26"/>
        <v>5.7199985699999996</v>
      </c>
      <c r="BH52">
        <v>290</v>
      </c>
      <c r="BI52">
        <f t="shared" si="27"/>
        <v>38.666656999999994</v>
      </c>
      <c r="BJ52">
        <v>202.6</v>
      </c>
      <c r="BK52">
        <f t="shared" si="28"/>
        <v>27.013326579999998</v>
      </c>
      <c r="BL52">
        <v>718</v>
      </c>
      <c r="BM52">
        <f t="shared" si="29"/>
        <v>95.733309399999996</v>
      </c>
    </row>
    <row r="53" spans="1:65" x14ac:dyDescent="0.35">
      <c r="A53">
        <v>50</v>
      </c>
      <c r="B53">
        <v>7.3</v>
      </c>
      <c r="C53">
        <f t="shared" si="0"/>
        <v>0.9733330899999999</v>
      </c>
      <c r="D53">
        <v>13.2</v>
      </c>
      <c r="E53">
        <f t="shared" si="1"/>
        <v>1.7599995599999998</v>
      </c>
      <c r="F53">
        <v>24.6</v>
      </c>
      <c r="G53">
        <f t="shared" si="2"/>
        <v>3.2799991799999999</v>
      </c>
      <c r="H53">
        <v>24.8</v>
      </c>
      <c r="I53">
        <f t="shared" si="3"/>
        <v>3.30666584</v>
      </c>
      <c r="J53">
        <v>20.6</v>
      </c>
      <c r="K53">
        <f t="shared" si="4"/>
        <v>2.74666598</v>
      </c>
      <c r="L53">
        <v>56.5</v>
      </c>
      <c r="M53">
        <f t="shared" si="5"/>
        <v>7.5333314499999995</v>
      </c>
      <c r="N53">
        <v>40.200000000000003</v>
      </c>
      <c r="O53">
        <f t="shared" si="6"/>
        <v>5.3599986599999996</v>
      </c>
      <c r="P53">
        <v>175.5</v>
      </c>
      <c r="Q53">
        <f t="shared" si="7"/>
        <v>23.399994149999998</v>
      </c>
      <c r="R53">
        <v>718.8</v>
      </c>
      <c r="S53">
        <f t="shared" si="8"/>
        <v>95.839976039999982</v>
      </c>
      <c r="T53">
        <v>524.9</v>
      </c>
      <c r="U53">
        <f t="shared" si="9"/>
        <v>69.986649169999993</v>
      </c>
      <c r="W53">
        <v>50</v>
      </c>
      <c r="X53">
        <v>40.4</v>
      </c>
      <c r="Y53">
        <f t="shared" si="10"/>
        <v>5.3866653199999996</v>
      </c>
      <c r="Z53">
        <v>20.8</v>
      </c>
      <c r="AA53">
        <f t="shared" si="11"/>
        <v>2.77333264</v>
      </c>
      <c r="AB53">
        <v>38.6</v>
      </c>
      <c r="AC53">
        <f t="shared" si="12"/>
        <v>5.14666538</v>
      </c>
      <c r="AD53">
        <v>50</v>
      </c>
      <c r="AE53">
        <f t="shared" si="13"/>
        <v>6.6666649999999992</v>
      </c>
      <c r="AF53">
        <v>44.7</v>
      </c>
      <c r="AG53">
        <f t="shared" si="14"/>
        <v>5.9599985100000001</v>
      </c>
      <c r="AH53">
        <v>51.2</v>
      </c>
      <c r="AI53">
        <f t="shared" si="15"/>
        <v>6.8266649599999996</v>
      </c>
      <c r="AJ53">
        <v>63.3</v>
      </c>
      <c r="AK53">
        <f t="shared" si="16"/>
        <v>8.439997889999999</v>
      </c>
      <c r="AL53">
        <v>216.9</v>
      </c>
      <c r="AM53">
        <f t="shared" si="17"/>
        <v>28.919992769999997</v>
      </c>
      <c r="AN53">
        <v>333.5</v>
      </c>
      <c r="AO53">
        <f t="shared" si="18"/>
        <v>44.466655549999999</v>
      </c>
      <c r="AP53">
        <v>495.6</v>
      </c>
      <c r="AQ53">
        <f t="shared" si="19"/>
        <v>66.079983479999996</v>
      </c>
      <c r="AS53">
        <v>50</v>
      </c>
      <c r="AT53">
        <v>62.7</v>
      </c>
      <c r="AU53">
        <f t="shared" si="20"/>
        <v>8.3599979099999988</v>
      </c>
      <c r="AV53">
        <v>37.4</v>
      </c>
      <c r="AW53">
        <f t="shared" si="21"/>
        <v>4.9866654199999996</v>
      </c>
      <c r="AX53">
        <v>25.7</v>
      </c>
      <c r="AY53">
        <f t="shared" si="22"/>
        <v>3.4266658099999998</v>
      </c>
      <c r="AZ53">
        <v>37.9</v>
      </c>
      <c r="BA53">
        <f t="shared" si="23"/>
        <v>5.0533320699999997</v>
      </c>
      <c r="BB53">
        <v>200.9</v>
      </c>
      <c r="BC53">
        <f t="shared" si="24"/>
        <v>26.786659969999999</v>
      </c>
      <c r="BD53">
        <v>44.2</v>
      </c>
      <c r="BE53">
        <f t="shared" si="25"/>
        <v>5.89333186</v>
      </c>
      <c r="BF53">
        <v>41.5</v>
      </c>
      <c r="BG53">
        <f t="shared" si="26"/>
        <v>5.5333319499999991</v>
      </c>
      <c r="BH53">
        <v>205.1</v>
      </c>
      <c r="BI53">
        <f t="shared" si="27"/>
        <v>27.346659829999997</v>
      </c>
      <c r="BJ53">
        <v>141.5</v>
      </c>
      <c r="BK53">
        <f t="shared" si="28"/>
        <v>18.866661949999997</v>
      </c>
      <c r="BL53">
        <v>708.6</v>
      </c>
      <c r="BM53">
        <f t="shared" si="29"/>
        <v>94.479976379999997</v>
      </c>
    </row>
    <row r="54" spans="1:65" x14ac:dyDescent="0.35">
      <c r="A54">
        <v>51</v>
      </c>
      <c r="B54">
        <v>7.2</v>
      </c>
      <c r="C54">
        <f t="shared" si="0"/>
        <v>0.95999975999999998</v>
      </c>
      <c r="D54">
        <v>12.9</v>
      </c>
      <c r="E54">
        <f t="shared" si="1"/>
        <v>1.7199995699999999</v>
      </c>
      <c r="F54">
        <v>24.4</v>
      </c>
      <c r="G54">
        <f t="shared" si="2"/>
        <v>3.2533325199999994</v>
      </c>
      <c r="H54">
        <v>23.5</v>
      </c>
      <c r="I54">
        <f t="shared" si="3"/>
        <v>3.1333325499999996</v>
      </c>
      <c r="J54">
        <v>20</v>
      </c>
      <c r="K54">
        <f t="shared" si="4"/>
        <v>2.6666659999999998</v>
      </c>
      <c r="L54">
        <v>52</v>
      </c>
      <c r="M54">
        <f t="shared" si="5"/>
        <v>6.9333315999999989</v>
      </c>
      <c r="N54">
        <v>37.9</v>
      </c>
      <c r="O54">
        <f t="shared" si="6"/>
        <v>5.0533320699999997</v>
      </c>
      <c r="P54">
        <v>155.1</v>
      </c>
      <c r="Q54">
        <f t="shared" si="7"/>
        <v>20.679994829999998</v>
      </c>
      <c r="R54">
        <v>673</v>
      </c>
      <c r="S54">
        <f t="shared" si="8"/>
        <v>89.733310899999992</v>
      </c>
      <c r="T54">
        <v>475.8</v>
      </c>
      <c r="U54">
        <f t="shared" si="9"/>
        <v>63.439984139999993</v>
      </c>
      <c r="W54">
        <v>51</v>
      </c>
      <c r="X54">
        <v>37.9</v>
      </c>
      <c r="Y54">
        <f t="shared" si="10"/>
        <v>5.0533320699999997</v>
      </c>
      <c r="Z54">
        <v>18.8</v>
      </c>
      <c r="AA54">
        <f t="shared" si="11"/>
        <v>2.5066660399999998</v>
      </c>
      <c r="AB54">
        <v>38.1</v>
      </c>
      <c r="AC54">
        <f t="shared" si="12"/>
        <v>5.0799987299999998</v>
      </c>
      <c r="AD54">
        <v>49</v>
      </c>
      <c r="AE54">
        <f t="shared" si="13"/>
        <v>6.5333316999999997</v>
      </c>
      <c r="AF54">
        <v>44</v>
      </c>
      <c r="AG54">
        <f t="shared" si="14"/>
        <v>5.8666651999999999</v>
      </c>
      <c r="AH54">
        <v>49.2</v>
      </c>
      <c r="AI54">
        <f t="shared" si="15"/>
        <v>6.5599983599999998</v>
      </c>
      <c r="AJ54">
        <v>57</v>
      </c>
      <c r="AK54">
        <f t="shared" si="16"/>
        <v>7.5999980999999996</v>
      </c>
      <c r="AL54">
        <v>193.3</v>
      </c>
      <c r="AM54">
        <f t="shared" si="17"/>
        <v>25.77332689</v>
      </c>
      <c r="AN54">
        <v>295.39999999999998</v>
      </c>
      <c r="AO54">
        <f t="shared" si="18"/>
        <v>39.386656819999992</v>
      </c>
      <c r="AP54">
        <v>449.5</v>
      </c>
      <c r="AQ54">
        <f t="shared" si="19"/>
        <v>59.933318349999993</v>
      </c>
      <c r="AS54">
        <v>51</v>
      </c>
      <c r="AT54">
        <v>61.6</v>
      </c>
      <c r="AU54">
        <f t="shared" si="20"/>
        <v>8.2133312800000002</v>
      </c>
      <c r="AV54">
        <v>32.799999999999997</v>
      </c>
      <c r="AW54">
        <f t="shared" si="21"/>
        <v>4.373332239999999</v>
      </c>
      <c r="AX54">
        <v>25.2</v>
      </c>
      <c r="AY54">
        <f t="shared" si="22"/>
        <v>3.3599991599999997</v>
      </c>
      <c r="AZ54">
        <v>35.1</v>
      </c>
      <c r="BA54">
        <f t="shared" si="23"/>
        <v>4.6799988299999997</v>
      </c>
      <c r="BB54">
        <v>155.6</v>
      </c>
      <c r="BC54">
        <f t="shared" si="24"/>
        <v>20.746661479999997</v>
      </c>
      <c r="BD54">
        <v>43.3</v>
      </c>
      <c r="BE54">
        <f t="shared" si="25"/>
        <v>5.7733318899999988</v>
      </c>
      <c r="BF54">
        <v>40.5</v>
      </c>
      <c r="BG54">
        <f t="shared" si="26"/>
        <v>5.3999986499999997</v>
      </c>
      <c r="BH54">
        <v>153.5</v>
      </c>
      <c r="BI54">
        <f t="shared" si="27"/>
        <v>20.466661549999998</v>
      </c>
      <c r="BJ54">
        <v>109.9</v>
      </c>
      <c r="BK54">
        <f t="shared" si="28"/>
        <v>14.65332967</v>
      </c>
      <c r="BL54">
        <v>698</v>
      </c>
      <c r="BM54">
        <f t="shared" si="29"/>
        <v>93.06664339999999</v>
      </c>
    </row>
    <row r="55" spans="1:65" x14ac:dyDescent="0.35">
      <c r="A55">
        <v>52</v>
      </c>
      <c r="B55">
        <v>7</v>
      </c>
      <c r="C55">
        <f t="shared" si="0"/>
        <v>0.93333309999999992</v>
      </c>
      <c r="D55">
        <v>12.7</v>
      </c>
      <c r="E55">
        <f t="shared" si="1"/>
        <v>1.6933329099999999</v>
      </c>
      <c r="F55">
        <v>24.3</v>
      </c>
      <c r="G55">
        <f t="shared" si="2"/>
        <v>3.2399991899999998</v>
      </c>
      <c r="H55">
        <v>22.3</v>
      </c>
      <c r="I55">
        <f t="shared" si="3"/>
        <v>2.9733325899999996</v>
      </c>
      <c r="J55">
        <v>19.600000000000001</v>
      </c>
      <c r="K55">
        <f t="shared" si="4"/>
        <v>2.6133326800000001</v>
      </c>
      <c r="L55">
        <v>48.5</v>
      </c>
      <c r="M55">
        <f t="shared" si="5"/>
        <v>6.4666650499999996</v>
      </c>
      <c r="N55">
        <v>36</v>
      </c>
      <c r="O55">
        <f t="shared" si="6"/>
        <v>4.7999987999999991</v>
      </c>
      <c r="P55">
        <v>144.30000000000001</v>
      </c>
      <c r="Q55">
        <f t="shared" si="7"/>
        <v>19.239995189999998</v>
      </c>
      <c r="R55">
        <v>625.1</v>
      </c>
      <c r="S55">
        <f t="shared" si="8"/>
        <v>83.34664583</v>
      </c>
      <c r="T55">
        <v>438.4</v>
      </c>
      <c r="U55">
        <f t="shared" si="9"/>
        <v>58.453318719999992</v>
      </c>
      <c r="W55">
        <v>52</v>
      </c>
      <c r="X55">
        <v>35.9</v>
      </c>
      <c r="Y55">
        <f t="shared" si="10"/>
        <v>4.7866654699999991</v>
      </c>
      <c r="Z55">
        <v>17.2</v>
      </c>
      <c r="AA55">
        <f t="shared" si="11"/>
        <v>2.2933327599999997</v>
      </c>
      <c r="AB55">
        <v>37.700000000000003</v>
      </c>
      <c r="AC55">
        <f t="shared" si="12"/>
        <v>5.0266654099999997</v>
      </c>
      <c r="AD55">
        <v>48.2</v>
      </c>
      <c r="AE55">
        <f t="shared" si="13"/>
        <v>6.4266650599999995</v>
      </c>
      <c r="AF55">
        <v>43.4</v>
      </c>
      <c r="AG55">
        <f t="shared" si="14"/>
        <v>5.7866652199999997</v>
      </c>
      <c r="AH55">
        <v>47.5</v>
      </c>
      <c r="AI55">
        <f t="shared" si="15"/>
        <v>6.3333317499999993</v>
      </c>
      <c r="AJ55">
        <v>52.2</v>
      </c>
      <c r="AK55">
        <f t="shared" si="16"/>
        <v>6.9599982599999999</v>
      </c>
      <c r="AL55">
        <v>172.8</v>
      </c>
      <c r="AM55">
        <f t="shared" si="17"/>
        <v>23.039994239999999</v>
      </c>
      <c r="AN55">
        <v>260</v>
      </c>
      <c r="AO55">
        <f t="shared" si="18"/>
        <v>34.666657999999998</v>
      </c>
      <c r="AP55">
        <v>405.5</v>
      </c>
      <c r="AQ55">
        <f t="shared" si="19"/>
        <v>54.066653149999993</v>
      </c>
      <c r="AS55">
        <v>52</v>
      </c>
      <c r="AT55">
        <v>60.8</v>
      </c>
      <c r="AU55">
        <f t="shared" si="20"/>
        <v>8.1066646399999982</v>
      </c>
      <c r="AV55">
        <v>30.1</v>
      </c>
      <c r="AW55">
        <f t="shared" si="21"/>
        <v>4.0133323299999999</v>
      </c>
      <c r="AX55">
        <v>24.9</v>
      </c>
      <c r="AY55">
        <f t="shared" si="22"/>
        <v>3.3199991699999996</v>
      </c>
      <c r="AZ55">
        <v>32.799999999999997</v>
      </c>
      <c r="BA55">
        <f t="shared" si="23"/>
        <v>4.373332239999999</v>
      </c>
      <c r="BB55">
        <v>113.1</v>
      </c>
      <c r="BC55">
        <f t="shared" si="24"/>
        <v>15.079996229999997</v>
      </c>
      <c r="BD55">
        <v>42.5</v>
      </c>
      <c r="BE55">
        <f t="shared" si="25"/>
        <v>5.6666652499999994</v>
      </c>
      <c r="BF55">
        <v>39.700000000000003</v>
      </c>
      <c r="BG55">
        <f t="shared" si="26"/>
        <v>5.2933320100000003</v>
      </c>
      <c r="BH55">
        <v>125.6</v>
      </c>
      <c r="BI55">
        <f t="shared" si="27"/>
        <v>16.746662479999998</v>
      </c>
      <c r="BJ55">
        <v>91.1</v>
      </c>
      <c r="BK55">
        <f t="shared" si="28"/>
        <v>12.146663629999997</v>
      </c>
      <c r="BL55">
        <v>685.8</v>
      </c>
      <c r="BM55">
        <f t="shared" si="29"/>
        <v>91.439977139999982</v>
      </c>
    </row>
    <row r="56" spans="1:65" x14ac:dyDescent="0.35">
      <c r="A56">
        <v>53</v>
      </c>
      <c r="B56">
        <v>7</v>
      </c>
      <c r="C56">
        <f t="shared" si="0"/>
        <v>0.93333309999999992</v>
      </c>
      <c r="D56">
        <v>12.5</v>
      </c>
      <c r="E56">
        <f t="shared" si="1"/>
        <v>1.6666662499999998</v>
      </c>
      <c r="F56">
        <v>24.2</v>
      </c>
      <c r="G56">
        <f t="shared" si="2"/>
        <v>3.2266658599999998</v>
      </c>
      <c r="H56">
        <v>21.2</v>
      </c>
      <c r="I56">
        <f t="shared" si="3"/>
        <v>2.8266659599999997</v>
      </c>
      <c r="J56">
        <v>19.2</v>
      </c>
      <c r="K56">
        <f t="shared" si="4"/>
        <v>2.5599993599999995</v>
      </c>
      <c r="L56">
        <v>45.7</v>
      </c>
      <c r="M56">
        <f t="shared" si="5"/>
        <v>6.0933318099999996</v>
      </c>
      <c r="N56">
        <v>34.4</v>
      </c>
      <c r="O56">
        <f t="shared" si="6"/>
        <v>4.5866655199999995</v>
      </c>
      <c r="P56">
        <v>136.69999999999999</v>
      </c>
      <c r="Q56">
        <f t="shared" si="7"/>
        <v>18.226662109999996</v>
      </c>
      <c r="R56">
        <v>575</v>
      </c>
      <c r="S56">
        <f t="shared" si="8"/>
        <v>76.666647499999996</v>
      </c>
      <c r="T56">
        <v>416.2</v>
      </c>
      <c r="U56">
        <f t="shared" si="9"/>
        <v>55.493319459999995</v>
      </c>
      <c r="W56">
        <v>53</v>
      </c>
      <c r="X56">
        <v>34.200000000000003</v>
      </c>
      <c r="Y56">
        <f t="shared" si="10"/>
        <v>4.5599988600000003</v>
      </c>
      <c r="Z56">
        <v>15.8</v>
      </c>
      <c r="AA56">
        <f t="shared" si="11"/>
        <v>2.1066661399999997</v>
      </c>
      <c r="AB56">
        <v>37.4</v>
      </c>
      <c r="AC56">
        <f t="shared" si="12"/>
        <v>4.9866654199999996</v>
      </c>
      <c r="AD56">
        <v>47.4</v>
      </c>
      <c r="AE56">
        <f t="shared" si="13"/>
        <v>6.3199984199999992</v>
      </c>
      <c r="AF56">
        <v>42.9</v>
      </c>
      <c r="AG56">
        <f t="shared" si="14"/>
        <v>5.7199985699999996</v>
      </c>
      <c r="AH56">
        <v>46.1</v>
      </c>
      <c r="AI56">
        <f t="shared" si="15"/>
        <v>6.1466651299999997</v>
      </c>
      <c r="AJ56">
        <v>48.4</v>
      </c>
      <c r="AK56">
        <f t="shared" si="16"/>
        <v>6.4533317199999995</v>
      </c>
      <c r="AL56">
        <v>155.1</v>
      </c>
      <c r="AM56">
        <f t="shared" si="17"/>
        <v>20.679994829999998</v>
      </c>
      <c r="AN56">
        <v>226.1</v>
      </c>
      <c r="AO56">
        <f t="shared" si="18"/>
        <v>30.146659129999996</v>
      </c>
      <c r="AP56">
        <v>363.9</v>
      </c>
      <c r="AQ56">
        <f t="shared" si="19"/>
        <v>48.519987869999994</v>
      </c>
      <c r="AS56">
        <v>53</v>
      </c>
      <c r="AT56">
        <v>59.9</v>
      </c>
      <c r="AU56">
        <f t="shared" si="20"/>
        <v>7.9866646699999988</v>
      </c>
      <c r="AV56">
        <v>28.4</v>
      </c>
      <c r="AW56">
        <f t="shared" si="21"/>
        <v>3.7866657199999993</v>
      </c>
      <c r="AX56">
        <v>24.5</v>
      </c>
      <c r="AY56">
        <f t="shared" si="22"/>
        <v>3.2666658499999999</v>
      </c>
      <c r="AZ56">
        <v>31</v>
      </c>
      <c r="BA56">
        <f t="shared" si="23"/>
        <v>4.1333322999999993</v>
      </c>
      <c r="BB56">
        <v>84.5</v>
      </c>
      <c r="BC56">
        <f t="shared" si="24"/>
        <v>11.266663849999999</v>
      </c>
      <c r="BD56">
        <v>41.8</v>
      </c>
      <c r="BE56">
        <f t="shared" si="25"/>
        <v>5.5733319399999992</v>
      </c>
      <c r="BF56">
        <v>39</v>
      </c>
      <c r="BG56">
        <f t="shared" si="26"/>
        <v>5.1999986999999992</v>
      </c>
      <c r="BH56">
        <v>108.9</v>
      </c>
      <c r="BI56">
        <f t="shared" si="27"/>
        <v>14.519996369999999</v>
      </c>
      <c r="BJ56">
        <v>78.5</v>
      </c>
      <c r="BK56">
        <f t="shared" si="28"/>
        <v>10.466664049999999</v>
      </c>
      <c r="BL56">
        <v>670.5</v>
      </c>
      <c r="BM56">
        <f t="shared" si="29"/>
        <v>89.399977649999997</v>
      </c>
    </row>
    <row r="57" spans="1:65" x14ac:dyDescent="0.35">
      <c r="A57">
        <v>54</v>
      </c>
      <c r="B57">
        <v>6.9</v>
      </c>
      <c r="C57">
        <f t="shared" si="0"/>
        <v>0.91999976999999999</v>
      </c>
      <c r="D57">
        <v>12.3</v>
      </c>
      <c r="E57">
        <f t="shared" si="1"/>
        <v>1.63999959</v>
      </c>
      <c r="F57">
        <v>24.2</v>
      </c>
      <c r="G57">
        <f t="shared" si="2"/>
        <v>3.2266658599999998</v>
      </c>
      <c r="H57">
        <v>20.3</v>
      </c>
      <c r="I57">
        <f t="shared" si="3"/>
        <v>2.7066659899999999</v>
      </c>
      <c r="J57">
        <v>18.8</v>
      </c>
      <c r="K57">
        <f t="shared" si="4"/>
        <v>2.5066660399999998</v>
      </c>
      <c r="L57">
        <v>43.4</v>
      </c>
      <c r="M57">
        <f t="shared" si="5"/>
        <v>5.7866652199999997</v>
      </c>
      <c r="N57">
        <v>33</v>
      </c>
      <c r="O57">
        <f t="shared" si="6"/>
        <v>4.3999988999999999</v>
      </c>
      <c r="P57">
        <v>129.69999999999999</v>
      </c>
      <c r="Q57">
        <f t="shared" si="7"/>
        <v>17.293329009999997</v>
      </c>
      <c r="R57">
        <v>522.29999999999995</v>
      </c>
      <c r="S57">
        <f t="shared" si="8"/>
        <v>69.639982589999988</v>
      </c>
      <c r="T57">
        <v>394.6</v>
      </c>
      <c r="U57">
        <f t="shared" si="9"/>
        <v>52.613320179999995</v>
      </c>
      <c r="W57">
        <v>54</v>
      </c>
      <c r="X57">
        <v>32.799999999999997</v>
      </c>
      <c r="Y57">
        <f t="shared" si="10"/>
        <v>4.373332239999999</v>
      </c>
      <c r="Z57">
        <v>14.6</v>
      </c>
      <c r="AA57">
        <f t="shared" si="11"/>
        <v>1.9466661799999998</v>
      </c>
      <c r="AB57">
        <v>37</v>
      </c>
      <c r="AC57">
        <f t="shared" si="12"/>
        <v>4.9333320999999994</v>
      </c>
      <c r="AD57">
        <v>46.7</v>
      </c>
      <c r="AE57">
        <f t="shared" si="13"/>
        <v>6.2266651099999999</v>
      </c>
      <c r="AF57">
        <v>42.5</v>
      </c>
      <c r="AG57">
        <f t="shared" si="14"/>
        <v>5.6666652499999994</v>
      </c>
      <c r="AH57">
        <v>44.9</v>
      </c>
      <c r="AI57">
        <f t="shared" si="15"/>
        <v>5.9866651699999993</v>
      </c>
      <c r="AJ57">
        <v>45.4</v>
      </c>
      <c r="AK57">
        <f t="shared" si="16"/>
        <v>6.0533318199999995</v>
      </c>
      <c r="AL57">
        <v>139.80000000000001</v>
      </c>
      <c r="AM57">
        <f t="shared" si="17"/>
        <v>18.639995339999999</v>
      </c>
      <c r="AN57">
        <v>195</v>
      </c>
      <c r="AO57">
        <f t="shared" si="18"/>
        <v>25.999993499999999</v>
      </c>
      <c r="AP57">
        <v>324.89999999999998</v>
      </c>
      <c r="AQ57">
        <f t="shared" si="19"/>
        <v>43.319989169999992</v>
      </c>
      <c r="AS57">
        <v>54</v>
      </c>
      <c r="AT57">
        <v>59.2</v>
      </c>
      <c r="AU57">
        <f t="shared" si="20"/>
        <v>7.8933313599999995</v>
      </c>
      <c r="AV57">
        <v>27</v>
      </c>
      <c r="AW57">
        <f t="shared" si="21"/>
        <v>3.5999990999999998</v>
      </c>
      <c r="AX57">
        <v>24.2</v>
      </c>
      <c r="AY57">
        <f t="shared" si="22"/>
        <v>3.2266658599999998</v>
      </c>
      <c r="AZ57">
        <v>29.5</v>
      </c>
      <c r="BA57">
        <f t="shared" si="23"/>
        <v>3.9333323499999997</v>
      </c>
      <c r="BB57">
        <v>68.099999999999994</v>
      </c>
      <c r="BC57">
        <f t="shared" si="24"/>
        <v>9.0799977299999988</v>
      </c>
      <c r="BD57">
        <v>41.1</v>
      </c>
      <c r="BE57">
        <f t="shared" si="25"/>
        <v>5.4799986299999999</v>
      </c>
      <c r="BF57">
        <v>38.4</v>
      </c>
      <c r="BG57">
        <f t="shared" si="26"/>
        <v>5.119998719999999</v>
      </c>
      <c r="BH57">
        <v>97.7</v>
      </c>
      <c r="BI57">
        <f t="shared" si="27"/>
        <v>13.026663409999999</v>
      </c>
      <c r="BJ57">
        <v>69.599999999999994</v>
      </c>
      <c r="BK57">
        <f t="shared" si="28"/>
        <v>9.2799976799999992</v>
      </c>
      <c r="BL57">
        <v>638</v>
      </c>
      <c r="BM57">
        <f t="shared" si="29"/>
        <v>85.066645399999999</v>
      </c>
    </row>
    <row r="58" spans="1:65" x14ac:dyDescent="0.35">
      <c r="A58">
        <v>55</v>
      </c>
      <c r="B58">
        <v>6.8</v>
      </c>
      <c r="C58">
        <f t="shared" si="0"/>
        <v>0.90666643999999985</v>
      </c>
      <c r="D58">
        <v>12.1</v>
      </c>
      <c r="E58">
        <f t="shared" si="1"/>
        <v>1.6133329299999999</v>
      </c>
      <c r="F58">
        <v>24.2</v>
      </c>
      <c r="G58">
        <f t="shared" si="2"/>
        <v>3.2266658599999998</v>
      </c>
      <c r="H58">
        <v>19.7</v>
      </c>
      <c r="I58">
        <f t="shared" si="3"/>
        <v>2.6266660099999997</v>
      </c>
      <c r="J58">
        <v>18.600000000000001</v>
      </c>
      <c r="K58">
        <f t="shared" si="4"/>
        <v>2.4799993799999998</v>
      </c>
      <c r="L58">
        <v>41.6</v>
      </c>
      <c r="M58">
        <f t="shared" si="5"/>
        <v>5.54666528</v>
      </c>
      <c r="N58">
        <v>32</v>
      </c>
      <c r="O58">
        <f t="shared" si="6"/>
        <v>4.2666655999999996</v>
      </c>
      <c r="P58">
        <v>123.5</v>
      </c>
      <c r="Q58">
        <f t="shared" si="7"/>
        <v>16.466662549999999</v>
      </c>
      <c r="R58">
        <v>466.6</v>
      </c>
      <c r="S58">
        <f t="shared" si="8"/>
        <v>62.213317779999997</v>
      </c>
      <c r="T58">
        <v>372.4</v>
      </c>
      <c r="U58">
        <f t="shared" si="9"/>
        <v>49.653320919999992</v>
      </c>
      <c r="W58">
        <v>55</v>
      </c>
      <c r="X58">
        <v>31.5</v>
      </c>
      <c r="Y58">
        <f t="shared" si="10"/>
        <v>4.1999989499999995</v>
      </c>
      <c r="Z58">
        <v>13.6</v>
      </c>
      <c r="AA58">
        <f t="shared" si="11"/>
        <v>1.8133328799999997</v>
      </c>
      <c r="AB58">
        <v>36.700000000000003</v>
      </c>
      <c r="AC58">
        <f t="shared" si="12"/>
        <v>4.8933321100000002</v>
      </c>
      <c r="AD58">
        <v>46.1</v>
      </c>
      <c r="AE58">
        <f t="shared" si="13"/>
        <v>6.1466651299999997</v>
      </c>
      <c r="AF58">
        <v>42.1</v>
      </c>
      <c r="AG58">
        <f t="shared" si="14"/>
        <v>5.6133319299999993</v>
      </c>
      <c r="AH58">
        <v>43.8</v>
      </c>
      <c r="AI58">
        <f t="shared" si="15"/>
        <v>5.839998539999999</v>
      </c>
      <c r="AJ58">
        <v>42.9</v>
      </c>
      <c r="AK58">
        <f t="shared" si="16"/>
        <v>5.7199985699999996</v>
      </c>
      <c r="AL58">
        <v>126.6</v>
      </c>
      <c r="AM58">
        <f t="shared" si="17"/>
        <v>16.879995779999998</v>
      </c>
      <c r="AN58">
        <v>169.4</v>
      </c>
      <c r="AO58">
        <f t="shared" si="18"/>
        <v>22.586661019999998</v>
      </c>
      <c r="AP58">
        <v>289</v>
      </c>
      <c r="AQ58">
        <f t="shared" si="19"/>
        <v>38.533323699999997</v>
      </c>
      <c r="AS58">
        <v>55</v>
      </c>
      <c r="AT58">
        <v>58.6</v>
      </c>
      <c r="AU58">
        <f t="shared" si="20"/>
        <v>7.8133313799999993</v>
      </c>
      <c r="AV58">
        <v>25.8</v>
      </c>
      <c r="AW58">
        <f t="shared" si="21"/>
        <v>3.4399991399999998</v>
      </c>
      <c r="AX58">
        <v>24</v>
      </c>
      <c r="AY58">
        <f t="shared" si="22"/>
        <v>3.1999991999999997</v>
      </c>
      <c r="AZ58">
        <v>28.2</v>
      </c>
      <c r="BA58">
        <f t="shared" si="23"/>
        <v>3.7599990599999997</v>
      </c>
      <c r="BB58">
        <v>58.4</v>
      </c>
      <c r="BC58">
        <f t="shared" si="24"/>
        <v>7.7866647199999992</v>
      </c>
      <c r="BD58">
        <v>40.6</v>
      </c>
      <c r="BE58">
        <f t="shared" si="25"/>
        <v>5.4133319799999997</v>
      </c>
      <c r="BF58">
        <v>37.799999999999997</v>
      </c>
      <c r="BG58">
        <f t="shared" si="26"/>
        <v>5.0399987399999988</v>
      </c>
      <c r="BH58">
        <v>89.6</v>
      </c>
      <c r="BI58">
        <f t="shared" si="27"/>
        <v>11.946663679999999</v>
      </c>
      <c r="BJ58">
        <v>63</v>
      </c>
      <c r="BK58">
        <f t="shared" si="28"/>
        <v>8.3999978999999989</v>
      </c>
      <c r="BL58">
        <v>521.79999999999995</v>
      </c>
      <c r="BM58">
        <f t="shared" si="29"/>
        <v>69.573315939999986</v>
      </c>
    </row>
    <row r="59" spans="1:65" x14ac:dyDescent="0.35">
      <c r="A59">
        <v>56</v>
      </c>
      <c r="B59">
        <v>6.7</v>
      </c>
      <c r="C59">
        <f t="shared" si="0"/>
        <v>0.89333310999999993</v>
      </c>
      <c r="D59">
        <v>12</v>
      </c>
      <c r="E59">
        <f t="shared" si="1"/>
        <v>1.5999995999999999</v>
      </c>
      <c r="F59">
        <v>24.2</v>
      </c>
      <c r="G59">
        <f t="shared" si="2"/>
        <v>3.2266658599999998</v>
      </c>
      <c r="H59">
        <v>19.399999999999999</v>
      </c>
      <c r="I59">
        <f t="shared" si="3"/>
        <v>2.5866660199999996</v>
      </c>
      <c r="J59">
        <v>18.5</v>
      </c>
      <c r="K59">
        <f t="shared" si="4"/>
        <v>2.4666660499999997</v>
      </c>
      <c r="L59">
        <v>40.1</v>
      </c>
      <c r="M59">
        <f t="shared" si="5"/>
        <v>5.3466653299999995</v>
      </c>
      <c r="N59">
        <v>31.5</v>
      </c>
      <c r="O59">
        <f t="shared" si="6"/>
        <v>4.1999989499999995</v>
      </c>
      <c r="P59">
        <v>118</v>
      </c>
      <c r="Q59">
        <f t="shared" si="7"/>
        <v>15.733329399999999</v>
      </c>
      <c r="R59">
        <v>404.9</v>
      </c>
      <c r="S59">
        <f t="shared" si="8"/>
        <v>53.98665316999999</v>
      </c>
      <c r="T59">
        <v>351.9</v>
      </c>
      <c r="U59">
        <f t="shared" si="9"/>
        <v>46.91998826999999</v>
      </c>
      <c r="W59">
        <v>56</v>
      </c>
      <c r="X59">
        <v>30.4</v>
      </c>
      <c r="Y59">
        <f t="shared" si="10"/>
        <v>4.0533323199999991</v>
      </c>
      <c r="Z59">
        <v>12.7</v>
      </c>
      <c r="AA59">
        <f t="shared" si="11"/>
        <v>1.6933329099999999</v>
      </c>
      <c r="AB59">
        <v>36.4</v>
      </c>
      <c r="AC59">
        <f t="shared" si="12"/>
        <v>4.8533321199999993</v>
      </c>
      <c r="AD59">
        <v>45.5</v>
      </c>
      <c r="AE59">
        <f t="shared" si="13"/>
        <v>6.0666651499999995</v>
      </c>
      <c r="AF59">
        <v>41.8</v>
      </c>
      <c r="AG59">
        <f t="shared" si="14"/>
        <v>5.5733319399999992</v>
      </c>
      <c r="AH59">
        <v>42.8</v>
      </c>
      <c r="AI59">
        <f t="shared" si="15"/>
        <v>5.7066652399999995</v>
      </c>
      <c r="AJ59">
        <v>40.9</v>
      </c>
      <c r="AK59">
        <f t="shared" si="16"/>
        <v>5.4533319699999989</v>
      </c>
      <c r="AL59">
        <v>115.1</v>
      </c>
      <c r="AM59">
        <f t="shared" si="17"/>
        <v>15.346662829999998</v>
      </c>
      <c r="AN59">
        <v>148.6</v>
      </c>
      <c r="AO59">
        <f t="shared" si="18"/>
        <v>19.813328379999998</v>
      </c>
      <c r="AP59">
        <v>255.9</v>
      </c>
      <c r="AQ59">
        <f t="shared" si="19"/>
        <v>34.119991469999995</v>
      </c>
      <c r="AS59">
        <v>56</v>
      </c>
      <c r="AT59">
        <v>58.1</v>
      </c>
      <c r="AU59">
        <f t="shared" si="20"/>
        <v>7.7466647299999991</v>
      </c>
      <c r="AV59">
        <v>24.8</v>
      </c>
      <c r="AW59">
        <f t="shared" si="21"/>
        <v>3.30666584</v>
      </c>
      <c r="AX59">
        <v>23.8</v>
      </c>
      <c r="AY59">
        <f t="shared" si="22"/>
        <v>3.1733325399999996</v>
      </c>
      <c r="AZ59">
        <v>27</v>
      </c>
      <c r="BA59">
        <f t="shared" si="23"/>
        <v>3.5999990999999998</v>
      </c>
      <c r="BB59">
        <v>52.5</v>
      </c>
      <c r="BC59">
        <f t="shared" si="24"/>
        <v>6.9999982499999991</v>
      </c>
      <c r="BD59">
        <v>40.200000000000003</v>
      </c>
      <c r="BE59">
        <f t="shared" si="25"/>
        <v>5.3599986599999996</v>
      </c>
      <c r="BF59">
        <v>37.299999999999997</v>
      </c>
      <c r="BG59">
        <f t="shared" si="26"/>
        <v>4.9733320899999995</v>
      </c>
      <c r="BH59">
        <v>83.3</v>
      </c>
      <c r="BI59">
        <f t="shared" si="27"/>
        <v>11.106663889999998</v>
      </c>
      <c r="BJ59">
        <v>57.9</v>
      </c>
      <c r="BK59">
        <f t="shared" si="28"/>
        <v>7.719998069999999</v>
      </c>
      <c r="BL59">
        <v>388.7</v>
      </c>
      <c r="BM59">
        <f t="shared" si="29"/>
        <v>51.826653709999995</v>
      </c>
    </row>
    <row r="60" spans="1:65" x14ac:dyDescent="0.35">
      <c r="A60">
        <v>57</v>
      </c>
      <c r="B60">
        <v>6.7</v>
      </c>
      <c r="C60">
        <f t="shared" si="0"/>
        <v>0.89333310999999993</v>
      </c>
      <c r="D60">
        <v>11.9</v>
      </c>
      <c r="E60">
        <f t="shared" si="1"/>
        <v>1.5866662699999998</v>
      </c>
      <c r="F60">
        <v>24.2</v>
      </c>
      <c r="G60">
        <f t="shared" si="2"/>
        <v>3.2266658599999998</v>
      </c>
      <c r="H60">
        <v>19.2</v>
      </c>
      <c r="I60">
        <f t="shared" si="3"/>
        <v>2.5599993599999995</v>
      </c>
      <c r="J60">
        <v>18.399999999999999</v>
      </c>
      <c r="K60">
        <f t="shared" si="4"/>
        <v>2.4533327199999997</v>
      </c>
      <c r="L60">
        <v>38.9</v>
      </c>
      <c r="M60">
        <f t="shared" si="5"/>
        <v>5.1866653699999992</v>
      </c>
      <c r="N60">
        <v>31.2</v>
      </c>
      <c r="O60">
        <f t="shared" si="6"/>
        <v>4.1599989599999994</v>
      </c>
      <c r="P60">
        <v>113.2</v>
      </c>
      <c r="Q60">
        <f t="shared" si="7"/>
        <v>15.093329559999999</v>
      </c>
      <c r="R60">
        <v>331.8</v>
      </c>
      <c r="S60">
        <f t="shared" si="8"/>
        <v>44.239988939999996</v>
      </c>
      <c r="T60">
        <v>332.8</v>
      </c>
      <c r="U60">
        <f t="shared" si="9"/>
        <v>44.37332224</v>
      </c>
      <c r="W60">
        <v>57</v>
      </c>
      <c r="X60">
        <v>29.5</v>
      </c>
      <c r="Y60">
        <f t="shared" si="10"/>
        <v>3.9333323499999997</v>
      </c>
      <c r="Z60">
        <v>11.9</v>
      </c>
      <c r="AA60">
        <f t="shared" si="11"/>
        <v>1.5866662699999998</v>
      </c>
      <c r="AB60">
        <v>36.200000000000003</v>
      </c>
      <c r="AC60">
        <f t="shared" si="12"/>
        <v>4.8266654600000001</v>
      </c>
      <c r="AD60">
        <v>45</v>
      </c>
      <c r="AE60">
        <f t="shared" si="13"/>
        <v>5.9999984999999993</v>
      </c>
      <c r="AF60">
        <v>41.6</v>
      </c>
      <c r="AG60">
        <f t="shared" si="14"/>
        <v>5.54666528</v>
      </c>
      <c r="AH60">
        <v>42</v>
      </c>
      <c r="AI60">
        <f t="shared" si="15"/>
        <v>5.5999985999999993</v>
      </c>
      <c r="AJ60">
        <v>39.200000000000003</v>
      </c>
      <c r="AK60">
        <f t="shared" si="16"/>
        <v>5.2266653600000001</v>
      </c>
      <c r="AL60">
        <v>104.4</v>
      </c>
      <c r="AM60">
        <f t="shared" si="17"/>
        <v>13.91999652</v>
      </c>
      <c r="AN60">
        <v>131.6</v>
      </c>
      <c r="AO60">
        <f t="shared" si="18"/>
        <v>17.546662279999996</v>
      </c>
      <c r="AP60">
        <v>224.6</v>
      </c>
      <c r="AQ60">
        <f t="shared" si="19"/>
        <v>29.946659179999997</v>
      </c>
      <c r="AS60">
        <v>57</v>
      </c>
      <c r="AT60">
        <v>57.6</v>
      </c>
      <c r="AU60">
        <f t="shared" si="20"/>
        <v>7.6799980799999998</v>
      </c>
      <c r="AV60">
        <v>24</v>
      </c>
      <c r="AW60">
        <f t="shared" si="21"/>
        <v>3.1999991999999997</v>
      </c>
      <c r="AX60">
        <v>23.5</v>
      </c>
      <c r="AY60">
        <f t="shared" si="22"/>
        <v>3.1333325499999996</v>
      </c>
      <c r="AZ60">
        <v>26</v>
      </c>
      <c r="BA60">
        <f t="shared" si="23"/>
        <v>3.4666657999999995</v>
      </c>
      <c r="BB60">
        <v>49.2</v>
      </c>
      <c r="BC60">
        <f t="shared" si="24"/>
        <v>6.5599983599999998</v>
      </c>
      <c r="BD60">
        <v>39.799999999999997</v>
      </c>
      <c r="BE60">
        <f t="shared" si="25"/>
        <v>5.3066653399999995</v>
      </c>
      <c r="BF60">
        <v>36.9</v>
      </c>
      <c r="BG60">
        <f t="shared" si="26"/>
        <v>4.9199987699999994</v>
      </c>
      <c r="BH60">
        <v>78.400000000000006</v>
      </c>
      <c r="BI60">
        <f t="shared" si="27"/>
        <v>10.45333072</v>
      </c>
      <c r="BJ60">
        <v>54</v>
      </c>
      <c r="BK60">
        <f t="shared" si="28"/>
        <v>7.1999981999999996</v>
      </c>
      <c r="BL60">
        <v>313.89999999999998</v>
      </c>
      <c r="BM60">
        <f t="shared" si="29"/>
        <v>41.853322869999992</v>
      </c>
    </row>
    <row r="61" spans="1:65" x14ac:dyDescent="0.35">
      <c r="A61">
        <v>58</v>
      </c>
      <c r="B61">
        <v>6.6</v>
      </c>
      <c r="C61">
        <f t="shared" si="0"/>
        <v>0.8799997799999999</v>
      </c>
      <c r="D61">
        <v>11.8</v>
      </c>
      <c r="E61">
        <f t="shared" si="1"/>
        <v>1.57333294</v>
      </c>
      <c r="F61">
        <v>24.1</v>
      </c>
      <c r="G61">
        <f t="shared" si="2"/>
        <v>3.2133325299999997</v>
      </c>
      <c r="H61">
        <v>19</v>
      </c>
      <c r="I61">
        <f t="shared" si="3"/>
        <v>2.5333326999999999</v>
      </c>
      <c r="J61">
        <v>18.3</v>
      </c>
      <c r="K61">
        <f t="shared" si="4"/>
        <v>2.4399993899999997</v>
      </c>
      <c r="L61">
        <v>37.9</v>
      </c>
      <c r="M61">
        <f t="shared" si="5"/>
        <v>5.0533320699999997</v>
      </c>
      <c r="N61">
        <v>30.9</v>
      </c>
      <c r="O61">
        <f t="shared" si="6"/>
        <v>4.1199989699999993</v>
      </c>
      <c r="P61">
        <v>108.8</v>
      </c>
      <c r="Q61">
        <f t="shared" si="7"/>
        <v>14.506663039999998</v>
      </c>
      <c r="R61">
        <v>253.9</v>
      </c>
      <c r="S61">
        <f t="shared" si="8"/>
        <v>33.853324869999994</v>
      </c>
      <c r="T61">
        <v>308.7</v>
      </c>
      <c r="U61">
        <f t="shared" si="9"/>
        <v>41.159989709999998</v>
      </c>
      <c r="W61">
        <v>58</v>
      </c>
      <c r="X61">
        <v>28.7</v>
      </c>
      <c r="Y61">
        <f t="shared" si="10"/>
        <v>3.8266657099999994</v>
      </c>
      <c r="Z61">
        <v>11.2</v>
      </c>
      <c r="AA61">
        <f t="shared" si="11"/>
        <v>1.4933329599999998</v>
      </c>
      <c r="AB61">
        <v>36</v>
      </c>
      <c r="AC61">
        <f t="shared" si="12"/>
        <v>4.7999987999999991</v>
      </c>
      <c r="AD61">
        <v>44.5</v>
      </c>
      <c r="AE61">
        <f t="shared" si="13"/>
        <v>5.9333318499999992</v>
      </c>
      <c r="AF61">
        <v>41.5</v>
      </c>
      <c r="AG61">
        <f t="shared" si="14"/>
        <v>5.5333319499999991</v>
      </c>
      <c r="AH61">
        <v>41.2</v>
      </c>
      <c r="AI61">
        <f t="shared" si="15"/>
        <v>5.4933319599999999</v>
      </c>
      <c r="AJ61">
        <v>37.700000000000003</v>
      </c>
      <c r="AK61">
        <f t="shared" si="16"/>
        <v>5.0266654099999997</v>
      </c>
      <c r="AL61">
        <v>93.7</v>
      </c>
      <c r="AM61">
        <f t="shared" si="17"/>
        <v>12.49333021</v>
      </c>
      <c r="AN61">
        <v>116.2</v>
      </c>
      <c r="AO61">
        <f t="shared" si="18"/>
        <v>15.493329459999998</v>
      </c>
      <c r="AP61">
        <v>193.7</v>
      </c>
      <c r="AQ61">
        <f t="shared" si="19"/>
        <v>25.826660209999996</v>
      </c>
      <c r="AS61">
        <v>58</v>
      </c>
      <c r="AT61">
        <v>57.1</v>
      </c>
      <c r="AU61">
        <f t="shared" si="20"/>
        <v>7.6133314299999997</v>
      </c>
      <c r="AV61">
        <v>23.2</v>
      </c>
      <c r="AW61">
        <f t="shared" si="21"/>
        <v>3.0933325599999995</v>
      </c>
      <c r="AX61">
        <v>23.3</v>
      </c>
      <c r="AY61">
        <f t="shared" si="22"/>
        <v>3.1066658899999999</v>
      </c>
      <c r="AZ61">
        <v>25.1</v>
      </c>
      <c r="BA61">
        <f t="shared" si="23"/>
        <v>3.3466658300000001</v>
      </c>
      <c r="BB61">
        <v>47.3</v>
      </c>
      <c r="BC61">
        <f t="shared" si="24"/>
        <v>6.3066650899999992</v>
      </c>
      <c r="BD61">
        <v>39.4</v>
      </c>
      <c r="BE61">
        <f t="shared" si="25"/>
        <v>5.2533320199999993</v>
      </c>
      <c r="BF61">
        <v>36.4</v>
      </c>
      <c r="BG61">
        <f t="shared" si="26"/>
        <v>4.8533321199999993</v>
      </c>
      <c r="BH61">
        <v>74.599999999999994</v>
      </c>
      <c r="BI61">
        <f t="shared" si="27"/>
        <v>9.9466641799999991</v>
      </c>
      <c r="BJ61">
        <v>50.9</v>
      </c>
      <c r="BK61">
        <f t="shared" si="28"/>
        <v>6.7866649699999995</v>
      </c>
      <c r="BL61">
        <v>205.5</v>
      </c>
      <c r="BM61">
        <f t="shared" si="29"/>
        <v>27.399993149999997</v>
      </c>
    </row>
    <row r="62" spans="1:65" x14ac:dyDescent="0.35">
      <c r="A62">
        <v>59</v>
      </c>
      <c r="B62">
        <v>6.6</v>
      </c>
      <c r="C62">
        <f t="shared" si="0"/>
        <v>0.8799997799999999</v>
      </c>
      <c r="D62">
        <v>11.7</v>
      </c>
      <c r="E62">
        <f t="shared" si="1"/>
        <v>1.5599996099999998</v>
      </c>
      <c r="F62">
        <v>24.2</v>
      </c>
      <c r="G62">
        <f t="shared" si="2"/>
        <v>3.2266658599999998</v>
      </c>
      <c r="H62">
        <v>18.8</v>
      </c>
      <c r="I62">
        <f t="shared" si="3"/>
        <v>2.5066660399999998</v>
      </c>
      <c r="J62">
        <v>18.3</v>
      </c>
      <c r="K62">
        <f t="shared" si="4"/>
        <v>2.4399993899999997</v>
      </c>
      <c r="L62">
        <v>37</v>
      </c>
      <c r="M62">
        <f t="shared" si="5"/>
        <v>4.9333320999999994</v>
      </c>
      <c r="N62">
        <v>30.7</v>
      </c>
      <c r="O62">
        <f t="shared" si="6"/>
        <v>4.0933323099999992</v>
      </c>
      <c r="P62">
        <v>104.8</v>
      </c>
      <c r="Q62">
        <f t="shared" si="7"/>
        <v>13.973329839999998</v>
      </c>
      <c r="R62">
        <v>187.2</v>
      </c>
      <c r="S62">
        <f t="shared" si="8"/>
        <v>24.959993759999996</v>
      </c>
      <c r="T62">
        <v>242.6</v>
      </c>
      <c r="U62">
        <f t="shared" si="9"/>
        <v>32.346658579999996</v>
      </c>
      <c r="W62">
        <v>59</v>
      </c>
      <c r="X62">
        <v>27.9</v>
      </c>
      <c r="Y62">
        <f t="shared" si="10"/>
        <v>3.7199990699999996</v>
      </c>
      <c r="Z62">
        <v>10.5</v>
      </c>
      <c r="AA62">
        <f t="shared" si="11"/>
        <v>1.3999996499999998</v>
      </c>
      <c r="AB62">
        <v>35.799999999999997</v>
      </c>
      <c r="AC62">
        <f t="shared" si="12"/>
        <v>4.7733321399999991</v>
      </c>
      <c r="AD62">
        <v>44.1</v>
      </c>
      <c r="AE62">
        <f t="shared" si="13"/>
        <v>5.8799985299999999</v>
      </c>
      <c r="AF62">
        <v>41.3</v>
      </c>
      <c r="AG62">
        <f t="shared" si="14"/>
        <v>5.506665289999999</v>
      </c>
      <c r="AH62">
        <v>40.6</v>
      </c>
      <c r="AI62">
        <f t="shared" si="15"/>
        <v>5.4133319799999997</v>
      </c>
      <c r="AJ62">
        <v>36.4</v>
      </c>
      <c r="AK62">
        <f t="shared" si="16"/>
        <v>4.8533321199999993</v>
      </c>
      <c r="AL62">
        <v>83.9</v>
      </c>
      <c r="AM62">
        <f t="shared" si="17"/>
        <v>11.18666387</v>
      </c>
      <c r="AN62">
        <v>100.4</v>
      </c>
      <c r="AO62">
        <f t="shared" si="18"/>
        <v>13.38666332</v>
      </c>
      <c r="AP62">
        <v>162.1</v>
      </c>
      <c r="AQ62">
        <f t="shared" si="19"/>
        <v>21.613327929999997</v>
      </c>
      <c r="AS62">
        <v>59</v>
      </c>
      <c r="AT62">
        <v>56.7</v>
      </c>
      <c r="AU62">
        <f t="shared" si="20"/>
        <v>7.5599981099999995</v>
      </c>
      <c r="AV62">
        <v>22.6</v>
      </c>
      <c r="AW62">
        <f t="shared" si="21"/>
        <v>3.0133325799999997</v>
      </c>
      <c r="AX62">
        <v>23.1</v>
      </c>
      <c r="AY62">
        <f t="shared" si="22"/>
        <v>3.0799992299999999</v>
      </c>
      <c r="AZ62">
        <v>24.4</v>
      </c>
      <c r="BA62">
        <f t="shared" si="23"/>
        <v>3.2533325199999994</v>
      </c>
      <c r="BB62">
        <v>45.8</v>
      </c>
      <c r="BC62">
        <f t="shared" si="24"/>
        <v>6.1066651399999987</v>
      </c>
      <c r="BD62">
        <v>39.1</v>
      </c>
      <c r="BE62">
        <f t="shared" si="25"/>
        <v>5.2133320300000001</v>
      </c>
      <c r="BF62">
        <v>36.1</v>
      </c>
      <c r="BG62">
        <f t="shared" si="26"/>
        <v>4.81333213</v>
      </c>
      <c r="BH62">
        <v>71.5</v>
      </c>
      <c r="BI62">
        <f t="shared" si="27"/>
        <v>9.5333309499999999</v>
      </c>
      <c r="BJ62">
        <v>48.4</v>
      </c>
      <c r="BK62">
        <f t="shared" si="28"/>
        <v>6.4533317199999995</v>
      </c>
      <c r="BL62">
        <v>137</v>
      </c>
      <c r="BM62">
        <f t="shared" si="29"/>
        <v>18.266662099999998</v>
      </c>
    </row>
    <row r="63" spans="1:65" x14ac:dyDescent="0.35">
      <c r="A63">
        <v>60</v>
      </c>
      <c r="B63">
        <v>6.5</v>
      </c>
      <c r="C63">
        <f t="shared" si="0"/>
        <v>0.86666644999999987</v>
      </c>
      <c r="D63">
        <v>11.6</v>
      </c>
      <c r="E63">
        <f t="shared" si="1"/>
        <v>1.5466662799999997</v>
      </c>
      <c r="F63">
        <v>24.2</v>
      </c>
      <c r="G63">
        <f t="shared" si="2"/>
        <v>3.2266658599999998</v>
      </c>
      <c r="H63">
        <v>18.7</v>
      </c>
      <c r="I63">
        <f t="shared" si="3"/>
        <v>2.4933327099999998</v>
      </c>
      <c r="J63">
        <v>18.3</v>
      </c>
      <c r="K63">
        <f t="shared" si="4"/>
        <v>2.4399993899999997</v>
      </c>
      <c r="L63">
        <v>36.299999999999997</v>
      </c>
      <c r="M63">
        <f t="shared" si="5"/>
        <v>4.8399987899999992</v>
      </c>
      <c r="N63">
        <v>30.5</v>
      </c>
      <c r="O63">
        <f t="shared" si="6"/>
        <v>4.06666565</v>
      </c>
      <c r="P63">
        <v>101.1</v>
      </c>
      <c r="Q63">
        <f t="shared" si="7"/>
        <v>13.479996629999999</v>
      </c>
      <c r="R63">
        <v>137.69999999999999</v>
      </c>
      <c r="S63">
        <f t="shared" si="8"/>
        <v>18.359995409999996</v>
      </c>
      <c r="T63">
        <v>191.6</v>
      </c>
      <c r="U63">
        <f t="shared" si="9"/>
        <v>25.546660279999998</v>
      </c>
      <c r="W63">
        <v>60</v>
      </c>
      <c r="X63">
        <v>27.3</v>
      </c>
      <c r="Y63">
        <f t="shared" si="10"/>
        <v>3.6399990899999999</v>
      </c>
      <c r="Z63">
        <v>9.9</v>
      </c>
      <c r="AA63">
        <f t="shared" si="11"/>
        <v>1.3199996699999998</v>
      </c>
      <c r="AB63">
        <v>35.6</v>
      </c>
      <c r="AC63">
        <f t="shared" si="12"/>
        <v>4.7466654799999999</v>
      </c>
      <c r="AD63">
        <v>43.7</v>
      </c>
      <c r="AE63">
        <f t="shared" si="13"/>
        <v>5.8266652099999998</v>
      </c>
      <c r="AF63">
        <v>41.1</v>
      </c>
      <c r="AG63">
        <f t="shared" si="14"/>
        <v>5.4799986299999999</v>
      </c>
      <c r="AH63">
        <v>40</v>
      </c>
      <c r="AI63">
        <f t="shared" si="15"/>
        <v>5.3333319999999995</v>
      </c>
      <c r="AJ63">
        <v>35.299999999999997</v>
      </c>
      <c r="AK63">
        <f t="shared" si="16"/>
        <v>4.7066654899999989</v>
      </c>
      <c r="AL63">
        <v>76.5</v>
      </c>
      <c r="AM63">
        <f t="shared" si="17"/>
        <v>10.19999745</v>
      </c>
      <c r="AN63">
        <v>85.1</v>
      </c>
      <c r="AO63">
        <f t="shared" si="18"/>
        <v>11.346663829999999</v>
      </c>
      <c r="AP63">
        <v>132.80000000000001</v>
      </c>
      <c r="AQ63">
        <f t="shared" si="19"/>
        <v>17.70666224</v>
      </c>
      <c r="AS63">
        <v>60</v>
      </c>
      <c r="AT63">
        <v>56.3</v>
      </c>
      <c r="AU63">
        <f t="shared" si="20"/>
        <v>7.5066647899999985</v>
      </c>
      <c r="AV63">
        <v>22</v>
      </c>
      <c r="AW63">
        <f t="shared" si="21"/>
        <v>2.9333326</v>
      </c>
      <c r="AX63">
        <v>23</v>
      </c>
      <c r="AY63">
        <f t="shared" si="22"/>
        <v>3.0666658999999998</v>
      </c>
      <c r="AZ63">
        <v>23.8</v>
      </c>
      <c r="BA63">
        <f t="shared" si="23"/>
        <v>3.1733325399999996</v>
      </c>
      <c r="BB63">
        <v>44.6</v>
      </c>
      <c r="BC63">
        <f t="shared" si="24"/>
        <v>5.9466651799999992</v>
      </c>
      <c r="BD63">
        <v>38.799999999999997</v>
      </c>
      <c r="BE63">
        <f t="shared" si="25"/>
        <v>5.1733320399999991</v>
      </c>
      <c r="BF63">
        <v>35.700000000000003</v>
      </c>
      <c r="BG63">
        <f t="shared" si="26"/>
        <v>4.7599988099999999</v>
      </c>
      <c r="BH63">
        <v>69</v>
      </c>
      <c r="BI63">
        <f t="shared" si="27"/>
        <v>9.1999976999999991</v>
      </c>
      <c r="BJ63">
        <v>46.8</v>
      </c>
      <c r="BK63">
        <f t="shared" si="28"/>
        <v>6.239998439999999</v>
      </c>
      <c r="BL63">
        <v>115.2</v>
      </c>
      <c r="BM63">
        <f t="shared" si="29"/>
        <v>15.35999616</v>
      </c>
    </row>
    <row r="64" spans="1:65" x14ac:dyDescent="0.35">
      <c r="A64">
        <v>61</v>
      </c>
      <c r="B64">
        <v>6.5</v>
      </c>
      <c r="C64">
        <f t="shared" si="0"/>
        <v>0.86666644999999987</v>
      </c>
      <c r="D64">
        <v>11.6</v>
      </c>
      <c r="E64">
        <f t="shared" si="1"/>
        <v>1.5466662799999997</v>
      </c>
      <c r="F64">
        <v>24.2</v>
      </c>
      <c r="G64">
        <f t="shared" si="2"/>
        <v>3.2266658599999998</v>
      </c>
      <c r="H64">
        <v>18.5</v>
      </c>
      <c r="I64">
        <f t="shared" si="3"/>
        <v>2.4666660499999997</v>
      </c>
      <c r="J64">
        <v>18.2</v>
      </c>
      <c r="K64">
        <f t="shared" si="4"/>
        <v>2.4266660599999996</v>
      </c>
      <c r="L64">
        <v>35.6</v>
      </c>
      <c r="M64">
        <f t="shared" si="5"/>
        <v>4.7466654799999999</v>
      </c>
      <c r="N64">
        <v>30.3</v>
      </c>
      <c r="O64">
        <f t="shared" si="6"/>
        <v>4.03999899</v>
      </c>
      <c r="P64">
        <v>97.8</v>
      </c>
      <c r="Q64">
        <f t="shared" si="7"/>
        <v>13.039996739999998</v>
      </c>
      <c r="R64">
        <v>103.2</v>
      </c>
      <c r="S64">
        <f t="shared" si="8"/>
        <v>13.759996559999999</v>
      </c>
      <c r="T64">
        <v>180.7</v>
      </c>
      <c r="U64">
        <f t="shared" si="9"/>
        <v>24.093327309999996</v>
      </c>
      <c r="W64">
        <v>61</v>
      </c>
      <c r="X64">
        <v>26.7</v>
      </c>
      <c r="Y64">
        <f t="shared" si="10"/>
        <v>3.5599991099999997</v>
      </c>
      <c r="Z64">
        <v>9.4</v>
      </c>
      <c r="AA64">
        <f t="shared" si="11"/>
        <v>1.2533330199999999</v>
      </c>
      <c r="AB64">
        <v>35.4</v>
      </c>
      <c r="AC64">
        <f t="shared" si="12"/>
        <v>4.7199988199999998</v>
      </c>
      <c r="AD64">
        <v>43.4</v>
      </c>
      <c r="AE64">
        <f t="shared" si="13"/>
        <v>5.7866652199999997</v>
      </c>
      <c r="AF64">
        <v>40.799999999999997</v>
      </c>
      <c r="AG64">
        <f t="shared" si="14"/>
        <v>5.4399986399999989</v>
      </c>
      <c r="AH64">
        <v>39.4</v>
      </c>
      <c r="AI64">
        <f t="shared" si="15"/>
        <v>5.2533320199999993</v>
      </c>
      <c r="AJ64">
        <v>34.4</v>
      </c>
      <c r="AK64">
        <f t="shared" si="16"/>
        <v>4.5866655199999995</v>
      </c>
      <c r="AL64">
        <v>71.099999999999994</v>
      </c>
      <c r="AM64">
        <f t="shared" si="17"/>
        <v>9.479997629999998</v>
      </c>
      <c r="AN64">
        <v>70.5</v>
      </c>
      <c r="AO64">
        <f t="shared" si="18"/>
        <v>9.3999976499999995</v>
      </c>
      <c r="AP64">
        <v>110.6</v>
      </c>
      <c r="AQ64">
        <f t="shared" si="19"/>
        <v>14.746662979999998</v>
      </c>
      <c r="AS64">
        <v>61</v>
      </c>
      <c r="AT64">
        <v>56</v>
      </c>
      <c r="AU64">
        <f t="shared" si="20"/>
        <v>7.4666647999999993</v>
      </c>
      <c r="AV64">
        <v>21.5</v>
      </c>
      <c r="AW64">
        <f t="shared" si="21"/>
        <v>2.8666659499999998</v>
      </c>
      <c r="AX64">
        <v>22.8</v>
      </c>
      <c r="AY64">
        <f t="shared" si="22"/>
        <v>3.0399992399999998</v>
      </c>
      <c r="AZ64">
        <v>23.4</v>
      </c>
      <c r="BA64">
        <f t="shared" si="23"/>
        <v>3.1199992199999995</v>
      </c>
      <c r="BB64">
        <v>43.6</v>
      </c>
      <c r="BC64">
        <f t="shared" si="24"/>
        <v>5.8133318799999998</v>
      </c>
      <c r="BD64">
        <v>38.5</v>
      </c>
      <c r="BE64">
        <f t="shared" si="25"/>
        <v>5.1333320499999999</v>
      </c>
      <c r="BF64">
        <v>35.5</v>
      </c>
      <c r="BG64">
        <f t="shared" si="26"/>
        <v>4.7333321499999998</v>
      </c>
      <c r="BH64">
        <v>67</v>
      </c>
      <c r="BI64">
        <f t="shared" si="27"/>
        <v>8.9333310999999984</v>
      </c>
      <c r="BJ64">
        <v>46</v>
      </c>
      <c r="BK64">
        <f t="shared" si="28"/>
        <v>6.1333317999999997</v>
      </c>
      <c r="BL64">
        <v>106.6</v>
      </c>
      <c r="BM64">
        <f t="shared" si="29"/>
        <v>14.213329779999999</v>
      </c>
    </row>
    <row r="65" spans="1:65" x14ac:dyDescent="0.35">
      <c r="A65">
        <v>62</v>
      </c>
      <c r="B65">
        <v>6.5</v>
      </c>
      <c r="C65">
        <f t="shared" si="0"/>
        <v>0.86666644999999987</v>
      </c>
      <c r="D65">
        <v>11.6</v>
      </c>
      <c r="E65">
        <f t="shared" si="1"/>
        <v>1.5466662799999997</v>
      </c>
      <c r="F65">
        <v>24.2</v>
      </c>
      <c r="G65">
        <f t="shared" si="2"/>
        <v>3.2266658599999998</v>
      </c>
      <c r="H65">
        <v>18.399999999999999</v>
      </c>
      <c r="I65">
        <f t="shared" si="3"/>
        <v>2.4533327199999997</v>
      </c>
      <c r="J65">
        <v>18.2</v>
      </c>
      <c r="K65">
        <f t="shared" si="4"/>
        <v>2.4266660599999996</v>
      </c>
      <c r="L65">
        <v>35</v>
      </c>
      <c r="M65">
        <f t="shared" si="5"/>
        <v>4.6666654999999997</v>
      </c>
      <c r="N65">
        <v>30.1</v>
      </c>
      <c r="O65">
        <f t="shared" si="6"/>
        <v>4.0133323299999999</v>
      </c>
      <c r="P65">
        <v>95.1</v>
      </c>
      <c r="Q65">
        <f t="shared" si="7"/>
        <v>12.679996829999999</v>
      </c>
      <c r="R65">
        <v>80.400000000000006</v>
      </c>
      <c r="S65">
        <f t="shared" si="8"/>
        <v>10.719997319999999</v>
      </c>
      <c r="T65">
        <v>173.4</v>
      </c>
      <c r="U65">
        <f t="shared" si="9"/>
        <v>23.119994219999999</v>
      </c>
      <c r="W65">
        <v>62</v>
      </c>
      <c r="X65">
        <v>26.3</v>
      </c>
      <c r="Y65">
        <f t="shared" si="10"/>
        <v>3.5066657899999996</v>
      </c>
      <c r="Z65">
        <v>8.9</v>
      </c>
      <c r="AA65">
        <f t="shared" si="11"/>
        <v>1.18666637</v>
      </c>
      <c r="AB65">
        <v>35.299999999999997</v>
      </c>
      <c r="AC65">
        <f t="shared" si="12"/>
        <v>4.7066654899999989</v>
      </c>
      <c r="AD65">
        <v>43.2</v>
      </c>
      <c r="AE65">
        <f t="shared" si="13"/>
        <v>5.7599985599999997</v>
      </c>
      <c r="AF65">
        <v>40.6</v>
      </c>
      <c r="AG65">
        <f t="shared" si="14"/>
        <v>5.4133319799999997</v>
      </c>
      <c r="AH65">
        <v>38.9</v>
      </c>
      <c r="AI65">
        <f t="shared" si="15"/>
        <v>5.1866653699999992</v>
      </c>
      <c r="AJ65">
        <v>33.6</v>
      </c>
      <c r="AK65">
        <f t="shared" si="16"/>
        <v>4.4799988800000001</v>
      </c>
      <c r="AL65">
        <v>67</v>
      </c>
      <c r="AM65">
        <f t="shared" si="17"/>
        <v>8.9333310999999984</v>
      </c>
      <c r="AN65">
        <v>62.1</v>
      </c>
      <c r="AO65">
        <f t="shared" si="18"/>
        <v>8.2799979299999986</v>
      </c>
      <c r="AP65">
        <v>94.9</v>
      </c>
      <c r="AQ65">
        <f t="shared" si="19"/>
        <v>12.65333017</v>
      </c>
      <c r="AS65">
        <v>62</v>
      </c>
      <c r="AT65">
        <v>55.7</v>
      </c>
      <c r="AU65">
        <f t="shared" si="20"/>
        <v>7.4266648100000001</v>
      </c>
      <c r="AV65">
        <v>21</v>
      </c>
      <c r="AW65">
        <f t="shared" si="21"/>
        <v>2.7999992999999996</v>
      </c>
      <c r="AX65">
        <v>22.7</v>
      </c>
      <c r="AY65">
        <f t="shared" si="22"/>
        <v>3.0266659099999997</v>
      </c>
      <c r="AZ65">
        <v>23</v>
      </c>
      <c r="BA65">
        <f t="shared" si="23"/>
        <v>3.0666658999999998</v>
      </c>
      <c r="BB65">
        <v>42.8</v>
      </c>
      <c r="BC65">
        <f t="shared" si="24"/>
        <v>5.7066652399999995</v>
      </c>
      <c r="BD65">
        <v>38.299999999999997</v>
      </c>
      <c r="BE65">
        <f t="shared" si="25"/>
        <v>5.106665389999999</v>
      </c>
      <c r="BF65">
        <v>35.4</v>
      </c>
      <c r="BG65">
        <f t="shared" si="26"/>
        <v>4.7199988199999998</v>
      </c>
      <c r="BH65">
        <v>65.099999999999994</v>
      </c>
      <c r="BI65">
        <f t="shared" si="27"/>
        <v>8.6799978299999978</v>
      </c>
      <c r="BJ65">
        <v>45.3</v>
      </c>
      <c r="BK65">
        <f t="shared" si="28"/>
        <v>6.0399984899999994</v>
      </c>
      <c r="BL65">
        <v>104.9</v>
      </c>
      <c r="BM65">
        <f t="shared" si="29"/>
        <v>13.98666317</v>
      </c>
    </row>
    <row r="66" spans="1:65" x14ac:dyDescent="0.35">
      <c r="A66">
        <v>63</v>
      </c>
      <c r="B66">
        <v>6.5</v>
      </c>
      <c r="C66">
        <f t="shared" si="0"/>
        <v>0.86666644999999987</v>
      </c>
      <c r="D66">
        <v>11.5</v>
      </c>
      <c r="E66">
        <f t="shared" si="1"/>
        <v>1.5333329499999999</v>
      </c>
      <c r="F66">
        <v>24.2</v>
      </c>
      <c r="G66">
        <f t="shared" si="2"/>
        <v>3.2266658599999998</v>
      </c>
      <c r="H66">
        <v>18.3</v>
      </c>
      <c r="I66">
        <f t="shared" si="3"/>
        <v>2.4399993899999997</v>
      </c>
      <c r="J66">
        <v>18.2</v>
      </c>
      <c r="K66">
        <f t="shared" si="4"/>
        <v>2.4266660599999996</v>
      </c>
      <c r="L66">
        <v>34.5</v>
      </c>
      <c r="M66">
        <f t="shared" si="5"/>
        <v>4.5999988499999995</v>
      </c>
      <c r="N66">
        <v>29.9</v>
      </c>
      <c r="O66">
        <f t="shared" si="6"/>
        <v>3.9866656699999994</v>
      </c>
      <c r="P66">
        <v>92.7</v>
      </c>
      <c r="Q66">
        <f t="shared" si="7"/>
        <v>12.35999691</v>
      </c>
      <c r="R66">
        <v>66.8</v>
      </c>
      <c r="S66">
        <f t="shared" si="8"/>
        <v>8.9066644399999984</v>
      </c>
      <c r="T66">
        <v>166.7</v>
      </c>
      <c r="U66">
        <f t="shared" si="9"/>
        <v>22.226661109999995</v>
      </c>
      <c r="W66">
        <v>63</v>
      </c>
      <c r="X66">
        <v>25.9</v>
      </c>
      <c r="Y66">
        <f t="shared" si="10"/>
        <v>3.4533324699999994</v>
      </c>
      <c r="Z66">
        <v>8.5</v>
      </c>
      <c r="AA66">
        <f t="shared" si="11"/>
        <v>1.1333330499999998</v>
      </c>
      <c r="AB66">
        <v>35.200000000000003</v>
      </c>
      <c r="AC66">
        <f t="shared" si="12"/>
        <v>4.6933321599999998</v>
      </c>
      <c r="AD66">
        <v>43</v>
      </c>
      <c r="AE66">
        <f t="shared" si="13"/>
        <v>5.7333318999999996</v>
      </c>
      <c r="AF66">
        <v>40.4</v>
      </c>
      <c r="AG66">
        <f t="shared" si="14"/>
        <v>5.3866653199999996</v>
      </c>
      <c r="AH66">
        <v>38.4</v>
      </c>
      <c r="AI66">
        <f t="shared" si="15"/>
        <v>5.119998719999999</v>
      </c>
      <c r="AJ66">
        <v>32.9</v>
      </c>
      <c r="AK66">
        <f t="shared" si="16"/>
        <v>4.386665569999999</v>
      </c>
      <c r="AL66">
        <v>63.8</v>
      </c>
      <c r="AM66">
        <f t="shared" si="17"/>
        <v>8.5066645399999992</v>
      </c>
      <c r="AN66">
        <v>61.3</v>
      </c>
      <c r="AO66">
        <f t="shared" si="18"/>
        <v>8.1733312899999984</v>
      </c>
      <c r="AP66">
        <v>83.6</v>
      </c>
      <c r="AQ66">
        <f t="shared" si="19"/>
        <v>11.146663879999998</v>
      </c>
      <c r="AS66">
        <v>63</v>
      </c>
      <c r="AT66">
        <v>55.4</v>
      </c>
      <c r="AU66">
        <f t="shared" si="20"/>
        <v>7.3866648199999991</v>
      </c>
      <c r="AV66">
        <v>20.5</v>
      </c>
      <c r="AW66">
        <f t="shared" si="21"/>
        <v>2.7333326499999999</v>
      </c>
      <c r="AX66">
        <v>22.5</v>
      </c>
      <c r="AY66">
        <f t="shared" si="22"/>
        <v>2.9999992499999997</v>
      </c>
      <c r="AZ66">
        <v>22.6</v>
      </c>
      <c r="BA66">
        <f t="shared" si="23"/>
        <v>3.0133325799999997</v>
      </c>
      <c r="BB66">
        <v>42.2</v>
      </c>
      <c r="BC66">
        <f t="shared" si="24"/>
        <v>5.6266652600000002</v>
      </c>
      <c r="BD66">
        <v>38.1</v>
      </c>
      <c r="BE66">
        <f t="shared" si="25"/>
        <v>5.0799987299999998</v>
      </c>
      <c r="BF66">
        <v>35.200000000000003</v>
      </c>
      <c r="BG66">
        <f t="shared" si="26"/>
        <v>4.6933321599999998</v>
      </c>
      <c r="BH66">
        <v>63.4</v>
      </c>
      <c r="BI66">
        <f t="shared" si="27"/>
        <v>8.453331219999999</v>
      </c>
      <c r="BJ66">
        <v>44.8</v>
      </c>
      <c r="BK66">
        <f t="shared" si="28"/>
        <v>5.9733318399999993</v>
      </c>
      <c r="BL66">
        <v>104.4</v>
      </c>
      <c r="BM66">
        <f t="shared" si="29"/>
        <v>13.91999652</v>
      </c>
    </row>
    <row r="67" spans="1:65" x14ac:dyDescent="0.35">
      <c r="A67">
        <v>64</v>
      </c>
      <c r="B67">
        <v>6.5</v>
      </c>
      <c r="C67">
        <f t="shared" si="0"/>
        <v>0.86666644999999987</v>
      </c>
      <c r="D67">
        <v>11.5</v>
      </c>
      <c r="E67">
        <f t="shared" si="1"/>
        <v>1.5333329499999999</v>
      </c>
      <c r="F67">
        <v>24.2</v>
      </c>
      <c r="G67">
        <f t="shared" si="2"/>
        <v>3.2266658599999998</v>
      </c>
      <c r="H67">
        <v>18.2</v>
      </c>
      <c r="I67">
        <f t="shared" si="3"/>
        <v>2.4266660599999996</v>
      </c>
      <c r="J67">
        <v>18.2</v>
      </c>
      <c r="K67">
        <f t="shared" si="4"/>
        <v>2.4266660599999996</v>
      </c>
      <c r="L67">
        <v>33.9</v>
      </c>
      <c r="M67">
        <f t="shared" si="5"/>
        <v>4.5199988699999993</v>
      </c>
      <c r="N67">
        <v>29.7</v>
      </c>
      <c r="O67">
        <f t="shared" si="6"/>
        <v>3.9599990099999998</v>
      </c>
      <c r="P67">
        <v>90.9</v>
      </c>
      <c r="Q67">
        <f t="shared" si="7"/>
        <v>12.119996969999999</v>
      </c>
      <c r="R67">
        <v>60.4</v>
      </c>
      <c r="S67">
        <f t="shared" si="8"/>
        <v>8.0533313199999998</v>
      </c>
      <c r="T67">
        <v>160.30000000000001</v>
      </c>
      <c r="U67">
        <f t="shared" si="9"/>
        <v>21.37332799</v>
      </c>
      <c r="W67">
        <v>64</v>
      </c>
      <c r="X67">
        <v>25.4</v>
      </c>
      <c r="Y67">
        <f t="shared" si="10"/>
        <v>3.3866658199999997</v>
      </c>
      <c r="Z67">
        <v>8.1</v>
      </c>
      <c r="AA67">
        <f t="shared" si="11"/>
        <v>1.0799997299999999</v>
      </c>
      <c r="AB67">
        <v>35.1</v>
      </c>
      <c r="AC67">
        <f t="shared" si="12"/>
        <v>4.6799988299999997</v>
      </c>
      <c r="AD67">
        <v>42.8</v>
      </c>
      <c r="AE67">
        <f t="shared" si="13"/>
        <v>5.7066652399999995</v>
      </c>
      <c r="AF67">
        <v>40.200000000000003</v>
      </c>
      <c r="AG67">
        <f t="shared" si="14"/>
        <v>5.3599986599999996</v>
      </c>
      <c r="AH67">
        <v>38.1</v>
      </c>
      <c r="AI67">
        <f t="shared" si="15"/>
        <v>5.0799987299999998</v>
      </c>
      <c r="AJ67">
        <v>32.200000000000003</v>
      </c>
      <c r="AK67">
        <f t="shared" si="16"/>
        <v>4.2933322599999997</v>
      </c>
      <c r="AL67">
        <v>61.4</v>
      </c>
      <c r="AM67">
        <f t="shared" si="17"/>
        <v>8.1866646199999984</v>
      </c>
      <c r="AN67">
        <v>61.3</v>
      </c>
      <c r="AO67">
        <f t="shared" si="18"/>
        <v>8.1733312899999984</v>
      </c>
      <c r="AP67">
        <v>75.099999999999994</v>
      </c>
      <c r="AQ67">
        <f t="shared" si="19"/>
        <v>10.013330829999997</v>
      </c>
      <c r="AS67">
        <v>64</v>
      </c>
      <c r="AT67">
        <v>55.2</v>
      </c>
      <c r="AU67">
        <f t="shared" si="20"/>
        <v>7.35999816</v>
      </c>
      <c r="AV67">
        <v>20.100000000000001</v>
      </c>
      <c r="AW67">
        <f t="shared" si="21"/>
        <v>2.6799993299999998</v>
      </c>
      <c r="AX67">
        <v>22.4</v>
      </c>
      <c r="AY67">
        <f t="shared" si="22"/>
        <v>2.9866659199999996</v>
      </c>
      <c r="AZ67">
        <v>22.3</v>
      </c>
      <c r="BA67">
        <f t="shared" si="23"/>
        <v>2.9733325899999996</v>
      </c>
      <c r="BB67">
        <v>41.6</v>
      </c>
      <c r="BC67">
        <f t="shared" si="24"/>
        <v>5.54666528</v>
      </c>
      <c r="BD67">
        <v>38</v>
      </c>
      <c r="BE67">
        <f t="shared" si="25"/>
        <v>5.0666653999999998</v>
      </c>
      <c r="BF67">
        <v>35.1</v>
      </c>
      <c r="BG67">
        <f t="shared" si="26"/>
        <v>4.6799988299999997</v>
      </c>
      <c r="BH67">
        <v>62.1</v>
      </c>
      <c r="BI67">
        <f t="shared" si="27"/>
        <v>8.2799979299999986</v>
      </c>
      <c r="BJ67">
        <v>44.4</v>
      </c>
      <c r="BK67">
        <f t="shared" si="28"/>
        <v>5.9199985199999992</v>
      </c>
      <c r="BL67">
        <v>103.8</v>
      </c>
      <c r="BM67">
        <f t="shared" si="29"/>
        <v>13.839996539999998</v>
      </c>
    </row>
    <row r="68" spans="1:65" x14ac:dyDescent="0.35">
      <c r="A68">
        <v>65</v>
      </c>
      <c r="B68">
        <v>6.7</v>
      </c>
      <c r="C68">
        <f t="shared" ref="C68:C109" si="30">B68*0.1333333</f>
        <v>0.89333310999999993</v>
      </c>
      <c r="D68">
        <v>11.5</v>
      </c>
      <c r="E68">
        <f t="shared" ref="E68:E109" si="31">D68*0.1333333</f>
        <v>1.5333329499999999</v>
      </c>
      <c r="F68">
        <v>24.2</v>
      </c>
      <c r="G68">
        <f t="shared" ref="G68:G109" si="32">F68*0.1333333</f>
        <v>3.2266658599999998</v>
      </c>
      <c r="H68">
        <v>18.2</v>
      </c>
      <c r="I68">
        <f t="shared" ref="I68:I109" si="33">H68*0.1333333</f>
        <v>2.4266660599999996</v>
      </c>
      <c r="J68">
        <v>18.2</v>
      </c>
      <c r="K68">
        <f t="shared" ref="K68:K109" si="34">J68*0.1333333</f>
        <v>2.4266660599999996</v>
      </c>
      <c r="L68">
        <v>33.4</v>
      </c>
      <c r="M68">
        <f t="shared" ref="M68:M109" si="35">L68*0.1333333</f>
        <v>4.4533322199999992</v>
      </c>
      <c r="N68">
        <v>29.6</v>
      </c>
      <c r="O68">
        <f t="shared" ref="O68:O109" si="36">N68*0.1333333</f>
        <v>3.9466656799999997</v>
      </c>
      <c r="P68">
        <v>89.6</v>
      </c>
      <c r="Q68">
        <f t="shared" ref="Q68:Q109" si="37">P68*0.1333333</f>
        <v>11.946663679999999</v>
      </c>
      <c r="R68">
        <v>57.5</v>
      </c>
      <c r="S68">
        <f t="shared" ref="S68:S109" si="38">R68*0.1333333</f>
        <v>7.6666647499999989</v>
      </c>
      <c r="T68">
        <v>155</v>
      </c>
      <c r="U68">
        <f t="shared" ref="U68:U109" si="39">T68*0.1333333</f>
        <v>20.666661499999996</v>
      </c>
      <c r="W68">
        <v>65</v>
      </c>
      <c r="X68">
        <v>25</v>
      </c>
      <c r="Y68">
        <f t="shared" ref="Y68:Y109" si="40">X68*0.1333333</f>
        <v>3.3333324999999996</v>
      </c>
      <c r="Z68">
        <v>7.8</v>
      </c>
      <c r="AA68">
        <f t="shared" ref="AA68:AA109" si="41">Z68*0.1333333</f>
        <v>1.0399997399999998</v>
      </c>
      <c r="AB68">
        <v>35</v>
      </c>
      <c r="AC68">
        <f t="shared" ref="AC68:AC109" si="42">AB68*0.1333333</f>
        <v>4.6666654999999997</v>
      </c>
      <c r="AD68">
        <v>42.5</v>
      </c>
      <c r="AE68">
        <f t="shared" ref="AE68:AE109" si="43">AD68*0.1333333</f>
        <v>5.6666652499999994</v>
      </c>
      <c r="AF68">
        <v>40</v>
      </c>
      <c r="AG68">
        <f t="shared" ref="AG68:AG109" si="44">AF68*0.1333333</f>
        <v>5.3333319999999995</v>
      </c>
      <c r="AH68">
        <v>37.700000000000003</v>
      </c>
      <c r="AI68">
        <f t="shared" ref="AI68:AI109" si="45">AH68*0.1333333</f>
        <v>5.0266654099999997</v>
      </c>
      <c r="AJ68">
        <v>31.6</v>
      </c>
      <c r="AK68">
        <f t="shared" ref="AK68:AK109" si="46">AJ68*0.1333333</f>
        <v>4.2133322799999995</v>
      </c>
      <c r="AL68">
        <v>59.3</v>
      </c>
      <c r="AM68">
        <f t="shared" ref="AM68:AM109" si="47">AL68*0.1333333</f>
        <v>7.9066646899999986</v>
      </c>
      <c r="AN68">
        <v>61.3</v>
      </c>
      <c r="AO68">
        <f t="shared" ref="AO68:AO109" si="48">AN68*0.1333333</f>
        <v>8.1733312899999984</v>
      </c>
      <c r="AP68">
        <v>68.8</v>
      </c>
      <c r="AQ68">
        <f t="shared" ref="AQ68:AQ109" si="49">AP68*0.1333333</f>
        <v>9.173331039999999</v>
      </c>
      <c r="AS68">
        <v>65</v>
      </c>
      <c r="AT68">
        <v>55</v>
      </c>
      <c r="AU68">
        <f t="shared" ref="AU68:AU109" si="50">AT68*0.1333333</f>
        <v>7.333331499999999</v>
      </c>
      <c r="AV68">
        <v>19.8</v>
      </c>
      <c r="AW68">
        <f t="shared" ref="AW68:AW109" si="51">AV68*0.1333333</f>
        <v>2.6399993399999997</v>
      </c>
      <c r="AX68">
        <v>22.3</v>
      </c>
      <c r="AY68">
        <f t="shared" ref="AY68:AY109" si="52">AX68*0.1333333</f>
        <v>2.9733325899999996</v>
      </c>
      <c r="AZ68">
        <v>22.1</v>
      </c>
      <c r="BA68">
        <f t="shared" ref="BA68:BA109" si="53">AZ68*0.1333333</f>
        <v>2.94666593</v>
      </c>
      <c r="BB68">
        <v>41.1</v>
      </c>
      <c r="BC68">
        <f t="shared" ref="BC68:BC109" si="54">BB68*0.1333333</f>
        <v>5.4799986299999999</v>
      </c>
      <c r="BD68">
        <v>37.9</v>
      </c>
      <c r="BE68">
        <f t="shared" ref="BE68:BE109" si="55">BD68*0.1333333</f>
        <v>5.0533320699999997</v>
      </c>
      <c r="BF68">
        <v>35</v>
      </c>
      <c r="BG68">
        <f t="shared" ref="BG68:BG109" si="56">BF68*0.1333333</f>
        <v>4.6666654999999997</v>
      </c>
      <c r="BH68">
        <v>61</v>
      </c>
      <c r="BI68">
        <f t="shared" ref="BI68:BI109" si="57">BH68*0.1333333</f>
        <v>8.1333313</v>
      </c>
      <c r="BJ68">
        <v>44</v>
      </c>
      <c r="BK68">
        <f t="shared" ref="BK68:BK109" si="58">BJ68*0.1333333</f>
        <v>5.8666651999999999</v>
      </c>
      <c r="BL68">
        <v>103.1</v>
      </c>
      <c r="BM68">
        <f t="shared" ref="BM68:BM109" si="59">BL68*0.1333333</f>
        <v>13.746663229999998</v>
      </c>
    </row>
    <row r="69" spans="1:65" x14ac:dyDescent="0.35">
      <c r="A69">
        <v>66</v>
      </c>
      <c r="B69">
        <v>11.3</v>
      </c>
      <c r="C69">
        <f t="shared" si="30"/>
        <v>1.5066662899999999</v>
      </c>
      <c r="D69">
        <v>11.5</v>
      </c>
      <c r="E69">
        <f t="shared" si="31"/>
        <v>1.5333329499999999</v>
      </c>
      <c r="F69">
        <v>24.3</v>
      </c>
      <c r="G69">
        <f t="shared" si="32"/>
        <v>3.2399991899999998</v>
      </c>
      <c r="H69">
        <v>18.100000000000001</v>
      </c>
      <c r="I69">
        <f t="shared" si="33"/>
        <v>2.41333273</v>
      </c>
      <c r="J69">
        <v>18.2</v>
      </c>
      <c r="K69">
        <f t="shared" si="34"/>
        <v>2.4266660599999996</v>
      </c>
      <c r="L69">
        <v>32.9</v>
      </c>
      <c r="M69">
        <f t="shared" si="35"/>
        <v>4.386665569999999</v>
      </c>
      <c r="N69">
        <v>29.4</v>
      </c>
      <c r="O69">
        <f t="shared" si="36"/>
        <v>3.9199990199999997</v>
      </c>
      <c r="P69">
        <v>88.6</v>
      </c>
      <c r="Q69">
        <f t="shared" si="37"/>
        <v>11.813330379999998</v>
      </c>
      <c r="R69">
        <v>55.3</v>
      </c>
      <c r="S69">
        <f t="shared" si="38"/>
        <v>7.3733314899999991</v>
      </c>
      <c r="T69">
        <v>151</v>
      </c>
      <c r="U69">
        <f t="shared" si="39"/>
        <v>20.133328299999999</v>
      </c>
      <c r="W69">
        <v>66</v>
      </c>
      <c r="X69">
        <v>24.7</v>
      </c>
      <c r="Y69">
        <f t="shared" si="40"/>
        <v>3.2933325099999995</v>
      </c>
      <c r="Z69">
        <v>7.5</v>
      </c>
      <c r="AA69">
        <f t="shared" si="41"/>
        <v>0.99999974999999997</v>
      </c>
      <c r="AB69">
        <v>34.9</v>
      </c>
      <c r="AC69">
        <f t="shared" si="42"/>
        <v>4.6533321699999997</v>
      </c>
      <c r="AD69">
        <v>42.3</v>
      </c>
      <c r="AE69">
        <f t="shared" si="43"/>
        <v>5.6399985899999994</v>
      </c>
      <c r="AF69">
        <v>39.799999999999997</v>
      </c>
      <c r="AG69">
        <f t="shared" si="44"/>
        <v>5.3066653399999995</v>
      </c>
      <c r="AH69">
        <v>37.4</v>
      </c>
      <c r="AI69">
        <f t="shared" si="45"/>
        <v>4.9866654199999996</v>
      </c>
      <c r="AJ69">
        <v>31.1</v>
      </c>
      <c r="AK69">
        <f t="shared" si="46"/>
        <v>4.1466656300000002</v>
      </c>
      <c r="AL69">
        <v>57.5</v>
      </c>
      <c r="AM69">
        <f t="shared" si="47"/>
        <v>7.6666647499999989</v>
      </c>
      <c r="AN69">
        <v>61.3</v>
      </c>
      <c r="AO69">
        <f t="shared" si="48"/>
        <v>8.1733312899999984</v>
      </c>
      <c r="AP69">
        <v>65</v>
      </c>
      <c r="AQ69">
        <f t="shared" si="49"/>
        <v>8.6666644999999995</v>
      </c>
      <c r="AS69">
        <v>66</v>
      </c>
      <c r="AT69">
        <v>54.8</v>
      </c>
      <c r="AU69">
        <f t="shared" si="50"/>
        <v>7.3066648399999989</v>
      </c>
      <c r="AV69">
        <v>19.5</v>
      </c>
      <c r="AW69">
        <f t="shared" si="51"/>
        <v>2.5999993499999996</v>
      </c>
      <c r="AX69">
        <v>22.2</v>
      </c>
      <c r="AY69">
        <f t="shared" si="52"/>
        <v>2.9599992599999996</v>
      </c>
      <c r="AZ69">
        <v>21.8</v>
      </c>
      <c r="BA69">
        <f t="shared" si="53"/>
        <v>2.9066659399999999</v>
      </c>
      <c r="BB69">
        <v>40.6</v>
      </c>
      <c r="BC69">
        <f t="shared" si="54"/>
        <v>5.4133319799999997</v>
      </c>
      <c r="BD69">
        <v>37.799999999999997</v>
      </c>
      <c r="BE69">
        <f t="shared" si="55"/>
        <v>5.0399987399999988</v>
      </c>
      <c r="BF69">
        <v>34.799999999999997</v>
      </c>
      <c r="BG69">
        <f t="shared" si="56"/>
        <v>4.6399988399999996</v>
      </c>
      <c r="BH69">
        <v>60.1</v>
      </c>
      <c r="BI69">
        <f t="shared" si="57"/>
        <v>8.0133313299999998</v>
      </c>
      <c r="BJ69">
        <v>43.8</v>
      </c>
      <c r="BK69">
        <f t="shared" si="58"/>
        <v>5.839998539999999</v>
      </c>
      <c r="BL69">
        <v>102.4</v>
      </c>
      <c r="BM69">
        <f t="shared" si="59"/>
        <v>13.653329919999999</v>
      </c>
    </row>
    <row r="70" spans="1:65" x14ac:dyDescent="0.35">
      <c r="A70">
        <v>67</v>
      </c>
      <c r="B70">
        <v>20</v>
      </c>
      <c r="C70">
        <f t="shared" si="30"/>
        <v>2.6666659999999998</v>
      </c>
      <c r="D70">
        <v>11.5</v>
      </c>
      <c r="E70">
        <f t="shared" si="31"/>
        <v>1.5333329499999999</v>
      </c>
      <c r="F70">
        <v>24.3</v>
      </c>
      <c r="G70">
        <f t="shared" si="32"/>
        <v>3.2399991899999998</v>
      </c>
      <c r="H70">
        <v>18.100000000000001</v>
      </c>
      <c r="I70">
        <f t="shared" si="33"/>
        <v>2.41333273</v>
      </c>
      <c r="J70">
        <v>18.2</v>
      </c>
      <c r="K70">
        <f t="shared" si="34"/>
        <v>2.4266660599999996</v>
      </c>
      <c r="L70">
        <v>32.5</v>
      </c>
      <c r="M70">
        <f t="shared" si="35"/>
        <v>4.3333322499999998</v>
      </c>
      <c r="N70">
        <v>29.3</v>
      </c>
      <c r="O70">
        <f t="shared" si="36"/>
        <v>3.9066656899999996</v>
      </c>
      <c r="P70">
        <v>87.8</v>
      </c>
      <c r="Q70">
        <f t="shared" si="37"/>
        <v>11.706663739999998</v>
      </c>
      <c r="R70">
        <v>53.6</v>
      </c>
      <c r="S70">
        <f t="shared" si="38"/>
        <v>7.1466648799999994</v>
      </c>
      <c r="T70">
        <v>147.9</v>
      </c>
      <c r="U70">
        <f t="shared" si="39"/>
        <v>19.71999507</v>
      </c>
      <c r="W70">
        <v>67</v>
      </c>
      <c r="X70">
        <v>24.4</v>
      </c>
      <c r="Y70">
        <f t="shared" si="40"/>
        <v>3.2533325199999994</v>
      </c>
      <c r="Z70">
        <v>7.2</v>
      </c>
      <c r="AA70">
        <f t="shared" si="41"/>
        <v>0.95999975999999998</v>
      </c>
      <c r="AB70">
        <v>34.799999999999997</v>
      </c>
      <c r="AC70">
        <f t="shared" si="42"/>
        <v>4.6399988399999996</v>
      </c>
      <c r="AD70">
        <v>42.1</v>
      </c>
      <c r="AE70">
        <f t="shared" si="43"/>
        <v>5.6133319299999993</v>
      </c>
      <c r="AF70">
        <v>39.700000000000003</v>
      </c>
      <c r="AG70">
        <f t="shared" si="44"/>
        <v>5.2933320100000003</v>
      </c>
      <c r="AH70">
        <v>37.1</v>
      </c>
      <c r="AI70">
        <f t="shared" si="45"/>
        <v>4.9466654299999995</v>
      </c>
      <c r="AJ70">
        <v>30.6</v>
      </c>
      <c r="AK70">
        <f t="shared" si="46"/>
        <v>4.0799989800000001</v>
      </c>
      <c r="AL70">
        <v>56.1</v>
      </c>
      <c r="AM70">
        <f t="shared" si="47"/>
        <v>7.4799981299999994</v>
      </c>
      <c r="AN70">
        <v>61.3</v>
      </c>
      <c r="AO70">
        <f t="shared" si="48"/>
        <v>8.1733312899999984</v>
      </c>
      <c r="AP70">
        <v>63.2</v>
      </c>
      <c r="AQ70">
        <f t="shared" si="49"/>
        <v>8.426664559999999</v>
      </c>
      <c r="AS70">
        <v>67</v>
      </c>
      <c r="AT70">
        <v>54.7</v>
      </c>
      <c r="AU70">
        <f t="shared" si="50"/>
        <v>7.2933315099999998</v>
      </c>
      <c r="AV70">
        <v>19.2</v>
      </c>
      <c r="AW70">
        <f t="shared" si="51"/>
        <v>2.5599993599999995</v>
      </c>
      <c r="AX70">
        <v>22.1</v>
      </c>
      <c r="AY70">
        <f t="shared" si="52"/>
        <v>2.94666593</v>
      </c>
      <c r="AZ70">
        <v>21.6</v>
      </c>
      <c r="BA70">
        <f t="shared" si="53"/>
        <v>2.8799992799999998</v>
      </c>
      <c r="BB70">
        <v>40.200000000000003</v>
      </c>
      <c r="BC70">
        <f t="shared" si="54"/>
        <v>5.3599986599999996</v>
      </c>
      <c r="BD70">
        <v>37.700000000000003</v>
      </c>
      <c r="BE70">
        <f t="shared" si="55"/>
        <v>5.0266654099999997</v>
      </c>
      <c r="BF70">
        <v>34.700000000000003</v>
      </c>
      <c r="BG70">
        <f t="shared" si="56"/>
        <v>4.6266655099999996</v>
      </c>
      <c r="BH70">
        <v>59.3</v>
      </c>
      <c r="BI70">
        <f t="shared" si="57"/>
        <v>7.9066646899999986</v>
      </c>
      <c r="BJ70">
        <v>43.5</v>
      </c>
      <c r="BK70">
        <f t="shared" si="58"/>
        <v>5.7999985499999998</v>
      </c>
      <c r="BL70">
        <v>100</v>
      </c>
      <c r="BM70">
        <f t="shared" si="59"/>
        <v>13.333329999999998</v>
      </c>
    </row>
    <row r="71" spans="1:65" x14ac:dyDescent="0.35">
      <c r="A71">
        <v>68</v>
      </c>
      <c r="B71">
        <v>21.7</v>
      </c>
      <c r="C71">
        <f t="shared" si="30"/>
        <v>2.8933326099999999</v>
      </c>
      <c r="D71">
        <v>11.4</v>
      </c>
      <c r="E71">
        <f t="shared" si="31"/>
        <v>1.5199996199999999</v>
      </c>
      <c r="F71">
        <v>24.3</v>
      </c>
      <c r="G71">
        <f t="shared" si="32"/>
        <v>3.2399991899999998</v>
      </c>
      <c r="H71">
        <v>18</v>
      </c>
      <c r="I71">
        <f t="shared" si="33"/>
        <v>2.3999993999999996</v>
      </c>
      <c r="J71">
        <v>18.2</v>
      </c>
      <c r="K71">
        <f t="shared" si="34"/>
        <v>2.4266660599999996</v>
      </c>
      <c r="L71">
        <v>32.200000000000003</v>
      </c>
      <c r="M71">
        <f t="shared" si="35"/>
        <v>4.2933322599999997</v>
      </c>
      <c r="N71">
        <v>29.2</v>
      </c>
      <c r="O71">
        <f t="shared" si="36"/>
        <v>3.8933323599999996</v>
      </c>
      <c r="P71">
        <v>87.1</v>
      </c>
      <c r="Q71">
        <f t="shared" si="37"/>
        <v>11.613330429999998</v>
      </c>
      <c r="R71">
        <v>52.2</v>
      </c>
      <c r="S71">
        <f t="shared" si="38"/>
        <v>6.9599982599999999</v>
      </c>
      <c r="T71">
        <v>145.30000000000001</v>
      </c>
      <c r="U71">
        <f t="shared" si="39"/>
        <v>19.373328489999999</v>
      </c>
      <c r="W71">
        <v>68</v>
      </c>
      <c r="X71">
        <v>24.1</v>
      </c>
      <c r="Y71">
        <f t="shared" si="40"/>
        <v>3.2133325299999997</v>
      </c>
      <c r="Z71">
        <v>6.9</v>
      </c>
      <c r="AA71">
        <f t="shared" si="41"/>
        <v>0.91999976999999999</v>
      </c>
      <c r="AB71">
        <v>34.700000000000003</v>
      </c>
      <c r="AC71">
        <f t="shared" si="42"/>
        <v>4.6266655099999996</v>
      </c>
      <c r="AD71">
        <v>41.9</v>
      </c>
      <c r="AE71">
        <f t="shared" si="43"/>
        <v>5.5866652699999992</v>
      </c>
      <c r="AF71">
        <v>39.6</v>
      </c>
      <c r="AG71">
        <f t="shared" si="44"/>
        <v>5.2799986799999994</v>
      </c>
      <c r="AH71">
        <v>36.9</v>
      </c>
      <c r="AI71">
        <f t="shared" si="45"/>
        <v>4.9199987699999994</v>
      </c>
      <c r="AJ71">
        <v>30.2</v>
      </c>
      <c r="AK71">
        <f t="shared" si="46"/>
        <v>4.0266656599999999</v>
      </c>
      <c r="AL71">
        <v>54.9</v>
      </c>
      <c r="AM71">
        <f t="shared" si="47"/>
        <v>7.319998169999999</v>
      </c>
      <c r="AN71">
        <v>61.3</v>
      </c>
      <c r="AO71">
        <f t="shared" si="48"/>
        <v>8.1733312899999984</v>
      </c>
      <c r="AP71">
        <v>61.8</v>
      </c>
      <c r="AQ71">
        <f t="shared" si="49"/>
        <v>8.2399979399999985</v>
      </c>
      <c r="AS71">
        <v>68</v>
      </c>
      <c r="AT71">
        <v>54.5</v>
      </c>
      <c r="AU71">
        <f t="shared" si="50"/>
        <v>7.2666648499999997</v>
      </c>
      <c r="AV71">
        <v>19</v>
      </c>
      <c r="AW71">
        <f t="shared" si="51"/>
        <v>2.5333326999999999</v>
      </c>
      <c r="AX71">
        <v>22.1</v>
      </c>
      <c r="AY71">
        <f t="shared" si="52"/>
        <v>2.94666593</v>
      </c>
      <c r="AZ71">
        <v>21.4</v>
      </c>
      <c r="BA71">
        <f t="shared" si="53"/>
        <v>2.8533326199999998</v>
      </c>
      <c r="BB71">
        <v>39.9</v>
      </c>
      <c r="BC71">
        <f t="shared" si="54"/>
        <v>5.3199986699999995</v>
      </c>
      <c r="BD71">
        <v>37.6</v>
      </c>
      <c r="BE71">
        <f t="shared" si="55"/>
        <v>5.0133320799999996</v>
      </c>
      <c r="BF71">
        <v>34.6</v>
      </c>
      <c r="BG71">
        <f t="shared" si="56"/>
        <v>4.6133321799999996</v>
      </c>
      <c r="BH71">
        <v>58.6</v>
      </c>
      <c r="BI71">
        <f t="shared" si="57"/>
        <v>7.8133313799999993</v>
      </c>
      <c r="BJ71">
        <v>43.3</v>
      </c>
      <c r="BK71">
        <f t="shared" si="58"/>
        <v>5.7733318899999988</v>
      </c>
      <c r="BL71">
        <v>70.099999999999994</v>
      </c>
      <c r="BM71">
        <f t="shared" si="59"/>
        <v>9.3466643299999976</v>
      </c>
    </row>
    <row r="72" spans="1:65" x14ac:dyDescent="0.35">
      <c r="A72">
        <v>69</v>
      </c>
      <c r="B72">
        <v>21.6</v>
      </c>
      <c r="C72">
        <f t="shared" si="30"/>
        <v>2.8799992799999998</v>
      </c>
      <c r="D72">
        <v>11.5</v>
      </c>
      <c r="E72">
        <f t="shared" si="31"/>
        <v>1.5333329499999999</v>
      </c>
      <c r="F72">
        <v>24.4</v>
      </c>
      <c r="G72">
        <f t="shared" si="32"/>
        <v>3.2533325199999994</v>
      </c>
      <c r="H72">
        <v>18</v>
      </c>
      <c r="I72">
        <f t="shared" si="33"/>
        <v>2.3999993999999996</v>
      </c>
      <c r="J72">
        <v>18.2</v>
      </c>
      <c r="K72">
        <f t="shared" si="34"/>
        <v>2.4266660599999996</v>
      </c>
      <c r="L72">
        <v>31.9</v>
      </c>
      <c r="M72">
        <f t="shared" si="35"/>
        <v>4.2533322699999996</v>
      </c>
      <c r="N72">
        <v>29.1</v>
      </c>
      <c r="O72">
        <f t="shared" si="36"/>
        <v>3.87999903</v>
      </c>
      <c r="P72">
        <v>86.4</v>
      </c>
      <c r="Q72">
        <f t="shared" si="37"/>
        <v>11.519997119999999</v>
      </c>
      <c r="R72">
        <v>51</v>
      </c>
      <c r="S72">
        <f t="shared" si="38"/>
        <v>6.7999982999999995</v>
      </c>
      <c r="T72">
        <v>143.1</v>
      </c>
      <c r="U72">
        <f t="shared" si="39"/>
        <v>19.079995229999998</v>
      </c>
      <c r="W72">
        <v>69</v>
      </c>
      <c r="X72">
        <v>23.8</v>
      </c>
      <c r="Y72">
        <f t="shared" si="40"/>
        <v>3.1733325399999996</v>
      </c>
      <c r="Z72">
        <v>6.7</v>
      </c>
      <c r="AA72">
        <f t="shared" si="41"/>
        <v>0.89333310999999993</v>
      </c>
      <c r="AB72">
        <v>34.6</v>
      </c>
      <c r="AC72">
        <f t="shared" si="42"/>
        <v>4.6133321799999996</v>
      </c>
      <c r="AD72">
        <v>41.7</v>
      </c>
      <c r="AE72">
        <f t="shared" si="43"/>
        <v>5.5599986100000001</v>
      </c>
      <c r="AF72">
        <v>39.5</v>
      </c>
      <c r="AG72">
        <f t="shared" si="44"/>
        <v>5.2666653499999994</v>
      </c>
      <c r="AH72">
        <v>36.799999999999997</v>
      </c>
      <c r="AI72">
        <f t="shared" si="45"/>
        <v>4.9066654399999994</v>
      </c>
      <c r="AJ72">
        <v>29.9</v>
      </c>
      <c r="AK72">
        <f t="shared" si="46"/>
        <v>3.9866656699999994</v>
      </c>
      <c r="AL72">
        <v>53.9</v>
      </c>
      <c r="AM72">
        <f t="shared" si="47"/>
        <v>7.1866648699999995</v>
      </c>
      <c r="AN72">
        <v>61.3</v>
      </c>
      <c r="AO72">
        <f t="shared" si="48"/>
        <v>8.1733312899999984</v>
      </c>
      <c r="AP72">
        <v>60.6</v>
      </c>
      <c r="AQ72">
        <f t="shared" si="49"/>
        <v>8.0799979799999999</v>
      </c>
      <c r="AS72">
        <v>69</v>
      </c>
      <c r="AT72">
        <v>54.4</v>
      </c>
      <c r="AU72">
        <f t="shared" si="50"/>
        <v>7.2533315199999988</v>
      </c>
      <c r="AV72">
        <v>18.8</v>
      </c>
      <c r="AW72">
        <f t="shared" si="51"/>
        <v>2.5066660399999998</v>
      </c>
      <c r="AX72">
        <v>22</v>
      </c>
      <c r="AY72">
        <f t="shared" si="52"/>
        <v>2.9333326</v>
      </c>
      <c r="AZ72">
        <v>21.3</v>
      </c>
      <c r="BA72">
        <f t="shared" si="53"/>
        <v>2.8399992899999997</v>
      </c>
      <c r="BB72">
        <v>39.6</v>
      </c>
      <c r="BC72">
        <f t="shared" si="54"/>
        <v>5.2799986799999994</v>
      </c>
      <c r="BD72">
        <v>37.5</v>
      </c>
      <c r="BE72">
        <f t="shared" si="55"/>
        <v>4.9999987499999996</v>
      </c>
      <c r="BF72">
        <v>34.5</v>
      </c>
      <c r="BG72">
        <f t="shared" si="56"/>
        <v>4.5999988499999995</v>
      </c>
      <c r="BH72">
        <v>58</v>
      </c>
      <c r="BI72">
        <f t="shared" si="57"/>
        <v>7.7333313999999991</v>
      </c>
      <c r="BJ72">
        <v>43</v>
      </c>
      <c r="BK72">
        <f t="shared" si="58"/>
        <v>5.7333318999999996</v>
      </c>
      <c r="BL72">
        <v>27.9</v>
      </c>
      <c r="BM72">
        <f t="shared" si="59"/>
        <v>3.7199990699999996</v>
      </c>
    </row>
    <row r="73" spans="1:65" x14ac:dyDescent="0.35">
      <c r="A73">
        <v>70</v>
      </c>
      <c r="B73">
        <v>21.5</v>
      </c>
      <c r="C73">
        <f t="shared" si="30"/>
        <v>2.8666659499999998</v>
      </c>
      <c r="D73">
        <v>11.5</v>
      </c>
      <c r="E73">
        <f t="shared" si="31"/>
        <v>1.5333329499999999</v>
      </c>
      <c r="F73">
        <v>24.4</v>
      </c>
      <c r="G73">
        <f t="shared" si="32"/>
        <v>3.2533325199999994</v>
      </c>
      <c r="H73">
        <v>18</v>
      </c>
      <c r="I73">
        <f t="shared" si="33"/>
        <v>2.3999993999999996</v>
      </c>
      <c r="J73">
        <v>18.2</v>
      </c>
      <c r="K73">
        <f t="shared" si="34"/>
        <v>2.4266660599999996</v>
      </c>
      <c r="L73">
        <v>31.6</v>
      </c>
      <c r="M73">
        <f t="shared" si="35"/>
        <v>4.2133322799999995</v>
      </c>
      <c r="N73">
        <v>29</v>
      </c>
      <c r="O73">
        <f t="shared" si="36"/>
        <v>3.8666656999999995</v>
      </c>
      <c r="P73">
        <v>85.9</v>
      </c>
      <c r="Q73">
        <f t="shared" si="37"/>
        <v>11.453330469999999</v>
      </c>
      <c r="R73">
        <v>50.1</v>
      </c>
      <c r="S73">
        <f t="shared" si="38"/>
        <v>6.6799983299999992</v>
      </c>
      <c r="T73">
        <v>141.19999999999999</v>
      </c>
      <c r="U73">
        <f t="shared" si="39"/>
        <v>18.826661959999996</v>
      </c>
      <c r="W73">
        <v>70</v>
      </c>
      <c r="X73">
        <v>23.6</v>
      </c>
      <c r="Y73">
        <f t="shared" si="40"/>
        <v>3.14666588</v>
      </c>
      <c r="Z73">
        <v>6.5</v>
      </c>
      <c r="AA73">
        <f t="shared" si="41"/>
        <v>0.86666644999999987</v>
      </c>
      <c r="AB73">
        <v>34.6</v>
      </c>
      <c r="AC73">
        <f t="shared" si="42"/>
        <v>4.6133321799999996</v>
      </c>
      <c r="AD73">
        <v>41.5</v>
      </c>
      <c r="AE73">
        <f t="shared" si="43"/>
        <v>5.5333319499999991</v>
      </c>
      <c r="AF73">
        <v>39.4</v>
      </c>
      <c r="AG73">
        <f t="shared" si="44"/>
        <v>5.2533320199999993</v>
      </c>
      <c r="AH73">
        <v>36.799999999999997</v>
      </c>
      <c r="AI73">
        <f t="shared" si="45"/>
        <v>4.9066654399999994</v>
      </c>
      <c r="AJ73">
        <v>29.7</v>
      </c>
      <c r="AK73">
        <f t="shared" si="46"/>
        <v>3.9599990099999998</v>
      </c>
      <c r="AL73">
        <v>53</v>
      </c>
      <c r="AM73">
        <f t="shared" si="47"/>
        <v>7.0666648999999992</v>
      </c>
      <c r="AN73">
        <v>61.3</v>
      </c>
      <c r="AO73">
        <f t="shared" si="48"/>
        <v>8.1733312899999984</v>
      </c>
      <c r="AP73">
        <v>59.6</v>
      </c>
      <c r="AQ73">
        <f t="shared" si="49"/>
        <v>7.9466646799999996</v>
      </c>
      <c r="AS73">
        <v>70</v>
      </c>
      <c r="AT73">
        <v>54.2</v>
      </c>
      <c r="AU73">
        <f t="shared" si="50"/>
        <v>7.2266648599999996</v>
      </c>
      <c r="AV73">
        <v>18.600000000000001</v>
      </c>
      <c r="AW73">
        <f t="shared" si="51"/>
        <v>2.4799993799999998</v>
      </c>
      <c r="AX73">
        <v>21.9</v>
      </c>
      <c r="AY73">
        <f t="shared" si="52"/>
        <v>2.9199992699999995</v>
      </c>
      <c r="AZ73">
        <v>21.1</v>
      </c>
      <c r="BA73">
        <f t="shared" si="53"/>
        <v>2.8133326300000001</v>
      </c>
      <c r="BB73">
        <v>39.299999999999997</v>
      </c>
      <c r="BC73">
        <f t="shared" si="54"/>
        <v>5.2399986899999993</v>
      </c>
      <c r="BD73">
        <v>37.4</v>
      </c>
      <c r="BE73">
        <f t="shared" si="55"/>
        <v>4.9866654199999996</v>
      </c>
      <c r="BF73">
        <v>34.4</v>
      </c>
      <c r="BG73">
        <f t="shared" si="56"/>
        <v>4.5866655199999995</v>
      </c>
      <c r="BH73">
        <v>57.4</v>
      </c>
      <c r="BI73">
        <f t="shared" si="57"/>
        <v>7.6533314199999989</v>
      </c>
      <c r="BJ73">
        <v>42.9</v>
      </c>
      <c r="BK73">
        <f t="shared" si="58"/>
        <v>5.7199985699999996</v>
      </c>
      <c r="BL73">
        <v>22.7</v>
      </c>
      <c r="BM73">
        <f t="shared" si="59"/>
        <v>3.0266659099999997</v>
      </c>
    </row>
    <row r="74" spans="1:65" x14ac:dyDescent="0.35">
      <c r="A74">
        <v>71</v>
      </c>
      <c r="B74">
        <v>21.5</v>
      </c>
      <c r="C74">
        <f t="shared" si="30"/>
        <v>2.8666659499999998</v>
      </c>
      <c r="D74">
        <v>11.5</v>
      </c>
      <c r="E74">
        <f t="shared" si="31"/>
        <v>1.5333329499999999</v>
      </c>
      <c r="F74">
        <v>24.4</v>
      </c>
      <c r="G74">
        <f t="shared" si="32"/>
        <v>3.2533325199999994</v>
      </c>
      <c r="H74">
        <v>18</v>
      </c>
      <c r="I74">
        <f t="shared" si="33"/>
        <v>2.3999993999999996</v>
      </c>
      <c r="J74">
        <v>18.2</v>
      </c>
      <c r="K74">
        <f t="shared" si="34"/>
        <v>2.4266660599999996</v>
      </c>
      <c r="L74">
        <v>31.4</v>
      </c>
      <c r="M74">
        <f t="shared" si="35"/>
        <v>4.1866656199999994</v>
      </c>
      <c r="N74">
        <v>28.9</v>
      </c>
      <c r="O74">
        <f t="shared" si="36"/>
        <v>3.8533323699999995</v>
      </c>
      <c r="P74">
        <v>85.4</v>
      </c>
      <c r="Q74">
        <f t="shared" si="37"/>
        <v>11.386663819999999</v>
      </c>
      <c r="R74">
        <v>49.3</v>
      </c>
      <c r="S74">
        <f t="shared" si="38"/>
        <v>6.573331689999999</v>
      </c>
      <c r="T74">
        <v>139.6</v>
      </c>
      <c r="U74">
        <f t="shared" si="39"/>
        <v>18.613328679999999</v>
      </c>
      <c r="W74">
        <v>71</v>
      </c>
      <c r="X74">
        <v>23.4</v>
      </c>
      <c r="Y74">
        <f t="shared" si="40"/>
        <v>3.1199992199999995</v>
      </c>
      <c r="Z74">
        <v>6.3</v>
      </c>
      <c r="AA74">
        <f t="shared" si="41"/>
        <v>0.83999978999999991</v>
      </c>
      <c r="AB74">
        <v>34.5</v>
      </c>
      <c r="AC74">
        <f t="shared" si="42"/>
        <v>4.5999988499999995</v>
      </c>
      <c r="AD74">
        <v>41.4</v>
      </c>
      <c r="AE74">
        <f t="shared" si="43"/>
        <v>5.5199986199999991</v>
      </c>
      <c r="AF74">
        <v>39.299999999999997</v>
      </c>
      <c r="AG74">
        <f t="shared" si="44"/>
        <v>5.2399986899999993</v>
      </c>
      <c r="AH74">
        <v>36.9</v>
      </c>
      <c r="AI74">
        <f t="shared" si="45"/>
        <v>4.9199987699999994</v>
      </c>
      <c r="AJ74">
        <v>29.3</v>
      </c>
      <c r="AK74">
        <f t="shared" si="46"/>
        <v>3.9066656899999996</v>
      </c>
      <c r="AL74">
        <v>52.3</v>
      </c>
      <c r="AM74">
        <f t="shared" si="47"/>
        <v>6.973331589999999</v>
      </c>
      <c r="AN74">
        <v>61.3</v>
      </c>
      <c r="AO74">
        <f t="shared" si="48"/>
        <v>8.1733312899999984</v>
      </c>
      <c r="AP74">
        <v>58.6</v>
      </c>
      <c r="AQ74">
        <f t="shared" si="49"/>
        <v>7.8133313799999993</v>
      </c>
      <c r="AS74">
        <v>71</v>
      </c>
      <c r="AT74">
        <v>54.1</v>
      </c>
      <c r="AU74">
        <f t="shared" si="50"/>
        <v>7.2133315299999996</v>
      </c>
      <c r="AV74">
        <v>18.399999999999999</v>
      </c>
      <c r="AW74">
        <f t="shared" si="51"/>
        <v>2.4533327199999997</v>
      </c>
      <c r="AX74">
        <v>21.9</v>
      </c>
      <c r="AY74">
        <f t="shared" si="52"/>
        <v>2.9199992699999995</v>
      </c>
      <c r="AZ74">
        <v>21</v>
      </c>
      <c r="BA74">
        <f t="shared" si="53"/>
        <v>2.7999992999999996</v>
      </c>
      <c r="BB74">
        <v>39.1</v>
      </c>
      <c r="BC74">
        <f t="shared" si="54"/>
        <v>5.2133320300000001</v>
      </c>
      <c r="BD74">
        <v>37.299999999999997</v>
      </c>
      <c r="BE74">
        <f t="shared" si="55"/>
        <v>4.9733320899999995</v>
      </c>
      <c r="BF74">
        <v>34.4</v>
      </c>
      <c r="BG74">
        <f t="shared" si="56"/>
        <v>4.5866655199999995</v>
      </c>
      <c r="BH74">
        <v>56.9</v>
      </c>
      <c r="BI74">
        <f t="shared" si="57"/>
        <v>7.5866647699999987</v>
      </c>
      <c r="BJ74">
        <v>42.7</v>
      </c>
      <c r="BK74">
        <f t="shared" si="58"/>
        <v>5.6933319099999995</v>
      </c>
      <c r="BL74">
        <v>23.7</v>
      </c>
      <c r="BM74">
        <f t="shared" si="59"/>
        <v>3.1599992099999996</v>
      </c>
    </row>
    <row r="75" spans="1:65" x14ac:dyDescent="0.35">
      <c r="A75">
        <v>72</v>
      </c>
      <c r="B75">
        <v>21.5</v>
      </c>
      <c r="C75">
        <f t="shared" si="30"/>
        <v>2.8666659499999998</v>
      </c>
      <c r="D75">
        <v>11.5</v>
      </c>
      <c r="E75">
        <f t="shared" si="31"/>
        <v>1.5333329499999999</v>
      </c>
      <c r="F75">
        <v>24.4</v>
      </c>
      <c r="G75">
        <f t="shared" si="32"/>
        <v>3.2533325199999994</v>
      </c>
      <c r="H75">
        <v>18</v>
      </c>
      <c r="I75">
        <f t="shared" si="33"/>
        <v>2.3999993999999996</v>
      </c>
      <c r="J75">
        <v>18.3</v>
      </c>
      <c r="K75">
        <f t="shared" si="34"/>
        <v>2.4399993899999997</v>
      </c>
      <c r="L75">
        <v>31.1</v>
      </c>
      <c r="M75">
        <f t="shared" si="35"/>
        <v>4.1466656300000002</v>
      </c>
      <c r="N75">
        <v>28.9</v>
      </c>
      <c r="O75">
        <f t="shared" si="36"/>
        <v>3.8533323699999995</v>
      </c>
      <c r="P75">
        <v>85.1</v>
      </c>
      <c r="Q75">
        <f t="shared" si="37"/>
        <v>11.346663829999999</v>
      </c>
      <c r="R75">
        <v>48.6</v>
      </c>
      <c r="S75">
        <f t="shared" si="38"/>
        <v>6.4799983799999996</v>
      </c>
      <c r="T75">
        <v>138.19999999999999</v>
      </c>
      <c r="U75">
        <f t="shared" si="39"/>
        <v>18.426662059999998</v>
      </c>
      <c r="W75">
        <v>72</v>
      </c>
      <c r="X75">
        <v>23.2</v>
      </c>
      <c r="Y75">
        <f t="shared" si="40"/>
        <v>3.0933325599999995</v>
      </c>
      <c r="Z75">
        <v>6.2</v>
      </c>
      <c r="AA75">
        <f t="shared" si="41"/>
        <v>0.82666645999999999</v>
      </c>
      <c r="AB75">
        <v>34.5</v>
      </c>
      <c r="AC75">
        <f t="shared" si="42"/>
        <v>4.5999988499999995</v>
      </c>
      <c r="AD75">
        <v>41.2</v>
      </c>
      <c r="AE75">
        <f t="shared" si="43"/>
        <v>5.4933319599999999</v>
      </c>
      <c r="AF75">
        <v>39.200000000000003</v>
      </c>
      <c r="AG75">
        <f t="shared" si="44"/>
        <v>5.2266653600000001</v>
      </c>
      <c r="AH75">
        <v>36.9</v>
      </c>
      <c r="AI75">
        <f t="shared" si="45"/>
        <v>4.9199987699999994</v>
      </c>
      <c r="AJ75">
        <v>28.9</v>
      </c>
      <c r="AK75">
        <f t="shared" si="46"/>
        <v>3.8533323699999995</v>
      </c>
      <c r="AL75">
        <v>51.9</v>
      </c>
      <c r="AM75">
        <f t="shared" si="47"/>
        <v>6.9199982699999989</v>
      </c>
      <c r="AN75">
        <v>61.3</v>
      </c>
      <c r="AO75">
        <f t="shared" si="48"/>
        <v>8.1733312899999984</v>
      </c>
      <c r="AP75">
        <v>57.7</v>
      </c>
      <c r="AQ75">
        <f t="shared" si="49"/>
        <v>7.6933314099999999</v>
      </c>
      <c r="AS75">
        <v>72</v>
      </c>
      <c r="AT75">
        <v>54.1</v>
      </c>
      <c r="AU75">
        <f t="shared" si="50"/>
        <v>7.2133315299999996</v>
      </c>
      <c r="AV75">
        <v>18.3</v>
      </c>
      <c r="AW75">
        <f t="shared" si="51"/>
        <v>2.4399993899999997</v>
      </c>
      <c r="AX75">
        <v>21.9</v>
      </c>
      <c r="AY75">
        <f t="shared" si="52"/>
        <v>2.9199992699999995</v>
      </c>
      <c r="AZ75">
        <v>20.8</v>
      </c>
      <c r="BA75">
        <f t="shared" si="53"/>
        <v>2.77333264</v>
      </c>
      <c r="BB75">
        <v>38.9</v>
      </c>
      <c r="BC75">
        <f t="shared" si="54"/>
        <v>5.1866653699999992</v>
      </c>
      <c r="BD75">
        <v>37.299999999999997</v>
      </c>
      <c r="BE75">
        <f t="shared" si="55"/>
        <v>4.9733320899999995</v>
      </c>
      <c r="BF75">
        <v>34.299999999999997</v>
      </c>
      <c r="BG75">
        <f t="shared" si="56"/>
        <v>4.5733321899999995</v>
      </c>
      <c r="BH75">
        <v>56.4</v>
      </c>
      <c r="BI75">
        <f t="shared" si="57"/>
        <v>7.5199981199999995</v>
      </c>
      <c r="BJ75">
        <v>42.6</v>
      </c>
      <c r="BK75">
        <f t="shared" si="58"/>
        <v>5.6799985799999995</v>
      </c>
      <c r="BL75">
        <v>24.3</v>
      </c>
      <c r="BM75">
        <f t="shared" si="59"/>
        <v>3.2399991899999998</v>
      </c>
    </row>
    <row r="76" spans="1:65" x14ac:dyDescent="0.35">
      <c r="A76">
        <v>73</v>
      </c>
      <c r="B76">
        <v>21.5</v>
      </c>
      <c r="C76">
        <f t="shared" si="30"/>
        <v>2.8666659499999998</v>
      </c>
      <c r="D76">
        <v>11.5</v>
      </c>
      <c r="E76">
        <f t="shared" si="31"/>
        <v>1.5333329499999999</v>
      </c>
      <c r="F76">
        <v>24.5</v>
      </c>
      <c r="G76">
        <f t="shared" si="32"/>
        <v>3.2666658499999999</v>
      </c>
      <c r="H76">
        <v>18</v>
      </c>
      <c r="I76">
        <f t="shared" si="33"/>
        <v>2.3999993999999996</v>
      </c>
      <c r="J76">
        <v>18.3</v>
      </c>
      <c r="K76">
        <f t="shared" si="34"/>
        <v>2.4399993899999997</v>
      </c>
      <c r="L76">
        <v>30.9</v>
      </c>
      <c r="M76">
        <f t="shared" si="35"/>
        <v>4.1199989699999993</v>
      </c>
      <c r="N76">
        <v>28.8</v>
      </c>
      <c r="O76">
        <f t="shared" si="36"/>
        <v>3.8399990399999999</v>
      </c>
      <c r="P76">
        <v>84.8</v>
      </c>
      <c r="Q76">
        <f t="shared" si="37"/>
        <v>11.306663839999999</v>
      </c>
      <c r="R76">
        <v>48</v>
      </c>
      <c r="S76">
        <f t="shared" si="38"/>
        <v>6.3999983999999994</v>
      </c>
      <c r="T76">
        <v>137</v>
      </c>
      <c r="U76">
        <f t="shared" si="39"/>
        <v>18.266662099999998</v>
      </c>
      <c r="W76">
        <v>73</v>
      </c>
      <c r="X76">
        <v>23.1</v>
      </c>
      <c r="Y76">
        <f t="shared" si="40"/>
        <v>3.0799992299999999</v>
      </c>
      <c r="Z76">
        <v>6.1</v>
      </c>
      <c r="AA76">
        <f t="shared" si="41"/>
        <v>0.81333312999999985</v>
      </c>
      <c r="AB76">
        <v>34.4</v>
      </c>
      <c r="AC76">
        <f t="shared" si="42"/>
        <v>4.5866655199999995</v>
      </c>
      <c r="AD76">
        <v>41.1</v>
      </c>
      <c r="AE76">
        <f t="shared" si="43"/>
        <v>5.4799986299999999</v>
      </c>
      <c r="AF76">
        <v>39.200000000000003</v>
      </c>
      <c r="AG76">
        <f t="shared" si="44"/>
        <v>5.2266653600000001</v>
      </c>
      <c r="AH76">
        <v>37</v>
      </c>
      <c r="AI76">
        <f t="shared" si="45"/>
        <v>4.9333320999999994</v>
      </c>
      <c r="AJ76">
        <v>28.6</v>
      </c>
      <c r="AK76">
        <f t="shared" si="46"/>
        <v>3.8133323799999999</v>
      </c>
      <c r="AL76">
        <v>51.7</v>
      </c>
      <c r="AM76">
        <f t="shared" si="47"/>
        <v>6.8933316099999997</v>
      </c>
      <c r="AN76">
        <v>61.4</v>
      </c>
      <c r="AO76">
        <f t="shared" si="48"/>
        <v>8.1866646199999984</v>
      </c>
      <c r="AP76">
        <v>57</v>
      </c>
      <c r="AQ76">
        <f t="shared" si="49"/>
        <v>7.5999980999999996</v>
      </c>
      <c r="AS76">
        <v>73</v>
      </c>
      <c r="AT76">
        <v>54</v>
      </c>
      <c r="AU76">
        <f t="shared" si="50"/>
        <v>7.1999981999999996</v>
      </c>
      <c r="AV76">
        <v>18.100000000000001</v>
      </c>
      <c r="AW76">
        <f t="shared" si="51"/>
        <v>2.41333273</v>
      </c>
      <c r="AX76">
        <v>21.8</v>
      </c>
      <c r="AY76">
        <f t="shared" si="52"/>
        <v>2.9066659399999999</v>
      </c>
      <c r="AZ76">
        <v>20.8</v>
      </c>
      <c r="BA76">
        <f t="shared" si="53"/>
        <v>2.77333264</v>
      </c>
      <c r="BB76">
        <v>38.799999999999997</v>
      </c>
      <c r="BC76">
        <f t="shared" si="54"/>
        <v>5.1733320399999991</v>
      </c>
      <c r="BD76">
        <v>37.200000000000003</v>
      </c>
      <c r="BE76">
        <f t="shared" si="55"/>
        <v>4.9599987599999995</v>
      </c>
      <c r="BF76">
        <v>34.200000000000003</v>
      </c>
      <c r="BG76">
        <f t="shared" si="56"/>
        <v>4.5599988600000003</v>
      </c>
      <c r="BH76">
        <v>56</v>
      </c>
      <c r="BI76">
        <f t="shared" si="57"/>
        <v>7.4666647999999993</v>
      </c>
      <c r="BJ76">
        <v>42.4</v>
      </c>
      <c r="BK76">
        <f t="shared" si="58"/>
        <v>5.6533319199999994</v>
      </c>
      <c r="BL76">
        <v>24.6</v>
      </c>
      <c r="BM76">
        <f t="shared" si="59"/>
        <v>3.2799991799999999</v>
      </c>
    </row>
    <row r="77" spans="1:65" x14ac:dyDescent="0.35">
      <c r="A77">
        <v>74</v>
      </c>
      <c r="B77">
        <v>21.5</v>
      </c>
      <c r="C77">
        <f t="shared" si="30"/>
        <v>2.8666659499999998</v>
      </c>
      <c r="D77">
        <v>11.5</v>
      </c>
      <c r="E77">
        <f t="shared" si="31"/>
        <v>1.5333329499999999</v>
      </c>
      <c r="F77">
        <v>24.5</v>
      </c>
      <c r="G77">
        <f t="shared" si="32"/>
        <v>3.2666658499999999</v>
      </c>
      <c r="H77">
        <v>18</v>
      </c>
      <c r="I77">
        <f t="shared" si="33"/>
        <v>2.3999993999999996</v>
      </c>
      <c r="J77">
        <v>18.3</v>
      </c>
      <c r="K77">
        <f t="shared" si="34"/>
        <v>2.4399993899999997</v>
      </c>
      <c r="L77">
        <v>30.7</v>
      </c>
      <c r="M77">
        <f t="shared" si="35"/>
        <v>4.0933323099999992</v>
      </c>
      <c r="N77">
        <v>28.7</v>
      </c>
      <c r="O77">
        <f t="shared" si="36"/>
        <v>3.8266657099999994</v>
      </c>
      <c r="P77">
        <v>84.6</v>
      </c>
      <c r="Q77">
        <f t="shared" si="37"/>
        <v>11.279997179999999</v>
      </c>
      <c r="R77">
        <v>47.5</v>
      </c>
      <c r="S77">
        <f t="shared" si="38"/>
        <v>6.3333317499999993</v>
      </c>
      <c r="T77">
        <v>136.1</v>
      </c>
      <c r="U77">
        <f t="shared" si="39"/>
        <v>18.146662129999999</v>
      </c>
      <c r="W77">
        <v>74</v>
      </c>
      <c r="X77">
        <v>23</v>
      </c>
      <c r="Y77">
        <f t="shared" si="40"/>
        <v>3.0666658999999998</v>
      </c>
      <c r="Z77">
        <v>5.9</v>
      </c>
      <c r="AA77">
        <f t="shared" si="41"/>
        <v>0.78666647000000001</v>
      </c>
      <c r="AB77">
        <v>34.4</v>
      </c>
      <c r="AC77">
        <f t="shared" si="42"/>
        <v>4.5866655199999995</v>
      </c>
      <c r="AD77">
        <v>41</v>
      </c>
      <c r="AE77">
        <f t="shared" si="43"/>
        <v>5.4666652999999998</v>
      </c>
      <c r="AF77">
        <v>39.1</v>
      </c>
      <c r="AG77">
        <f t="shared" si="44"/>
        <v>5.2133320300000001</v>
      </c>
      <c r="AH77">
        <v>37.1</v>
      </c>
      <c r="AI77">
        <f t="shared" si="45"/>
        <v>4.9466654299999995</v>
      </c>
      <c r="AJ77">
        <v>28.3</v>
      </c>
      <c r="AK77">
        <f t="shared" si="46"/>
        <v>3.7733323899999998</v>
      </c>
      <c r="AL77">
        <v>51.6</v>
      </c>
      <c r="AM77">
        <f t="shared" si="47"/>
        <v>6.8799982799999997</v>
      </c>
      <c r="AN77">
        <v>61.3</v>
      </c>
      <c r="AO77">
        <f t="shared" si="48"/>
        <v>8.1733312899999984</v>
      </c>
      <c r="AP77">
        <v>56.4</v>
      </c>
      <c r="AQ77">
        <f t="shared" si="49"/>
        <v>7.5199981199999995</v>
      </c>
      <c r="AS77">
        <v>74</v>
      </c>
      <c r="AT77">
        <v>53.9</v>
      </c>
      <c r="AU77">
        <f t="shared" si="50"/>
        <v>7.1866648699999995</v>
      </c>
      <c r="AV77">
        <v>18</v>
      </c>
      <c r="AW77">
        <f t="shared" si="51"/>
        <v>2.3999993999999996</v>
      </c>
      <c r="AX77">
        <v>21.8</v>
      </c>
      <c r="AY77">
        <f t="shared" si="52"/>
        <v>2.9066659399999999</v>
      </c>
      <c r="AZ77">
        <v>20.7</v>
      </c>
      <c r="BA77">
        <f t="shared" si="53"/>
        <v>2.7599993099999995</v>
      </c>
      <c r="BB77">
        <v>38.6</v>
      </c>
      <c r="BC77">
        <f t="shared" si="54"/>
        <v>5.14666538</v>
      </c>
      <c r="BD77">
        <v>37.200000000000003</v>
      </c>
      <c r="BE77">
        <f t="shared" si="55"/>
        <v>4.9599987599999995</v>
      </c>
      <c r="BF77">
        <v>34.200000000000003</v>
      </c>
      <c r="BG77">
        <f t="shared" si="56"/>
        <v>4.5599988600000003</v>
      </c>
      <c r="BH77">
        <v>55.5</v>
      </c>
      <c r="BI77">
        <f t="shared" si="57"/>
        <v>7.3999981499999992</v>
      </c>
      <c r="BJ77">
        <v>42.3</v>
      </c>
      <c r="BK77">
        <f t="shared" si="58"/>
        <v>5.6399985899999994</v>
      </c>
      <c r="BL77">
        <v>24.9</v>
      </c>
      <c r="BM77">
        <f t="shared" si="59"/>
        <v>3.3199991699999996</v>
      </c>
    </row>
    <row r="78" spans="1:65" x14ac:dyDescent="0.35">
      <c r="A78">
        <v>75</v>
      </c>
      <c r="B78">
        <v>21.4</v>
      </c>
      <c r="C78">
        <f t="shared" si="30"/>
        <v>2.8533326199999998</v>
      </c>
      <c r="D78">
        <v>11.5</v>
      </c>
      <c r="E78">
        <f t="shared" si="31"/>
        <v>1.5333329499999999</v>
      </c>
      <c r="F78">
        <v>24.6</v>
      </c>
      <c r="G78">
        <f t="shared" si="32"/>
        <v>3.2799991799999999</v>
      </c>
      <c r="H78">
        <v>18</v>
      </c>
      <c r="I78">
        <f t="shared" si="33"/>
        <v>2.3999993999999996</v>
      </c>
      <c r="J78">
        <v>18.399999999999999</v>
      </c>
      <c r="K78">
        <f t="shared" si="34"/>
        <v>2.4533327199999997</v>
      </c>
      <c r="L78">
        <v>30.5</v>
      </c>
      <c r="M78">
        <f t="shared" si="35"/>
        <v>4.06666565</v>
      </c>
      <c r="N78">
        <v>28.7</v>
      </c>
      <c r="O78">
        <f t="shared" si="36"/>
        <v>3.8266657099999994</v>
      </c>
      <c r="P78">
        <v>84.4</v>
      </c>
      <c r="Q78">
        <f t="shared" si="37"/>
        <v>11.25333052</v>
      </c>
      <c r="R78">
        <v>47</v>
      </c>
      <c r="S78">
        <f t="shared" si="38"/>
        <v>6.2666650999999991</v>
      </c>
      <c r="T78">
        <v>135.30000000000001</v>
      </c>
      <c r="U78">
        <f t="shared" si="39"/>
        <v>18.039995489999999</v>
      </c>
      <c r="W78">
        <v>75</v>
      </c>
      <c r="X78">
        <v>22.9</v>
      </c>
      <c r="Y78">
        <f t="shared" si="40"/>
        <v>3.0533325699999994</v>
      </c>
      <c r="Z78">
        <v>5.8</v>
      </c>
      <c r="AA78">
        <f t="shared" si="41"/>
        <v>0.77333313999999986</v>
      </c>
      <c r="AB78">
        <v>34.4</v>
      </c>
      <c r="AC78">
        <f t="shared" si="42"/>
        <v>4.5866655199999995</v>
      </c>
      <c r="AD78">
        <v>40.9</v>
      </c>
      <c r="AE78">
        <f t="shared" si="43"/>
        <v>5.4533319699999989</v>
      </c>
      <c r="AF78">
        <v>39</v>
      </c>
      <c r="AG78">
        <f t="shared" si="44"/>
        <v>5.1999986999999992</v>
      </c>
      <c r="AH78">
        <v>37.200000000000003</v>
      </c>
      <c r="AI78">
        <f t="shared" si="45"/>
        <v>4.9599987599999995</v>
      </c>
      <c r="AJ78">
        <v>28</v>
      </c>
      <c r="AK78">
        <f t="shared" si="46"/>
        <v>3.7333323999999997</v>
      </c>
      <c r="AL78">
        <v>51.5</v>
      </c>
      <c r="AM78">
        <f t="shared" si="47"/>
        <v>6.8666649499999997</v>
      </c>
      <c r="AN78">
        <v>61.3</v>
      </c>
      <c r="AO78">
        <f t="shared" si="48"/>
        <v>8.1733312899999984</v>
      </c>
      <c r="AP78">
        <v>55.8</v>
      </c>
      <c r="AQ78">
        <f t="shared" si="49"/>
        <v>7.4399981399999993</v>
      </c>
      <c r="AS78">
        <v>75</v>
      </c>
      <c r="AT78">
        <v>53.8</v>
      </c>
      <c r="AU78">
        <f t="shared" si="50"/>
        <v>7.1733315399999986</v>
      </c>
      <c r="AV78">
        <v>17.899999999999999</v>
      </c>
      <c r="AW78">
        <f t="shared" si="51"/>
        <v>2.3866660699999995</v>
      </c>
      <c r="AX78">
        <v>21.8</v>
      </c>
      <c r="AY78">
        <f t="shared" si="52"/>
        <v>2.9066659399999999</v>
      </c>
      <c r="AZ78">
        <v>20.6</v>
      </c>
      <c r="BA78">
        <f t="shared" si="53"/>
        <v>2.74666598</v>
      </c>
      <c r="BB78">
        <v>38.5</v>
      </c>
      <c r="BC78">
        <f t="shared" si="54"/>
        <v>5.1333320499999999</v>
      </c>
      <c r="BD78">
        <v>37.1</v>
      </c>
      <c r="BE78">
        <f t="shared" si="55"/>
        <v>4.9466654299999995</v>
      </c>
      <c r="BF78">
        <v>34.1</v>
      </c>
      <c r="BG78">
        <f t="shared" si="56"/>
        <v>4.5466655299999994</v>
      </c>
      <c r="BH78">
        <v>55.2</v>
      </c>
      <c r="BI78">
        <f t="shared" si="57"/>
        <v>7.35999816</v>
      </c>
      <c r="BJ78">
        <v>42.2</v>
      </c>
      <c r="BK78">
        <f t="shared" si="58"/>
        <v>5.6266652600000002</v>
      </c>
      <c r="BL78">
        <v>25.1</v>
      </c>
      <c r="BM78">
        <f t="shared" si="59"/>
        <v>3.3466658300000001</v>
      </c>
    </row>
    <row r="79" spans="1:65" x14ac:dyDescent="0.35">
      <c r="A79">
        <v>76</v>
      </c>
      <c r="B79">
        <v>21.5</v>
      </c>
      <c r="C79">
        <f t="shared" si="30"/>
        <v>2.8666659499999998</v>
      </c>
      <c r="D79">
        <v>11.6</v>
      </c>
      <c r="E79">
        <f t="shared" si="31"/>
        <v>1.5466662799999997</v>
      </c>
      <c r="F79">
        <v>24.6</v>
      </c>
      <c r="G79">
        <f t="shared" si="32"/>
        <v>3.2799991799999999</v>
      </c>
      <c r="H79">
        <v>18</v>
      </c>
      <c r="I79">
        <f t="shared" si="33"/>
        <v>2.3999993999999996</v>
      </c>
      <c r="J79">
        <v>18.5</v>
      </c>
      <c r="K79">
        <f t="shared" si="34"/>
        <v>2.4666660499999997</v>
      </c>
      <c r="L79">
        <v>30.3</v>
      </c>
      <c r="M79">
        <f t="shared" si="35"/>
        <v>4.03999899</v>
      </c>
      <c r="N79">
        <v>28.7</v>
      </c>
      <c r="O79">
        <f t="shared" si="36"/>
        <v>3.8266657099999994</v>
      </c>
      <c r="P79">
        <v>84.2</v>
      </c>
      <c r="Q79">
        <f t="shared" si="37"/>
        <v>11.226663859999999</v>
      </c>
      <c r="R79">
        <v>46.7</v>
      </c>
      <c r="S79">
        <f t="shared" si="38"/>
        <v>6.2266651099999999</v>
      </c>
      <c r="T79">
        <v>134.5</v>
      </c>
      <c r="U79">
        <f t="shared" si="39"/>
        <v>17.933328849999999</v>
      </c>
      <c r="W79">
        <v>76</v>
      </c>
      <c r="X79">
        <v>22.7</v>
      </c>
      <c r="Y79">
        <f t="shared" si="40"/>
        <v>3.0266659099999997</v>
      </c>
      <c r="Z79">
        <v>5.7</v>
      </c>
      <c r="AA79">
        <f t="shared" si="41"/>
        <v>0.75999980999999994</v>
      </c>
      <c r="AB79">
        <v>34.299999999999997</v>
      </c>
      <c r="AC79">
        <f t="shared" si="42"/>
        <v>4.5733321899999995</v>
      </c>
      <c r="AD79">
        <v>40.799999999999997</v>
      </c>
      <c r="AE79">
        <f t="shared" si="43"/>
        <v>5.4399986399999989</v>
      </c>
      <c r="AF79">
        <v>39</v>
      </c>
      <c r="AG79">
        <f t="shared" si="44"/>
        <v>5.1999986999999992</v>
      </c>
      <c r="AH79">
        <v>37.4</v>
      </c>
      <c r="AI79">
        <f t="shared" si="45"/>
        <v>4.9866654199999996</v>
      </c>
      <c r="AJ79">
        <v>27.8</v>
      </c>
      <c r="AK79">
        <f t="shared" si="46"/>
        <v>3.7066657399999996</v>
      </c>
      <c r="AL79">
        <v>51.4</v>
      </c>
      <c r="AM79">
        <f t="shared" si="47"/>
        <v>6.8533316199999996</v>
      </c>
      <c r="AN79">
        <v>61.3</v>
      </c>
      <c r="AO79">
        <f t="shared" si="48"/>
        <v>8.1733312899999984</v>
      </c>
      <c r="AP79">
        <v>55.3</v>
      </c>
      <c r="AQ79">
        <f t="shared" si="49"/>
        <v>7.3733314899999991</v>
      </c>
      <c r="AS79">
        <v>76</v>
      </c>
      <c r="AT79">
        <v>53.8</v>
      </c>
      <c r="AU79">
        <f t="shared" si="50"/>
        <v>7.1733315399999986</v>
      </c>
      <c r="AV79">
        <v>17.8</v>
      </c>
      <c r="AW79">
        <f t="shared" si="51"/>
        <v>2.3733327399999999</v>
      </c>
      <c r="AX79">
        <v>21.7</v>
      </c>
      <c r="AY79">
        <f t="shared" si="52"/>
        <v>2.8933326099999999</v>
      </c>
      <c r="AZ79">
        <v>20.5</v>
      </c>
      <c r="BA79">
        <f t="shared" si="53"/>
        <v>2.7333326499999999</v>
      </c>
      <c r="BB79">
        <v>38.299999999999997</v>
      </c>
      <c r="BC79">
        <f t="shared" si="54"/>
        <v>5.106665389999999</v>
      </c>
      <c r="BD79">
        <v>37.1</v>
      </c>
      <c r="BE79">
        <f t="shared" si="55"/>
        <v>4.9466654299999995</v>
      </c>
      <c r="BF79">
        <v>34.1</v>
      </c>
      <c r="BG79">
        <f t="shared" si="56"/>
        <v>4.5466655299999994</v>
      </c>
      <c r="BH79">
        <v>54.8</v>
      </c>
      <c r="BI79">
        <f t="shared" si="57"/>
        <v>7.3066648399999989</v>
      </c>
      <c r="BJ79">
        <v>42.1</v>
      </c>
      <c r="BK79">
        <f t="shared" si="58"/>
        <v>5.6133319299999993</v>
      </c>
      <c r="BL79">
        <v>25.3</v>
      </c>
      <c r="BM79">
        <f t="shared" si="59"/>
        <v>3.3733324899999997</v>
      </c>
    </row>
    <row r="80" spans="1:65" x14ac:dyDescent="0.35">
      <c r="A80">
        <v>77</v>
      </c>
      <c r="B80">
        <v>21.4</v>
      </c>
      <c r="C80">
        <f t="shared" si="30"/>
        <v>2.8533326199999998</v>
      </c>
      <c r="D80">
        <v>11.6</v>
      </c>
      <c r="E80">
        <f t="shared" si="31"/>
        <v>1.5466662799999997</v>
      </c>
      <c r="F80">
        <v>24.6</v>
      </c>
      <c r="G80">
        <f t="shared" si="32"/>
        <v>3.2799991799999999</v>
      </c>
      <c r="H80">
        <v>18.100000000000001</v>
      </c>
      <c r="I80">
        <f t="shared" si="33"/>
        <v>2.41333273</v>
      </c>
      <c r="J80">
        <v>18.5</v>
      </c>
      <c r="K80">
        <f t="shared" si="34"/>
        <v>2.4666660499999997</v>
      </c>
      <c r="L80">
        <v>30.1</v>
      </c>
      <c r="M80">
        <f t="shared" si="35"/>
        <v>4.0133323299999999</v>
      </c>
      <c r="N80">
        <v>28.6</v>
      </c>
      <c r="O80">
        <f t="shared" si="36"/>
        <v>3.8133323799999999</v>
      </c>
      <c r="P80">
        <v>84</v>
      </c>
      <c r="Q80">
        <f t="shared" si="37"/>
        <v>11.199997199999999</v>
      </c>
      <c r="R80">
        <v>46.4</v>
      </c>
      <c r="S80">
        <f t="shared" si="38"/>
        <v>6.1866651199999989</v>
      </c>
      <c r="T80">
        <v>133.80000000000001</v>
      </c>
      <c r="U80">
        <f t="shared" si="39"/>
        <v>17.83999554</v>
      </c>
      <c r="W80">
        <v>77</v>
      </c>
      <c r="X80">
        <v>22.6</v>
      </c>
      <c r="Y80">
        <f t="shared" si="40"/>
        <v>3.0133325799999997</v>
      </c>
      <c r="Z80">
        <v>5.6</v>
      </c>
      <c r="AA80">
        <f t="shared" si="41"/>
        <v>0.74666647999999991</v>
      </c>
      <c r="AB80">
        <v>34.299999999999997</v>
      </c>
      <c r="AC80">
        <f t="shared" si="42"/>
        <v>4.5733321899999995</v>
      </c>
      <c r="AD80">
        <v>40.700000000000003</v>
      </c>
      <c r="AE80">
        <f t="shared" si="43"/>
        <v>5.4266653099999997</v>
      </c>
      <c r="AF80">
        <v>39</v>
      </c>
      <c r="AG80">
        <f t="shared" si="44"/>
        <v>5.1999986999999992</v>
      </c>
      <c r="AH80">
        <v>37.5</v>
      </c>
      <c r="AI80">
        <f t="shared" si="45"/>
        <v>4.9999987499999996</v>
      </c>
      <c r="AJ80">
        <v>27.5</v>
      </c>
      <c r="AK80">
        <f t="shared" si="46"/>
        <v>3.6666657499999995</v>
      </c>
      <c r="AL80">
        <v>51.3</v>
      </c>
      <c r="AM80">
        <f t="shared" si="47"/>
        <v>6.8399982899999987</v>
      </c>
      <c r="AN80">
        <v>61.3</v>
      </c>
      <c r="AO80">
        <f t="shared" si="48"/>
        <v>8.1733312899999984</v>
      </c>
      <c r="AP80">
        <v>54.9</v>
      </c>
      <c r="AQ80">
        <f t="shared" si="49"/>
        <v>7.319998169999999</v>
      </c>
      <c r="AS80">
        <v>77</v>
      </c>
      <c r="AT80">
        <v>53.7</v>
      </c>
      <c r="AU80">
        <f t="shared" si="50"/>
        <v>7.1599982099999995</v>
      </c>
      <c r="AV80">
        <v>17.7</v>
      </c>
      <c r="AW80">
        <f t="shared" si="51"/>
        <v>2.3599994099999999</v>
      </c>
      <c r="AX80">
        <v>21.7</v>
      </c>
      <c r="AY80">
        <f t="shared" si="52"/>
        <v>2.8933326099999999</v>
      </c>
      <c r="AZ80">
        <v>20.5</v>
      </c>
      <c r="BA80">
        <f t="shared" si="53"/>
        <v>2.7333326499999999</v>
      </c>
      <c r="BB80">
        <v>38.200000000000003</v>
      </c>
      <c r="BC80">
        <f t="shared" si="54"/>
        <v>5.0933320599999998</v>
      </c>
      <c r="BD80">
        <v>37.1</v>
      </c>
      <c r="BE80">
        <f t="shared" si="55"/>
        <v>4.9466654299999995</v>
      </c>
      <c r="BF80">
        <v>34.1</v>
      </c>
      <c r="BG80">
        <f t="shared" si="56"/>
        <v>4.5466655299999994</v>
      </c>
      <c r="BH80">
        <v>54.5</v>
      </c>
      <c r="BI80">
        <f t="shared" si="57"/>
        <v>7.2666648499999997</v>
      </c>
      <c r="BJ80">
        <v>42</v>
      </c>
      <c r="BK80">
        <f t="shared" si="58"/>
        <v>5.5999985999999993</v>
      </c>
      <c r="BL80">
        <v>25.4</v>
      </c>
      <c r="BM80">
        <f t="shared" si="59"/>
        <v>3.3866658199999997</v>
      </c>
    </row>
    <row r="81" spans="1:65" x14ac:dyDescent="0.35">
      <c r="A81">
        <v>78</v>
      </c>
      <c r="B81">
        <v>21.4</v>
      </c>
      <c r="C81">
        <f t="shared" si="30"/>
        <v>2.8533326199999998</v>
      </c>
      <c r="D81">
        <v>11.6</v>
      </c>
      <c r="E81">
        <f t="shared" si="31"/>
        <v>1.5466662799999997</v>
      </c>
      <c r="F81">
        <v>24.7</v>
      </c>
      <c r="G81">
        <f t="shared" si="32"/>
        <v>3.2933325099999995</v>
      </c>
      <c r="H81">
        <v>18.100000000000001</v>
      </c>
      <c r="I81">
        <f t="shared" si="33"/>
        <v>2.41333273</v>
      </c>
      <c r="J81">
        <v>18.600000000000001</v>
      </c>
      <c r="K81">
        <f t="shared" si="34"/>
        <v>2.4799993799999998</v>
      </c>
      <c r="L81">
        <v>30</v>
      </c>
      <c r="M81">
        <f t="shared" si="35"/>
        <v>3.9999989999999999</v>
      </c>
      <c r="N81">
        <v>28.6</v>
      </c>
      <c r="O81">
        <f t="shared" si="36"/>
        <v>3.8133323799999999</v>
      </c>
      <c r="P81">
        <v>83.9</v>
      </c>
      <c r="Q81">
        <f t="shared" si="37"/>
        <v>11.18666387</v>
      </c>
      <c r="R81">
        <v>46.1</v>
      </c>
      <c r="S81">
        <f t="shared" si="38"/>
        <v>6.1466651299999997</v>
      </c>
      <c r="T81">
        <v>133.19999999999999</v>
      </c>
      <c r="U81">
        <f t="shared" si="39"/>
        <v>17.759995559999997</v>
      </c>
      <c r="W81">
        <v>78</v>
      </c>
      <c r="X81">
        <v>22.5</v>
      </c>
      <c r="Y81">
        <f t="shared" si="40"/>
        <v>2.9999992499999997</v>
      </c>
      <c r="Z81">
        <v>5.5</v>
      </c>
      <c r="AA81">
        <f t="shared" si="41"/>
        <v>0.73333314999999999</v>
      </c>
      <c r="AB81">
        <v>34.299999999999997</v>
      </c>
      <c r="AC81">
        <f t="shared" si="42"/>
        <v>4.5733321899999995</v>
      </c>
      <c r="AD81">
        <v>40.700000000000003</v>
      </c>
      <c r="AE81">
        <f t="shared" si="43"/>
        <v>5.4266653099999997</v>
      </c>
      <c r="AF81">
        <v>38.9</v>
      </c>
      <c r="AG81">
        <f t="shared" si="44"/>
        <v>5.1866653699999992</v>
      </c>
      <c r="AH81">
        <v>37.6</v>
      </c>
      <c r="AI81">
        <f t="shared" si="45"/>
        <v>5.0133320799999996</v>
      </c>
      <c r="AJ81">
        <v>27.3</v>
      </c>
      <c r="AK81">
        <f t="shared" si="46"/>
        <v>3.6399990899999999</v>
      </c>
      <c r="AL81">
        <v>51.2</v>
      </c>
      <c r="AM81">
        <f t="shared" si="47"/>
        <v>6.8266649599999996</v>
      </c>
      <c r="AN81">
        <v>61.2</v>
      </c>
      <c r="AO81">
        <f t="shared" si="48"/>
        <v>8.1599979600000001</v>
      </c>
      <c r="AP81">
        <v>54.5</v>
      </c>
      <c r="AQ81">
        <f t="shared" si="49"/>
        <v>7.2666648499999997</v>
      </c>
      <c r="AS81">
        <v>78</v>
      </c>
      <c r="AT81">
        <v>53.7</v>
      </c>
      <c r="AU81">
        <f t="shared" si="50"/>
        <v>7.1599982099999995</v>
      </c>
      <c r="AV81">
        <v>17.7</v>
      </c>
      <c r="AW81">
        <f t="shared" si="51"/>
        <v>2.3599994099999999</v>
      </c>
      <c r="AX81">
        <v>21.7</v>
      </c>
      <c r="AY81">
        <f t="shared" si="52"/>
        <v>2.8933326099999999</v>
      </c>
      <c r="AZ81">
        <v>20.399999999999999</v>
      </c>
      <c r="BA81">
        <f t="shared" si="53"/>
        <v>2.7199993199999994</v>
      </c>
      <c r="BB81">
        <v>38.1</v>
      </c>
      <c r="BC81">
        <f t="shared" si="54"/>
        <v>5.0799987299999998</v>
      </c>
      <c r="BD81">
        <v>37</v>
      </c>
      <c r="BE81">
        <f t="shared" si="55"/>
        <v>4.9333320999999994</v>
      </c>
      <c r="BF81">
        <v>34</v>
      </c>
      <c r="BG81">
        <f t="shared" si="56"/>
        <v>4.5333321999999994</v>
      </c>
      <c r="BH81">
        <v>54.2</v>
      </c>
      <c r="BI81">
        <f t="shared" si="57"/>
        <v>7.2266648599999996</v>
      </c>
      <c r="BJ81">
        <v>41.9</v>
      </c>
      <c r="BK81">
        <f t="shared" si="58"/>
        <v>5.5866652699999992</v>
      </c>
      <c r="BL81">
        <v>25.6</v>
      </c>
      <c r="BM81">
        <f t="shared" si="59"/>
        <v>3.4133324799999998</v>
      </c>
    </row>
    <row r="82" spans="1:65" x14ac:dyDescent="0.35">
      <c r="A82">
        <v>79</v>
      </c>
      <c r="B82">
        <v>21.5</v>
      </c>
      <c r="C82">
        <f t="shared" si="30"/>
        <v>2.8666659499999998</v>
      </c>
      <c r="D82">
        <v>11.7</v>
      </c>
      <c r="E82">
        <f t="shared" si="31"/>
        <v>1.5599996099999998</v>
      </c>
      <c r="F82">
        <v>24.7</v>
      </c>
      <c r="G82">
        <f t="shared" si="32"/>
        <v>3.2933325099999995</v>
      </c>
      <c r="H82">
        <v>18.100000000000001</v>
      </c>
      <c r="I82">
        <f t="shared" si="33"/>
        <v>2.41333273</v>
      </c>
      <c r="J82">
        <v>18.600000000000001</v>
      </c>
      <c r="K82">
        <f t="shared" si="34"/>
        <v>2.4799993799999998</v>
      </c>
      <c r="L82">
        <v>29.9</v>
      </c>
      <c r="M82">
        <f t="shared" si="35"/>
        <v>3.9866656699999994</v>
      </c>
      <c r="N82">
        <v>28.6</v>
      </c>
      <c r="O82">
        <f t="shared" si="36"/>
        <v>3.8133323799999999</v>
      </c>
      <c r="P82">
        <v>83.7</v>
      </c>
      <c r="Q82">
        <f t="shared" si="37"/>
        <v>11.15999721</v>
      </c>
      <c r="R82">
        <v>45.9</v>
      </c>
      <c r="S82">
        <f t="shared" si="38"/>
        <v>6.1199984699999996</v>
      </c>
      <c r="T82">
        <v>132.69999999999999</v>
      </c>
      <c r="U82">
        <f t="shared" si="39"/>
        <v>17.693328909999998</v>
      </c>
      <c r="W82">
        <v>79</v>
      </c>
      <c r="X82">
        <v>22.5</v>
      </c>
      <c r="Y82">
        <f t="shared" si="40"/>
        <v>2.9999992499999997</v>
      </c>
      <c r="Z82">
        <v>5.4</v>
      </c>
      <c r="AA82">
        <f t="shared" si="41"/>
        <v>0.71999981999999996</v>
      </c>
      <c r="AB82">
        <v>34.299999999999997</v>
      </c>
      <c r="AC82">
        <f t="shared" si="42"/>
        <v>4.5733321899999995</v>
      </c>
      <c r="AD82">
        <v>40.6</v>
      </c>
      <c r="AE82">
        <f t="shared" si="43"/>
        <v>5.4133319799999997</v>
      </c>
      <c r="AF82">
        <v>38.9</v>
      </c>
      <c r="AG82">
        <f t="shared" si="44"/>
        <v>5.1866653699999992</v>
      </c>
      <c r="AH82">
        <v>37.700000000000003</v>
      </c>
      <c r="AI82">
        <f t="shared" si="45"/>
        <v>5.0266654099999997</v>
      </c>
      <c r="AJ82">
        <v>27.1</v>
      </c>
      <c r="AK82">
        <f t="shared" si="46"/>
        <v>3.6133324299999998</v>
      </c>
      <c r="AL82">
        <v>51.2</v>
      </c>
      <c r="AM82">
        <f t="shared" si="47"/>
        <v>6.8266649599999996</v>
      </c>
      <c r="AN82">
        <v>61.2</v>
      </c>
      <c r="AO82">
        <f t="shared" si="48"/>
        <v>8.1599979600000001</v>
      </c>
      <c r="AP82">
        <v>54.1</v>
      </c>
      <c r="AQ82">
        <f t="shared" si="49"/>
        <v>7.2133315299999996</v>
      </c>
      <c r="AS82">
        <v>79</v>
      </c>
      <c r="AT82">
        <v>53.7</v>
      </c>
      <c r="AU82">
        <f t="shared" si="50"/>
        <v>7.1599982099999995</v>
      </c>
      <c r="AV82">
        <v>17.600000000000001</v>
      </c>
      <c r="AW82">
        <f t="shared" si="51"/>
        <v>2.3466660799999999</v>
      </c>
      <c r="AX82">
        <v>21.7</v>
      </c>
      <c r="AY82">
        <f t="shared" si="52"/>
        <v>2.8933326099999999</v>
      </c>
      <c r="AZ82">
        <v>20.399999999999999</v>
      </c>
      <c r="BA82">
        <f t="shared" si="53"/>
        <v>2.7199993199999994</v>
      </c>
      <c r="BB82">
        <v>38.1</v>
      </c>
      <c r="BC82">
        <f t="shared" si="54"/>
        <v>5.0799987299999998</v>
      </c>
      <c r="BD82">
        <v>37</v>
      </c>
      <c r="BE82">
        <f t="shared" si="55"/>
        <v>4.9333320999999994</v>
      </c>
      <c r="BF82">
        <v>34</v>
      </c>
      <c r="BG82">
        <f t="shared" si="56"/>
        <v>4.5333321999999994</v>
      </c>
      <c r="BH82">
        <v>54</v>
      </c>
      <c r="BI82">
        <f t="shared" si="57"/>
        <v>7.1999981999999996</v>
      </c>
      <c r="BJ82">
        <v>41.9</v>
      </c>
      <c r="BK82">
        <f t="shared" si="58"/>
        <v>5.5866652699999992</v>
      </c>
      <c r="BL82">
        <v>25.7</v>
      </c>
      <c r="BM82">
        <f t="shared" si="59"/>
        <v>3.4266658099999998</v>
      </c>
    </row>
    <row r="83" spans="1:65" x14ac:dyDescent="0.35">
      <c r="A83">
        <v>80</v>
      </c>
      <c r="B83">
        <v>21.5</v>
      </c>
      <c r="C83">
        <f t="shared" si="30"/>
        <v>2.8666659499999998</v>
      </c>
      <c r="D83">
        <v>11.7</v>
      </c>
      <c r="E83">
        <f t="shared" si="31"/>
        <v>1.5599996099999998</v>
      </c>
      <c r="F83">
        <v>24.7</v>
      </c>
      <c r="G83">
        <f t="shared" si="32"/>
        <v>3.2933325099999995</v>
      </c>
      <c r="H83">
        <v>18.100000000000001</v>
      </c>
      <c r="I83">
        <f t="shared" si="33"/>
        <v>2.41333273</v>
      </c>
      <c r="J83">
        <v>18.7</v>
      </c>
      <c r="K83">
        <f t="shared" si="34"/>
        <v>2.4933327099999998</v>
      </c>
      <c r="L83">
        <v>29.7</v>
      </c>
      <c r="M83">
        <f t="shared" si="35"/>
        <v>3.9599990099999998</v>
      </c>
      <c r="N83">
        <v>28.6</v>
      </c>
      <c r="O83">
        <f t="shared" si="36"/>
        <v>3.8133323799999999</v>
      </c>
      <c r="P83">
        <v>83.6</v>
      </c>
      <c r="Q83">
        <f t="shared" si="37"/>
        <v>11.146663879999998</v>
      </c>
      <c r="R83">
        <v>45.8</v>
      </c>
      <c r="S83">
        <f t="shared" si="38"/>
        <v>6.1066651399999987</v>
      </c>
      <c r="T83">
        <v>132.19999999999999</v>
      </c>
      <c r="U83">
        <f t="shared" si="39"/>
        <v>17.626662259999996</v>
      </c>
      <c r="W83">
        <v>80</v>
      </c>
      <c r="X83">
        <v>22.5</v>
      </c>
      <c r="Y83">
        <f t="shared" si="40"/>
        <v>2.9999992499999997</v>
      </c>
      <c r="Z83">
        <v>5.3</v>
      </c>
      <c r="AA83">
        <f t="shared" si="41"/>
        <v>0.70666648999999992</v>
      </c>
      <c r="AB83">
        <v>34.200000000000003</v>
      </c>
      <c r="AC83">
        <f t="shared" si="42"/>
        <v>4.5599988600000003</v>
      </c>
      <c r="AD83">
        <v>40.5</v>
      </c>
      <c r="AE83">
        <f t="shared" si="43"/>
        <v>5.3999986499999997</v>
      </c>
      <c r="AF83">
        <v>38.9</v>
      </c>
      <c r="AG83">
        <f t="shared" si="44"/>
        <v>5.1866653699999992</v>
      </c>
      <c r="AH83">
        <v>37.799999999999997</v>
      </c>
      <c r="AI83">
        <f t="shared" si="45"/>
        <v>5.0399987399999988</v>
      </c>
      <c r="AJ83">
        <v>26.9</v>
      </c>
      <c r="AK83">
        <f t="shared" si="46"/>
        <v>3.5866657699999993</v>
      </c>
      <c r="AL83">
        <v>51.2</v>
      </c>
      <c r="AM83">
        <f t="shared" si="47"/>
        <v>6.8266649599999996</v>
      </c>
      <c r="AN83">
        <v>61.2</v>
      </c>
      <c r="AO83">
        <f t="shared" si="48"/>
        <v>8.1599979600000001</v>
      </c>
      <c r="AP83">
        <v>53.8</v>
      </c>
      <c r="AQ83">
        <f t="shared" si="49"/>
        <v>7.1733315399999986</v>
      </c>
      <c r="AS83">
        <v>80</v>
      </c>
      <c r="AT83">
        <v>53.6</v>
      </c>
      <c r="AU83">
        <f t="shared" si="50"/>
        <v>7.1466648799999994</v>
      </c>
      <c r="AV83">
        <v>17.5</v>
      </c>
      <c r="AW83">
        <f t="shared" si="51"/>
        <v>2.3333327499999998</v>
      </c>
      <c r="AX83">
        <v>21.7</v>
      </c>
      <c r="AY83">
        <f t="shared" si="52"/>
        <v>2.8933326099999999</v>
      </c>
      <c r="AZ83">
        <v>20.399999999999999</v>
      </c>
      <c r="BA83">
        <f t="shared" si="53"/>
        <v>2.7199993199999994</v>
      </c>
      <c r="BB83">
        <v>38</v>
      </c>
      <c r="BC83">
        <f t="shared" si="54"/>
        <v>5.0666653999999998</v>
      </c>
      <c r="BD83">
        <v>37</v>
      </c>
      <c r="BE83">
        <f t="shared" si="55"/>
        <v>4.9333320999999994</v>
      </c>
      <c r="BF83">
        <v>34</v>
      </c>
      <c r="BG83">
        <f t="shared" si="56"/>
        <v>4.5333321999999994</v>
      </c>
      <c r="BH83">
        <v>53.7</v>
      </c>
      <c r="BI83">
        <f t="shared" si="57"/>
        <v>7.1599982099999995</v>
      </c>
      <c r="BJ83">
        <v>41.8</v>
      </c>
      <c r="BK83">
        <f t="shared" si="58"/>
        <v>5.5733319399999992</v>
      </c>
      <c r="BL83">
        <v>25.8</v>
      </c>
      <c r="BM83">
        <f t="shared" si="59"/>
        <v>3.4399991399999998</v>
      </c>
    </row>
    <row r="84" spans="1:65" x14ac:dyDescent="0.35">
      <c r="A84">
        <v>81</v>
      </c>
      <c r="B84">
        <v>21.5</v>
      </c>
      <c r="C84">
        <f t="shared" si="30"/>
        <v>2.8666659499999998</v>
      </c>
      <c r="D84">
        <v>11.7</v>
      </c>
      <c r="E84">
        <f t="shared" si="31"/>
        <v>1.5599996099999998</v>
      </c>
      <c r="F84">
        <v>24.8</v>
      </c>
      <c r="G84">
        <f t="shared" si="32"/>
        <v>3.30666584</v>
      </c>
      <c r="H84">
        <v>18.2</v>
      </c>
      <c r="I84">
        <f t="shared" si="33"/>
        <v>2.4266660599999996</v>
      </c>
      <c r="J84">
        <v>18.7</v>
      </c>
      <c r="K84">
        <f t="shared" si="34"/>
        <v>2.4933327099999998</v>
      </c>
      <c r="L84">
        <v>29.6</v>
      </c>
      <c r="M84">
        <f t="shared" si="35"/>
        <v>3.9466656799999997</v>
      </c>
      <c r="N84">
        <v>28.6</v>
      </c>
      <c r="O84">
        <f t="shared" si="36"/>
        <v>3.8133323799999999</v>
      </c>
      <c r="P84">
        <v>83.6</v>
      </c>
      <c r="Q84">
        <f t="shared" si="37"/>
        <v>11.146663879999998</v>
      </c>
      <c r="R84">
        <v>45.6</v>
      </c>
      <c r="S84">
        <f t="shared" si="38"/>
        <v>6.0799984799999995</v>
      </c>
      <c r="T84">
        <v>131.80000000000001</v>
      </c>
      <c r="U84">
        <f t="shared" si="39"/>
        <v>17.57332894</v>
      </c>
      <c r="W84">
        <v>81</v>
      </c>
      <c r="X84">
        <v>22.5</v>
      </c>
      <c r="Y84">
        <f t="shared" si="40"/>
        <v>2.9999992499999997</v>
      </c>
      <c r="Z84">
        <v>5.3</v>
      </c>
      <c r="AA84">
        <f t="shared" si="41"/>
        <v>0.70666648999999992</v>
      </c>
      <c r="AB84">
        <v>34.200000000000003</v>
      </c>
      <c r="AC84">
        <f t="shared" si="42"/>
        <v>4.5599988600000003</v>
      </c>
      <c r="AD84">
        <v>40.5</v>
      </c>
      <c r="AE84">
        <f t="shared" si="43"/>
        <v>5.3999986499999997</v>
      </c>
      <c r="AF84">
        <v>38.799999999999997</v>
      </c>
      <c r="AG84">
        <f t="shared" si="44"/>
        <v>5.1733320399999991</v>
      </c>
      <c r="AH84">
        <v>37.9</v>
      </c>
      <c r="AI84">
        <f t="shared" si="45"/>
        <v>5.0533320699999997</v>
      </c>
      <c r="AJ84">
        <v>26.7</v>
      </c>
      <c r="AK84">
        <f t="shared" si="46"/>
        <v>3.5599991099999997</v>
      </c>
      <c r="AL84">
        <v>51.2</v>
      </c>
      <c r="AM84">
        <f t="shared" si="47"/>
        <v>6.8266649599999996</v>
      </c>
      <c r="AN84">
        <v>61.1</v>
      </c>
      <c r="AO84">
        <f t="shared" si="48"/>
        <v>8.1466646300000001</v>
      </c>
      <c r="AP84">
        <v>53.5</v>
      </c>
      <c r="AQ84">
        <f t="shared" si="49"/>
        <v>7.1333315499999994</v>
      </c>
      <c r="AS84">
        <v>81</v>
      </c>
      <c r="AT84">
        <v>53.6</v>
      </c>
      <c r="AU84">
        <f t="shared" si="50"/>
        <v>7.1466648799999994</v>
      </c>
      <c r="AV84">
        <v>17.5</v>
      </c>
      <c r="AW84">
        <f t="shared" si="51"/>
        <v>2.3333327499999998</v>
      </c>
      <c r="AX84">
        <v>21.6</v>
      </c>
      <c r="AY84">
        <f t="shared" si="52"/>
        <v>2.8799992799999998</v>
      </c>
      <c r="AZ84">
        <v>20.3</v>
      </c>
      <c r="BA84">
        <f t="shared" si="53"/>
        <v>2.7066659899999999</v>
      </c>
      <c r="BB84">
        <v>38</v>
      </c>
      <c r="BC84">
        <f t="shared" si="54"/>
        <v>5.0666653999999998</v>
      </c>
      <c r="BD84">
        <v>37</v>
      </c>
      <c r="BE84">
        <f t="shared" si="55"/>
        <v>4.9333320999999994</v>
      </c>
      <c r="BF84">
        <v>34</v>
      </c>
      <c r="BG84">
        <f t="shared" si="56"/>
        <v>4.5333321999999994</v>
      </c>
      <c r="BH84">
        <v>53.5</v>
      </c>
      <c r="BI84">
        <f t="shared" si="57"/>
        <v>7.1333315499999994</v>
      </c>
      <c r="BJ84">
        <v>41.8</v>
      </c>
      <c r="BK84">
        <f t="shared" si="58"/>
        <v>5.5733319399999992</v>
      </c>
      <c r="BL84">
        <v>25.8</v>
      </c>
      <c r="BM84">
        <f t="shared" si="59"/>
        <v>3.4399991399999998</v>
      </c>
    </row>
    <row r="85" spans="1:65" x14ac:dyDescent="0.35">
      <c r="A85">
        <v>82</v>
      </c>
      <c r="B85">
        <v>21.5</v>
      </c>
      <c r="C85">
        <f t="shared" si="30"/>
        <v>2.8666659499999998</v>
      </c>
      <c r="D85">
        <v>11.8</v>
      </c>
      <c r="E85">
        <f t="shared" si="31"/>
        <v>1.57333294</v>
      </c>
      <c r="F85">
        <v>24.8</v>
      </c>
      <c r="G85">
        <f t="shared" si="32"/>
        <v>3.30666584</v>
      </c>
      <c r="H85">
        <v>18.2</v>
      </c>
      <c r="I85">
        <f t="shared" si="33"/>
        <v>2.4266660599999996</v>
      </c>
      <c r="J85">
        <v>18.7</v>
      </c>
      <c r="K85">
        <f t="shared" si="34"/>
        <v>2.4933327099999998</v>
      </c>
      <c r="L85">
        <v>29.6</v>
      </c>
      <c r="M85">
        <f t="shared" si="35"/>
        <v>3.9466656799999997</v>
      </c>
      <c r="N85">
        <v>28.6</v>
      </c>
      <c r="O85">
        <f t="shared" si="36"/>
        <v>3.8133323799999999</v>
      </c>
      <c r="P85">
        <v>83.5</v>
      </c>
      <c r="Q85">
        <f t="shared" si="37"/>
        <v>11.133330549999998</v>
      </c>
      <c r="R85">
        <v>45.5</v>
      </c>
      <c r="S85">
        <f t="shared" si="38"/>
        <v>6.0666651499999995</v>
      </c>
      <c r="T85">
        <v>131.4</v>
      </c>
      <c r="U85">
        <f t="shared" si="39"/>
        <v>17.51999562</v>
      </c>
      <c r="W85">
        <v>82</v>
      </c>
      <c r="X85">
        <v>22.5</v>
      </c>
      <c r="Y85">
        <f t="shared" si="40"/>
        <v>2.9999992499999997</v>
      </c>
      <c r="Z85">
        <v>5.2</v>
      </c>
      <c r="AA85">
        <f t="shared" si="41"/>
        <v>0.69333316</v>
      </c>
      <c r="AB85">
        <v>34.200000000000003</v>
      </c>
      <c r="AC85">
        <f t="shared" si="42"/>
        <v>4.5599988600000003</v>
      </c>
      <c r="AD85">
        <v>40.4</v>
      </c>
      <c r="AE85">
        <f t="shared" si="43"/>
        <v>5.3866653199999996</v>
      </c>
      <c r="AF85">
        <v>38.799999999999997</v>
      </c>
      <c r="AG85">
        <f t="shared" si="44"/>
        <v>5.1733320399999991</v>
      </c>
      <c r="AH85">
        <v>38</v>
      </c>
      <c r="AI85">
        <f t="shared" si="45"/>
        <v>5.0666653999999998</v>
      </c>
      <c r="AJ85">
        <v>26.5</v>
      </c>
      <c r="AK85">
        <f t="shared" si="46"/>
        <v>3.5333324499999996</v>
      </c>
      <c r="AL85">
        <v>51.2</v>
      </c>
      <c r="AM85">
        <f t="shared" si="47"/>
        <v>6.8266649599999996</v>
      </c>
      <c r="AN85">
        <v>61.2</v>
      </c>
      <c r="AO85">
        <f t="shared" si="48"/>
        <v>8.1599979600000001</v>
      </c>
      <c r="AP85">
        <v>53.3</v>
      </c>
      <c r="AQ85">
        <f t="shared" si="49"/>
        <v>7.1066648899999993</v>
      </c>
      <c r="AS85">
        <v>82</v>
      </c>
      <c r="AT85">
        <v>53.6</v>
      </c>
      <c r="AU85">
        <f t="shared" si="50"/>
        <v>7.1466648799999994</v>
      </c>
      <c r="AV85">
        <v>17.399999999999999</v>
      </c>
      <c r="AW85">
        <f t="shared" si="51"/>
        <v>2.3199994199999998</v>
      </c>
      <c r="AX85">
        <v>21.6</v>
      </c>
      <c r="AY85">
        <f t="shared" si="52"/>
        <v>2.8799992799999998</v>
      </c>
      <c r="AZ85">
        <v>20.3</v>
      </c>
      <c r="BA85">
        <f t="shared" si="53"/>
        <v>2.7066659899999999</v>
      </c>
      <c r="BB85">
        <v>37.9</v>
      </c>
      <c r="BC85">
        <f t="shared" si="54"/>
        <v>5.0533320699999997</v>
      </c>
      <c r="BD85">
        <v>37</v>
      </c>
      <c r="BE85">
        <f t="shared" si="55"/>
        <v>4.9333320999999994</v>
      </c>
      <c r="BF85">
        <v>34</v>
      </c>
      <c r="BG85">
        <f t="shared" si="56"/>
        <v>4.5333321999999994</v>
      </c>
      <c r="BH85">
        <v>53.3</v>
      </c>
      <c r="BI85">
        <f t="shared" si="57"/>
        <v>7.1066648899999993</v>
      </c>
      <c r="BJ85">
        <v>41.8</v>
      </c>
      <c r="BK85">
        <f t="shared" si="58"/>
        <v>5.5733319399999992</v>
      </c>
      <c r="BL85">
        <v>25.9</v>
      </c>
      <c r="BM85">
        <f t="shared" si="59"/>
        <v>3.4533324699999994</v>
      </c>
    </row>
    <row r="86" spans="1:65" x14ac:dyDescent="0.35">
      <c r="A86">
        <v>83</v>
      </c>
      <c r="B86">
        <v>21.4</v>
      </c>
      <c r="C86">
        <f t="shared" si="30"/>
        <v>2.8533326199999998</v>
      </c>
      <c r="D86">
        <v>11.8</v>
      </c>
      <c r="E86">
        <f t="shared" si="31"/>
        <v>1.57333294</v>
      </c>
      <c r="F86">
        <v>24.8</v>
      </c>
      <c r="G86">
        <f t="shared" si="32"/>
        <v>3.30666584</v>
      </c>
      <c r="H86">
        <v>18.2</v>
      </c>
      <c r="I86">
        <f t="shared" si="33"/>
        <v>2.4266660599999996</v>
      </c>
      <c r="J86">
        <v>18.8</v>
      </c>
      <c r="K86">
        <f t="shared" si="34"/>
        <v>2.5066660399999998</v>
      </c>
      <c r="L86">
        <v>29.6</v>
      </c>
      <c r="M86">
        <f t="shared" si="35"/>
        <v>3.9466656799999997</v>
      </c>
      <c r="N86">
        <v>28.6</v>
      </c>
      <c r="O86">
        <f t="shared" si="36"/>
        <v>3.8133323799999999</v>
      </c>
      <c r="P86">
        <v>83.4</v>
      </c>
      <c r="Q86">
        <f t="shared" si="37"/>
        <v>11.11999722</v>
      </c>
      <c r="R86">
        <v>45.5</v>
      </c>
      <c r="S86">
        <f t="shared" si="38"/>
        <v>6.0666651499999995</v>
      </c>
      <c r="T86">
        <v>131.1</v>
      </c>
      <c r="U86">
        <f t="shared" si="39"/>
        <v>17.479995629999998</v>
      </c>
      <c r="W86">
        <v>83</v>
      </c>
      <c r="X86">
        <v>22.5</v>
      </c>
      <c r="Y86">
        <f t="shared" si="40"/>
        <v>2.9999992499999997</v>
      </c>
      <c r="Z86">
        <v>5.2</v>
      </c>
      <c r="AA86">
        <f t="shared" si="41"/>
        <v>0.69333316</v>
      </c>
      <c r="AB86">
        <v>34.200000000000003</v>
      </c>
      <c r="AC86">
        <f t="shared" si="42"/>
        <v>4.5599988600000003</v>
      </c>
      <c r="AD86">
        <v>40.4</v>
      </c>
      <c r="AE86">
        <f t="shared" si="43"/>
        <v>5.3866653199999996</v>
      </c>
      <c r="AF86">
        <v>38.799999999999997</v>
      </c>
      <c r="AG86">
        <f t="shared" si="44"/>
        <v>5.1733320399999991</v>
      </c>
      <c r="AH86">
        <v>38.1</v>
      </c>
      <c r="AI86">
        <f t="shared" si="45"/>
        <v>5.0799987299999998</v>
      </c>
      <c r="AJ86">
        <v>26.4</v>
      </c>
      <c r="AK86">
        <f t="shared" si="46"/>
        <v>3.5199991199999996</v>
      </c>
      <c r="AL86">
        <v>51.2</v>
      </c>
      <c r="AM86">
        <f t="shared" si="47"/>
        <v>6.8266649599999996</v>
      </c>
      <c r="AN86">
        <v>61.2</v>
      </c>
      <c r="AO86">
        <f t="shared" si="48"/>
        <v>8.1599979600000001</v>
      </c>
      <c r="AP86">
        <v>53.1</v>
      </c>
      <c r="AQ86">
        <f t="shared" si="49"/>
        <v>7.0799982299999993</v>
      </c>
      <c r="AS86">
        <v>83</v>
      </c>
      <c r="AT86">
        <v>53.6</v>
      </c>
      <c r="AU86">
        <f t="shared" si="50"/>
        <v>7.1466648799999994</v>
      </c>
      <c r="AV86">
        <v>17.399999999999999</v>
      </c>
      <c r="AW86">
        <f t="shared" si="51"/>
        <v>2.3199994199999998</v>
      </c>
      <c r="AX86">
        <v>21.6</v>
      </c>
      <c r="AY86">
        <f t="shared" si="52"/>
        <v>2.8799992799999998</v>
      </c>
      <c r="AZ86">
        <v>20.3</v>
      </c>
      <c r="BA86">
        <f t="shared" si="53"/>
        <v>2.7066659899999999</v>
      </c>
      <c r="BB86">
        <v>37.9</v>
      </c>
      <c r="BC86">
        <f t="shared" si="54"/>
        <v>5.0533320699999997</v>
      </c>
      <c r="BD86">
        <v>36.9</v>
      </c>
      <c r="BE86">
        <f t="shared" si="55"/>
        <v>4.9199987699999994</v>
      </c>
      <c r="BF86">
        <v>34</v>
      </c>
      <c r="BG86">
        <f t="shared" si="56"/>
        <v>4.5333321999999994</v>
      </c>
      <c r="BH86">
        <v>53.1</v>
      </c>
      <c r="BI86">
        <f t="shared" si="57"/>
        <v>7.0799982299999993</v>
      </c>
      <c r="BJ86">
        <v>41.7</v>
      </c>
      <c r="BK86">
        <f t="shared" si="58"/>
        <v>5.5599986100000001</v>
      </c>
      <c r="BL86">
        <v>26</v>
      </c>
      <c r="BM86">
        <f t="shared" si="59"/>
        <v>3.4666657999999995</v>
      </c>
    </row>
    <row r="87" spans="1:65" x14ac:dyDescent="0.35">
      <c r="A87">
        <v>84</v>
      </c>
      <c r="B87">
        <v>21.4</v>
      </c>
      <c r="C87">
        <f t="shared" si="30"/>
        <v>2.8533326199999998</v>
      </c>
      <c r="D87">
        <v>11.8</v>
      </c>
      <c r="E87">
        <f t="shared" si="31"/>
        <v>1.57333294</v>
      </c>
      <c r="F87">
        <v>24.9</v>
      </c>
      <c r="G87">
        <f t="shared" si="32"/>
        <v>3.3199991699999996</v>
      </c>
      <c r="H87">
        <v>18.2</v>
      </c>
      <c r="I87">
        <f t="shared" si="33"/>
        <v>2.4266660599999996</v>
      </c>
      <c r="J87">
        <v>18.899999999999999</v>
      </c>
      <c r="K87">
        <f t="shared" si="34"/>
        <v>2.5199993699999994</v>
      </c>
      <c r="L87">
        <v>29.6</v>
      </c>
      <c r="M87">
        <f t="shared" si="35"/>
        <v>3.9466656799999997</v>
      </c>
      <c r="N87">
        <v>28.6</v>
      </c>
      <c r="O87">
        <f t="shared" si="36"/>
        <v>3.8133323799999999</v>
      </c>
      <c r="P87">
        <v>83.4</v>
      </c>
      <c r="Q87">
        <f t="shared" si="37"/>
        <v>11.11999722</v>
      </c>
      <c r="R87">
        <v>45.4</v>
      </c>
      <c r="S87">
        <f t="shared" si="38"/>
        <v>6.0533318199999995</v>
      </c>
      <c r="T87">
        <v>130.80000000000001</v>
      </c>
      <c r="U87">
        <f t="shared" si="39"/>
        <v>17.439995639999999</v>
      </c>
      <c r="W87">
        <v>84</v>
      </c>
      <c r="X87">
        <v>22.6</v>
      </c>
      <c r="Y87">
        <f t="shared" si="40"/>
        <v>3.0133325799999997</v>
      </c>
      <c r="Z87">
        <v>5.0999999999999996</v>
      </c>
      <c r="AA87">
        <f t="shared" si="41"/>
        <v>0.67999982999999986</v>
      </c>
      <c r="AB87">
        <v>34.200000000000003</v>
      </c>
      <c r="AC87">
        <f t="shared" si="42"/>
        <v>4.5599988600000003</v>
      </c>
      <c r="AD87">
        <v>40.4</v>
      </c>
      <c r="AE87">
        <f t="shared" si="43"/>
        <v>5.3866653199999996</v>
      </c>
      <c r="AF87">
        <v>38.799999999999997</v>
      </c>
      <c r="AG87">
        <f t="shared" si="44"/>
        <v>5.1733320399999991</v>
      </c>
      <c r="AH87">
        <v>38.200000000000003</v>
      </c>
      <c r="AI87">
        <f t="shared" si="45"/>
        <v>5.0933320599999998</v>
      </c>
      <c r="AJ87">
        <v>26.3</v>
      </c>
      <c r="AK87">
        <f t="shared" si="46"/>
        <v>3.5066657899999996</v>
      </c>
      <c r="AL87">
        <v>51.2</v>
      </c>
      <c r="AM87">
        <f t="shared" si="47"/>
        <v>6.8266649599999996</v>
      </c>
      <c r="AN87">
        <v>61.2</v>
      </c>
      <c r="AO87">
        <f t="shared" si="48"/>
        <v>8.1599979600000001</v>
      </c>
      <c r="AP87">
        <v>52.9</v>
      </c>
      <c r="AQ87">
        <f t="shared" si="49"/>
        <v>7.0533315699999992</v>
      </c>
      <c r="AS87">
        <v>84</v>
      </c>
      <c r="AT87">
        <v>53.5</v>
      </c>
      <c r="AU87">
        <f t="shared" si="50"/>
        <v>7.1333315499999994</v>
      </c>
      <c r="AV87">
        <v>17.399999999999999</v>
      </c>
      <c r="AW87">
        <f t="shared" si="51"/>
        <v>2.3199994199999998</v>
      </c>
      <c r="AX87">
        <v>21.6</v>
      </c>
      <c r="AY87">
        <f t="shared" si="52"/>
        <v>2.8799992799999998</v>
      </c>
      <c r="AZ87">
        <v>20.3</v>
      </c>
      <c r="BA87">
        <f t="shared" si="53"/>
        <v>2.7066659899999999</v>
      </c>
      <c r="BB87">
        <v>37.9</v>
      </c>
      <c r="BC87">
        <f t="shared" si="54"/>
        <v>5.0533320699999997</v>
      </c>
      <c r="BD87">
        <v>36.9</v>
      </c>
      <c r="BE87">
        <f t="shared" si="55"/>
        <v>4.9199987699999994</v>
      </c>
      <c r="BF87">
        <v>34</v>
      </c>
      <c r="BG87">
        <f t="shared" si="56"/>
        <v>4.5333321999999994</v>
      </c>
      <c r="BH87">
        <v>53</v>
      </c>
      <c r="BI87">
        <f t="shared" si="57"/>
        <v>7.0666648999999992</v>
      </c>
      <c r="BJ87">
        <v>41.7</v>
      </c>
      <c r="BK87">
        <f t="shared" si="58"/>
        <v>5.5599986100000001</v>
      </c>
      <c r="BL87">
        <v>26.1</v>
      </c>
      <c r="BM87">
        <f t="shared" si="59"/>
        <v>3.4799991299999999</v>
      </c>
    </row>
    <row r="88" spans="1:65" x14ac:dyDescent="0.35">
      <c r="A88">
        <v>85</v>
      </c>
      <c r="B88">
        <v>20.399999999999999</v>
      </c>
      <c r="C88">
        <f t="shared" si="30"/>
        <v>2.7199993199999994</v>
      </c>
      <c r="D88">
        <v>11.9</v>
      </c>
      <c r="E88">
        <f t="shared" si="31"/>
        <v>1.5866662699999998</v>
      </c>
      <c r="F88">
        <v>24.9</v>
      </c>
      <c r="G88">
        <f t="shared" si="32"/>
        <v>3.3199991699999996</v>
      </c>
      <c r="H88">
        <v>18.3</v>
      </c>
      <c r="I88">
        <f t="shared" si="33"/>
        <v>2.4399993899999997</v>
      </c>
      <c r="J88">
        <v>18.899999999999999</v>
      </c>
      <c r="K88">
        <f t="shared" si="34"/>
        <v>2.5199993699999994</v>
      </c>
      <c r="L88">
        <v>29.6</v>
      </c>
      <c r="M88">
        <f t="shared" si="35"/>
        <v>3.9466656799999997</v>
      </c>
      <c r="N88">
        <v>28.6</v>
      </c>
      <c r="O88">
        <f t="shared" si="36"/>
        <v>3.8133323799999999</v>
      </c>
      <c r="P88">
        <v>83.3</v>
      </c>
      <c r="Q88">
        <f t="shared" si="37"/>
        <v>11.106663889999998</v>
      </c>
      <c r="R88">
        <v>45.4</v>
      </c>
      <c r="S88">
        <f t="shared" si="38"/>
        <v>6.0533318199999995</v>
      </c>
      <c r="T88">
        <v>130.5</v>
      </c>
      <c r="U88">
        <f t="shared" si="39"/>
        <v>17.399995649999997</v>
      </c>
      <c r="W88">
        <v>85</v>
      </c>
      <c r="X88">
        <v>22.6</v>
      </c>
      <c r="Y88">
        <f t="shared" si="40"/>
        <v>3.0133325799999997</v>
      </c>
      <c r="Z88">
        <v>5.0999999999999996</v>
      </c>
      <c r="AA88">
        <f t="shared" si="41"/>
        <v>0.67999982999999986</v>
      </c>
      <c r="AB88">
        <v>34.200000000000003</v>
      </c>
      <c r="AC88">
        <f t="shared" si="42"/>
        <v>4.5599988600000003</v>
      </c>
      <c r="AD88">
        <v>40.4</v>
      </c>
      <c r="AE88">
        <f t="shared" si="43"/>
        <v>5.3866653199999996</v>
      </c>
      <c r="AF88">
        <v>38.799999999999997</v>
      </c>
      <c r="AG88">
        <f t="shared" si="44"/>
        <v>5.1733320399999991</v>
      </c>
      <c r="AH88">
        <v>38.299999999999997</v>
      </c>
      <c r="AI88">
        <f t="shared" si="45"/>
        <v>5.106665389999999</v>
      </c>
      <c r="AJ88">
        <v>26.2</v>
      </c>
      <c r="AK88">
        <f t="shared" si="46"/>
        <v>3.4933324599999995</v>
      </c>
      <c r="AL88">
        <v>51.3</v>
      </c>
      <c r="AM88">
        <f t="shared" si="47"/>
        <v>6.8399982899999987</v>
      </c>
      <c r="AN88">
        <v>61.2</v>
      </c>
      <c r="AO88">
        <f t="shared" si="48"/>
        <v>8.1599979600000001</v>
      </c>
      <c r="AP88">
        <v>52.8</v>
      </c>
      <c r="AQ88">
        <f t="shared" si="49"/>
        <v>7.0399982399999992</v>
      </c>
      <c r="AS88">
        <v>85</v>
      </c>
      <c r="AT88">
        <v>53.5</v>
      </c>
      <c r="AU88">
        <f t="shared" si="50"/>
        <v>7.1333315499999994</v>
      </c>
      <c r="AV88">
        <v>17.3</v>
      </c>
      <c r="AW88">
        <f t="shared" si="51"/>
        <v>2.3066660899999998</v>
      </c>
      <c r="AX88">
        <v>21.6</v>
      </c>
      <c r="AY88">
        <f t="shared" si="52"/>
        <v>2.8799992799999998</v>
      </c>
      <c r="AZ88">
        <v>20.3</v>
      </c>
      <c r="BA88">
        <f t="shared" si="53"/>
        <v>2.7066659899999999</v>
      </c>
      <c r="BB88">
        <v>37.9</v>
      </c>
      <c r="BC88">
        <f t="shared" si="54"/>
        <v>5.0533320699999997</v>
      </c>
      <c r="BD88">
        <v>36.9</v>
      </c>
      <c r="BE88">
        <f t="shared" si="55"/>
        <v>4.9199987699999994</v>
      </c>
      <c r="BF88">
        <v>34</v>
      </c>
      <c r="BG88">
        <f t="shared" si="56"/>
        <v>4.5333321999999994</v>
      </c>
      <c r="BH88">
        <v>52.8</v>
      </c>
      <c r="BI88">
        <f t="shared" si="57"/>
        <v>7.0399982399999992</v>
      </c>
      <c r="BJ88">
        <v>41.7</v>
      </c>
      <c r="BK88">
        <f t="shared" si="58"/>
        <v>5.5599986100000001</v>
      </c>
      <c r="BL88">
        <v>26.1</v>
      </c>
      <c r="BM88">
        <f t="shared" si="59"/>
        <v>3.4799991299999999</v>
      </c>
    </row>
    <row r="89" spans="1:65" x14ac:dyDescent="0.35">
      <c r="A89">
        <v>86</v>
      </c>
      <c r="B89">
        <v>12.6</v>
      </c>
      <c r="C89">
        <f t="shared" si="30"/>
        <v>1.6799995799999998</v>
      </c>
      <c r="D89">
        <v>11.9</v>
      </c>
      <c r="E89">
        <f t="shared" si="31"/>
        <v>1.5866662699999998</v>
      </c>
      <c r="F89">
        <v>24.9</v>
      </c>
      <c r="G89">
        <f t="shared" si="32"/>
        <v>3.3199991699999996</v>
      </c>
      <c r="H89">
        <v>18.399999999999999</v>
      </c>
      <c r="I89">
        <f t="shared" si="33"/>
        <v>2.4533327199999997</v>
      </c>
      <c r="J89">
        <v>18.899999999999999</v>
      </c>
      <c r="K89">
        <f t="shared" si="34"/>
        <v>2.5199993699999994</v>
      </c>
      <c r="L89">
        <v>29.6</v>
      </c>
      <c r="M89">
        <f t="shared" si="35"/>
        <v>3.9466656799999997</v>
      </c>
      <c r="N89">
        <v>28.6</v>
      </c>
      <c r="O89">
        <f t="shared" si="36"/>
        <v>3.8133323799999999</v>
      </c>
      <c r="P89">
        <v>83.3</v>
      </c>
      <c r="Q89">
        <f t="shared" si="37"/>
        <v>11.106663889999998</v>
      </c>
      <c r="R89">
        <v>45.4</v>
      </c>
      <c r="S89">
        <f t="shared" si="38"/>
        <v>6.0533318199999995</v>
      </c>
      <c r="T89">
        <v>130.30000000000001</v>
      </c>
      <c r="U89">
        <f t="shared" si="39"/>
        <v>17.373328990000001</v>
      </c>
      <c r="W89">
        <v>86</v>
      </c>
      <c r="X89">
        <v>22.6</v>
      </c>
      <c r="Y89">
        <f t="shared" si="40"/>
        <v>3.0133325799999997</v>
      </c>
      <c r="Z89">
        <v>5.0999999999999996</v>
      </c>
      <c r="AA89">
        <f t="shared" si="41"/>
        <v>0.67999982999999986</v>
      </c>
      <c r="AB89">
        <v>34.200000000000003</v>
      </c>
      <c r="AC89">
        <f t="shared" si="42"/>
        <v>4.5599988600000003</v>
      </c>
      <c r="AD89">
        <v>40.299999999999997</v>
      </c>
      <c r="AE89">
        <f t="shared" si="43"/>
        <v>5.3733319899999987</v>
      </c>
      <c r="AF89">
        <v>38.799999999999997</v>
      </c>
      <c r="AG89">
        <f t="shared" si="44"/>
        <v>5.1733320399999991</v>
      </c>
      <c r="AH89">
        <v>38.4</v>
      </c>
      <c r="AI89">
        <f t="shared" si="45"/>
        <v>5.119998719999999</v>
      </c>
      <c r="AJ89">
        <v>26</v>
      </c>
      <c r="AK89">
        <f t="shared" si="46"/>
        <v>3.4666657999999995</v>
      </c>
      <c r="AL89">
        <v>51.4</v>
      </c>
      <c r="AM89">
        <f t="shared" si="47"/>
        <v>6.8533316199999996</v>
      </c>
      <c r="AN89">
        <v>61.3</v>
      </c>
      <c r="AO89">
        <f t="shared" si="48"/>
        <v>8.1733312899999984</v>
      </c>
      <c r="AP89">
        <v>52.7</v>
      </c>
      <c r="AQ89">
        <f t="shared" si="49"/>
        <v>7.02666491</v>
      </c>
      <c r="AS89">
        <v>86</v>
      </c>
      <c r="AT89">
        <v>53.5</v>
      </c>
      <c r="AU89">
        <f t="shared" si="50"/>
        <v>7.1333315499999994</v>
      </c>
      <c r="AV89">
        <v>17.3</v>
      </c>
      <c r="AW89">
        <f t="shared" si="51"/>
        <v>2.3066660899999998</v>
      </c>
      <c r="AX89">
        <v>21.6</v>
      </c>
      <c r="AY89">
        <f t="shared" si="52"/>
        <v>2.8799992799999998</v>
      </c>
      <c r="AZ89">
        <v>20.3</v>
      </c>
      <c r="BA89">
        <f t="shared" si="53"/>
        <v>2.7066659899999999</v>
      </c>
      <c r="BB89">
        <v>37.799999999999997</v>
      </c>
      <c r="BC89">
        <f t="shared" si="54"/>
        <v>5.0399987399999988</v>
      </c>
      <c r="BD89">
        <v>36.9</v>
      </c>
      <c r="BE89">
        <f t="shared" si="55"/>
        <v>4.9199987699999994</v>
      </c>
      <c r="BF89">
        <v>34</v>
      </c>
      <c r="BG89">
        <f t="shared" si="56"/>
        <v>4.5333321999999994</v>
      </c>
      <c r="BH89">
        <v>52.7</v>
      </c>
      <c r="BI89">
        <f t="shared" si="57"/>
        <v>7.02666491</v>
      </c>
      <c r="BJ89">
        <v>41.7</v>
      </c>
      <c r="BK89">
        <f t="shared" si="58"/>
        <v>5.5599986100000001</v>
      </c>
      <c r="BL89">
        <v>26.2</v>
      </c>
      <c r="BM89">
        <f t="shared" si="59"/>
        <v>3.4933324599999995</v>
      </c>
    </row>
    <row r="90" spans="1:65" x14ac:dyDescent="0.35">
      <c r="A90">
        <v>87</v>
      </c>
      <c r="B90">
        <v>6.8</v>
      </c>
      <c r="C90">
        <f t="shared" si="30"/>
        <v>0.90666643999999985</v>
      </c>
      <c r="D90">
        <v>11.9</v>
      </c>
      <c r="E90">
        <f t="shared" si="31"/>
        <v>1.5866662699999998</v>
      </c>
      <c r="F90">
        <v>25</v>
      </c>
      <c r="G90">
        <f t="shared" si="32"/>
        <v>3.3333324999999996</v>
      </c>
      <c r="H90">
        <v>18.399999999999999</v>
      </c>
      <c r="I90">
        <f t="shared" si="33"/>
        <v>2.4533327199999997</v>
      </c>
      <c r="J90">
        <v>19</v>
      </c>
      <c r="K90">
        <f t="shared" si="34"/>
        <v>2.5333326999999999</v>
      </c>
      <c r="L90">
        <v>29.6</v>
      </c>
      <c r="M90">
        <f t="shared" si="35"/>
        <v>3.9466656799999997</v>
      </c>
      <c r="N90">
        <v>28.6</v>
      </c>
      <c r="O90">
        <f t="shared" si="36"/>
        <v>3.8133323799999999</v>
      </c>
      <c r="P90">
        <v>83.3</v>
      </c>
      <c r="Q90">
        <f t="shared" si="37"/>
        <v>11.106663889999998</v>
      </c>
      <c r="R90">
        <v>45.4</v>
      </c>
      <c r="S90">
        <f t="shared" si="38"/>
        <v>6.0533318199999995</v>
      </c>
      <c r="T90">
        <v>130.1</v>
      </c>
      <c r="U90">
        <f t="shared" si="39"/>
        <v>17.346662329999997</v>
      </c>
      <c r="W90">
        <v>87</v>
      </c>
      <c r="X90">
        <v>22.6</v>
      </c>
      <c r="Y90">
        <f t="shared" si="40"/>
        <v>3.0133325799999997</v>
      </c>
      <c r="Z90">
        <v>5</v>
      </c>
      <c r="AA90">
        <f t="shared" si="41"/>
        <v>0.66666649999999994</v>
      </c>
      <c r="AB90">
        <v>34.200000000000003</v>
      </c>
      <c r="AC90">
        <f t="shared" si="42"/>
        <v>4.5599988600000003</v>
      </c>
      <c r="AD90">
        <v>40.299999999999997</v>
      </c>
      <c r="AE90">
        <f t="shared" si="43"/>
        <v>5.3733319899999987</v>
      </c>
      <c r="AF90">
        <v>38.799999999999997</v>
      </c>
      <c r="AG90">
        <f t="shared" si="44"/>
        <v>5.1733320399999991</v>
      </c>
      <c r="AH90">
        <v>38.5</v>
      </c>
      <c r="AI90">
        <f t="shared" si="45"/>
        <v>5.1333320499999999</v>
      </c>
      <c r="AJ90">
        <v>26</v>
      </c>
      <c r="AK90">
        <f t="shared" si="46"/>
        <v>3.4666657999999995</v>
      </c>
      <c r="AL90">
        <v>51.5</v>
      </c>
      <c r="AM90">
        <f t="shared" si="47"/>
        <v>6.8666649499999997</v>
      </c>
      <c r="AN90">
        <v>61.3</v>
      </c>
      <c r="AO90">
        <f t="shared" si="48"/>
        <v>8.1733312899999984</v>
      </c>
      <c r="AP90">
        <v>52.6</v>
      </c>
      <c r="AQ90">
        <f t="shared" si="49"/>
        <v>7.0133315799999991</v>
      </c>
      <c r="AS90">
        <v>87</v>
      </c>
      <c r="AT90">
        <v>53.5</v>
      </c>
      <c r="AU90">
        <f t="shared" si="50"/>
        <v>7.1333315499999994</v>
      </c>
      <c r="AV90">
        <v>17.3</v>
      </c>
      <c r="AW90">
        <f t="shared" si="51"/>
        <v>2.3066660899999998</v>
      </c>
      <c r="AX90">
        <v>21.6</v>
      </c>
      <c r="AY90">
        <f t="shared" si="52"/>
        <v>2.8799992799999998</v>
      </c>
      <c r="AZ90">
        <v>20.3</v>
      </c>
      <c r="BA90">
        <f t="shared" si="53"/>
        <v>2.7066659899999999</v>
      </c>
      <c r="BB90">
        <v>37.799999999999997</v>
      </c>
      <c r="BC90">
        <f t="shared" si="54"/>
        <v>5.0399987399999988</v>
      </c>
      <c r="BD90">
        <v>36.9</v>
      </c>
      <c r="BE90">
        <f t="shared" si="55"/>
        <v>4.9199987699999994</v>
      </c>
      <c r="BF90">
        <v>34</v>
      </c>
      <c r="BG90">
        <f t="shared" si="56"/>
        <v>4.5333321999999994</v>
      </c>
      <c r="BH90">
        <v>52.6</v>
      </c>
      <c r="BI90">
        <f t="shared" si="57"/>
        <v>7.0133315799999991</v>
      </c>
      <c r="BJ90">
        <v>41.7</v>
      </c>
      <c r="BK90">
        <f t="shared" si="58"/>
        <v>5.5599986100000001</v>
      </c>
      <c r="BL90">
        <v>26.3</v>
      </c>
      <c r="BM90">
        <f t="shared" si="59"/>
        <v>3.5066657899999996</v>
      </c>
    </row>
    <row r="91" spans="1:65" x14ac:dyDescent="0.35">
      <c r="A91">
        <v>88</v>
      </c>
      <c r="B91">
        <v>6.4</v>
      </c>
      <c r="C91">
        <f t="shared" si="30"/>
        <v>0.85333311999999995</v>
      </c>
      <c r="D91">
        <v>11.9</v>
      </c>
      <c r="E91">
        <f t="shared" si="31"/>
        <v>1.5866662699999998</v>
      </c>
      <c r="F91">
        <v>25</v>
      </c>
      <c r="G91">
        <f t="shared" si="32"/>
        <v>3.3333324999999996</v>
      </c>
      <c r="H91">
        <v>18.5</v>
      </c>
      <c r="I91">
        <f t="shared" si="33"/>
        <v>2.4666660499999997</v>
      </c>
      <c r="J91">
        <v>19.100000000000001</v>
      </c>
      <c r="K91">
        <f t="shared" si="34"/>
        <v>2.5466660299999999</v>
      </c>
      <c r="L91">
        <v>29.6</v>
      </c>
      <c r="M91">
        <f t="shared" si="35"/>
        <v>3.9466656799999997</v>
      </c>
      <c r="N91">
        <v>28.6</v>
      </c>
      <c r="O91">
        <f t="shared" si="36"/>
        <v>3.8133323799999999</v>
      </c>
      <c r="P91">
        <v>83.2</v>
      </c>
      <c r="Q91">
        <f t="shared" si="37"/>
        <v>11.09333056</v>
      </c>
      <c r="R91">
        <v>45.4</v>
      </c>
      <c r="S91">
        <f t="shared" si="38"/>
        <v>6.0533318199999995</v>
      </c>
      <c r="T91">
        <v>129.9</v>
      </c>
      <c r="U91">
        <f t="shared" si="39"/>
        <v>17.319995670000001</v>
      </c>
      <c r="W91">
        <v>88</v>
      </c>
      <c r="X91">
        <v>22.6</v>
      </c>
      <c r="Y91">
        <f t="shared" si="40"/>
        <v>3.0133325799999997</v>
      </c>
      <c r="Z91">
        <v>4.9000000000000004</v>
      </c>
      <c r="AA91">
        <f t="shared" si="41"/>
        <v>0.65333317000000002</v>
      </c>
      <c r="AB91">
        <v>34.200000000000003</v>
      </c>
      <c r="AC91">
        <f t="shared" si="42"/>
        <v>4.5599988600000003</v>
      </c>
      <c r="AD91">
        <v>40.299999999999997</v>
      </c>
      <c r="AE91">
        <f t="shared" si="43"/>
        <v>5.3733319899999987</v>
      </c>
      <c r="AF91">
        <v>38.799999999999997</v>
      </c>
      <c r="AG91">
        <f t="shared" si="44"/>
        <v>5.1733320399999991</v>
      </c>
      <c r="AH91">
        <v>38.700000000000003</v>
      </c>
      <c r="AI91">
        <f t="shared" si="45"/>
        <v>5.15999871</v>
      </c>
      <c r="AJ91">
        <v>26</v>
      </c>
      <c r="AK91">
        <f t="shared" si="46"/>
        <v>3.4666657999999995</v>
      </c>
      <c r="AL91">
        <v>51.6</v>
      </c>
      <c r="AM91">
        <f t="shared" si="47"/>
        <v>6.8799982799999997</v>
      </c>
      <c r="AN91">
        <v>61.3</v>
      </c>
      <c r="AO91">
        <f t="shared" si="48"/>
        <v>8.1733312899999984</v>
      </c>
      <c r="AP91">
        <v>52.5</v>
      </c>
      <c r="AQ91">
        <f t="shared" si="49"/>
        <v>6.9999982499999991</v>
      </c>
      <c r="AS91">
        <v>88</v>
      </c>
      <c r="AT91">
        <v>53.5</v>
      </c>
      <c r="AU91">
        <f t="shared" si="50"/>
        <v>7.1333315499999994</v>
      </c>
      <c r="AV91">
        <v>17.2</v>
      </c>
      <c r="AW91">
        <f t="shared" si="51"/>
        <v>2.2933327599999997</v>
      </c>
      <c r="AX91">
        <v>21.6</v>
      </c>
      <c r="AY91">
        <f t="shared" si="52"/>
        <v>2.8799992799999998</v>
      </c>
      <c r="AZ91">
        <v>20.3</v>
      </c>
      <c r="BA91">
        <f t="shared" si="53"/>
        <v>2.7066659899999999</v>
      </c>
      <c r="BB91">
        <v>37.799999999999997</v>
      </c>
      <c r="BC91">
        <f t="shared" si="54"/>
        <v>5.0399987399999988</v>
      </c>
      <c r="BD91">
        <v>37</v>
      </c>
      <c r="BE91">
        <f t="shared" si="55"/>
        <v>4.9333320999999994</v>
      </c>
      <c r="BF91">
        <v>34</v>
      </c>
      <c r="BG91">
        <f t="shared" si="56"/>
        <v>4.5333321999999994</v>
      </c>
      <c r="BH91">
        <v>52.4</v>
      </c>
      <c r="BI91">
        <f t="shared" si="57"/>
        <v>6.9866649199999991</v>
      </c>
      <c r="BJ91">
        <v>41.7</v>
      </c>
      <c r="BK91">
        <f t="shared" si="58"/>
        <v>5.5599986100000001</v>
      </c>
      <c r="BL91">
        <v>26.4</v>
      </c>
      <c r="BM91">
        <f t="shared" si="59"/>
        <v>3.5199991199999996</v>
      </c>
    </row>
    <row r="92" spans="1:65" x14ac:dyDescent="0.35">
      <c r="A92">
        <v>89</v>
      </c>
      <c r="B92">
        <v>6.4</v>
      </c>
      <c r="C92">
        <f t="shared" si="30"/>
        <v>0.85333311999999995</v>
      </c>
      <c r="D92">
        <v>12</v>
      </c>
      <c r="E92">
        <f t="shared" si="31"/>
        <v>1.5999995999999999</v>
      </c>
      <c r="F92">
        <v>25.1</v>
      </c>
      <c r="G92">
        <f t="shared" si="32"/>
        <v>3.3466658300000001</v>
      </c>
      <c r="H92">
        <v>18.5</v>
      </c>
      <c r="I92">
        <f t="shared" si="33"/>
        <v>2.4666660499999997</v>
      </c>
      <c r="J92">
        <v>19.100000000000001</v>
      </c>
      <c r="K92">
        <f t="shared" si="34"/>
        <v>2.5466660299999999</v>
      </c>
      <c r="L92">
        <v>29.6</v>
      </c>
      <c r="M92">
        <f t="shared" si="35"/>
        <v>3.9466656799999997</v>
      </c>
      <c r="N92">
        <v>28.6</v>
      </c>
      <c r="O92">
        <f t="shared" si="36"/>
        <v>3.8133323799999999</v>
      </c>
      <c r="P92">
        <v>83.2</v>
      </c>
      <c r="Q92">
        <f t="shared" si="37"/>
        <v>11.09333056</v>
      </c>
      <c r="R92">
        <v>45.5</v>
      </c>
      <c r="S92">
        <f t="shared" si="38"/>
        <v>6.0666651499999995</v>
      </c>
      <c r="T92">
        <v>129.69999999999999</v>
      </c>
      <c r="U92">
        <f t="shared" si="39"/>
        <v>17.293329009999997</v>
      </c>
      <c r="W92">
        <v>89</v>
      </c>
      <c r="X92">
        <v>22.6</v>
      </c>
      <c r="Y92">
        <f t="shared" si="40"/>
        <v>3.0133325799999997</v>
      </c>
      <c r="Z92">
        <v>4.9000000000000004</v>
      </c>
      <c r="AA92">
        <f t="shared" si="41"/>
        <v>0.65333317000000002</v>
      </c>
      <c r="AB92">
        <v>34.200000000000003</v>
      </c>
      <c r="AC92">
        <f t="shared" si="42"/>
        <v>4.5599988600000003</v>
      </c>
      <c r="AD92">
        <v>40.299999999999997</v>
      </c>
      <c r="AE92">
        <f t="shared" si="43"/>
        <v>5.3733319899999987</v>
      </c>
      <c r="AF92">
        <v>38.700000000000003</v>
      </c>
      <c r="AG92">
        <f t="shared" si="44"/>
        <v>5.15999871</v>
      </c>
      <c r="AH92">
        <v>38.799999999999997</v>
      </c>
      <c r="AI92">
        <f t="shared" si="45"/>
        <v>5.1733320399999991</v>
      </c>
      <c r="AJ92">
        <v>26.1</v>
      </c>
      <c r="AK92">
        <f t="shared" si="46"/>
        <v>3.4799991299999999</v>
      </c>
      <c r="AL92">
        <v>51.7</v>
      </c>
      <c r="AM92">
        <f t="shared" si="47"/>
        <v>6.8933316099999997</v>
      </c>
      <c r="AN92">
        <v>61.2</v>
      </c>
      <c r="AO92">
        <f t="shared" si="48"/>
        <v>8.1599979600000001</v>
      </c>
      <c r="AP92">
        <v>52.4</v>
      </c>
      <c r="AQ92">
        <f t="shared" si="49"/>
        <v>6.9866649199999991</v>
      </c>
      <c r="AS92">
        <v>89</v>
      </c>
      <c r="AT92">
        <v>53.5</v>
      </c>
      <c r="AU92">
        <f t="shared" si="50"/>
        <v>7.1333315499999994</v>
      </c>
      <c r="AV92">
        <v>17.2</v>
      </c>
      <c r="AW92">
        <f t="shared" si="51"/>
        <v>2.2933327599999997</v>
      </c>
      <c r="AX92">
        <v>21.7</v>
      </c>
      <c r="AY92">
        <f t="shared" si="52"/>
        <v>2.8933326099999999</v>
      </c>
      <c r="AZ92">
        <v>20.3</v>
      </c>
      <c r="BA92">
        <f t="shared" si="53"/>
        <v>2.7066659899999999</v>
      </c>
      <c r="BB92">
        <v>37.799999999999997</v>
      </c>
      <c r="BC92">
        <f t="shared" si="54"/>
        <v>5.0399987399999988</v>
      </c>
      <c r="BD92">
        <v>37</v>
      </c>
      <c r="BE92">
        <f t="shared" si="55"/>
        <v>4.9333320999999994</v>
      </c>
      <c r="BF92">
        <v>34</v>
      </c>
      <c r="BG92">
        <f t="shared" si="56"/>
        <v>4.5333321999999994</v>
      </c>
      <c r="BH92">
        <v>52.3</v>
      </c>
      <c r="BI92">
        <f t="shared" si="57"/>
        <v>6.973331589999999</v>
      </c>
      <c r="BJ92">
        <v>41.7</v>
      </c>
      <c r="BK92">
        <f t="shared" si="58"/>
        <v>5.5599986100000001</v>
      </c>
      <c r="BL92">
        <v>26.4</v>
      </c>
      <c r="BM92">
        <f t="shared" si="59"/>
        <v>3.5199991199999996</v>
      </c>
    </row>
    <row r="93" spans="1:65" x14ac:dyDescent="0.35">
      <c r="A93">
        <v>90</v>
      </c>
      <c r="B93">
        <v>6.4</v>
      </c>
      <c r="C93">
        <f t="shared" si="30"/>
        <v>0.85333311999999995</v>
      </c>
      <c r="D93">
        <v>12</v>
      </c>
      <c r="E93">
        <f t="shared" si="31"/>
        <v>1.5999995999999999</v>
      </c>
      <c r="F93">
        <v>25.1</v>
      </c>
      <c r="G93">
        <f t="shared" si="32"/>
        <v>3.3466658300000001</v>
      </c>
      <c r="H93">
        <v>18.5</v>
      </c>
      <c r="I93">
        <f t="shared" si="33"/>
        <v>2.4666660499999997</v>
      </c>
      <c r="J93">
        <v>19.2</v>
      </c>
      <c r="K93">
        <f t="shared" si="34"/>
        <v>2.5599993599999995</v>
      </c>
      <c r="L93">
        <v>29.6</v>
      </c>
      <c r="M93">
        <f t="shared" si="35"/>
        <v>3.9466656799999997</v>
      </c>
      <c r="N93">
        <v>28.7</v>
      </c>
      <c r="O93">
        <f t="shared" si="36"/>
        <v>3.8266657099999994</v>
      </c>
      <c r="P93">
        <v>83.2</v>
      </c>
      <c r="Q93">
        <f t="shared" si="37"/>
        <v>11.09333056</v>
      </c>
      <c r="R93">
        <v>45.5</v>
      </c>
      <c r="S93">
        <f t="shared" si="38"/>
        <v>6.0666651499999995</v>
      </c>
      <c r="T93">
        <v>129.6</v>
      </c>
      <c r="U93">
        <f t="shared" si="39"/>
        <v>17.279995679999999</v>
      </c>
      <c r="W93">
        <v>90</v>
      </c>
      <c r="X93">
        <v>22.6</v>
      </c>
      <c r="Y93">
        <f t="shared" si="40"/>
        <v>3.0133325799999997</v>
      </c>
      <c r="Z93">
        <v>4.8</v>
      </c>
      <c r="AA93">
        <f t="shared" si="41"/>
        <v>0.63999983999999988</v>
      </c>
      <c r="AB93">
        <v>34.200000000000003</v>
      </c>
      <c r="AC93">
        <f t="shared" si="42"/>
        <v>4.5599988600000003</v>
      </c>
      <c r="AD93">
        <v>40.299999999999997</v>
      </c>
      <c r="AE93">
        <f t="shared" si="43"/>
        <v>5.3733319899999987</v>
      </c>
      <c r="AF93">
        <v>38.799999999999997</v>
      </c>
      <c r="AG93">
        <f t="shared" si="44"/>
        <v>5.1733320399999991</v>
      </c>
      <c r="AH93">
        <v>38.9</v>
      </c>
      <c r="AI93">
        <f t="shared" si="45"/>
        <v>5.1866653699999992</v>
      </c>
      <c r="AJ93">
        <v>26.2</v>
      </c>
      <c r="AK93">
        <f t="shared" si="46"/>
        <v>3.4933324599999995</v>
      </c>
      <c r="AL93">
        <v>51.8</v>
      </c>
      <c r="AM93">
        <f t="shared" si="47"/>
        <v>6.9066649399999989</v>
      </c>
      <c r="AN93">
        <v>61.2</v>
      </c>
      <c r="AO93">
        <f t="shared" si="48"/>
        <v>8.1599979600000001</v>
      </c>
      <c r="AP93">
        <v>52.4</v>
      </c>
      <c r="AQ93">
        <f t="shared" si="49"/>
        <v>6.9866649199999991</v>
      </c>
      <c r="AS93">
        <v>90</v>
      </c>
      <c r="AT93">
        <v>53.5</v>
      </c>
      <c r="AU93">
        <f t="shared" si="50"/>
        <v>7.1333315499999994</v>
      </c>
      <c r="AV93">
        <v>17.2</v>
      </c>
      <c r="AW93">
        <f t="shared" si="51"/>
        <v>2.2933327599999997</v>
      </c>
      <c r="AX93">
        <v>21.7</v>
      </c>
      <c r="AY93">
        <f t="shared" si="52"/>
        <v>2.8933326099999999</v>
      </c>
      <c r="AZ93">
        <v>20.3</v>
      </c>
      <c r="BA93">
        <f t="shared" si="53"/>
        <v>2.7066659899999999</v>
      </c>
      <c r="BB93">
        <v>37.799999999999997</v>
      </c>
      <c r="BC93">
        <f t="shared" si="54"/>
        <v>5.0399987399999988</v>
      </c>
      <c r="BD93">
        <v>36.9</v>
      </c>
      <c r="BE93">
        <f t="shared" si="55"/>
        <v>4.9199987699999994</v>
      </c>
      <c r="BF93">
        <v>34</v>
      </c>
      <c r="BG93">
        <f t="shared" si="56"/>
        <v>4.5333321999999994</v>
      </c>
      <c r="BH93">
        <v>52.3</v>
      </c>
      <c r="BI93">
        <f t="shared" si="57"/>
        <v>6.973331589999999</v>
      </c>
      <c r="BJ93">
        <v>41.7</v>
      </c>
      <c r="BK93">
        <f t="shared" si="58"/>
        <v>5.5599986100000001</v>
      </c>
      <c r="BL93">
        <v>26.5</v>
      </c>
      <c r="BM93">
        <f t="shared" si="59"/>
        <v>3.5333324499999996</v>
      </c>
    </row>
    <row r="94" spans="1:65" x14ac:dyDescent="0.35">
      <c r="A94">
        <v>91</v>
      </c>
      <c r="B94">
        <v>6.4</v>
      </c>
      <c r="C94">
        <f t="shared" si="30"/>
        <v>0.85333311999999995</v>
      </c>
      <c r="D94">
        <v>12.1</v>
      </c>
      <c r="E94">
        <f t="shared" si="31"/>
        <v>1.6133329299999999</v>
      </c>
      <c r="F94">
        <v>25.1</v>
      </c>
      <c r="G94">
        <f t="shared" si="32"/>
        <v>3.3466658300000001</v>
      </c>
      <c r="H94">
        <v>18.600000000000001</v>
      </c>
      <c r="I94">
        <f t="shared" si="33"/>
        <v>2.4799993799999998</v>
      </c>
      <c r="J94">
        <v>19.2</v>
      </c>
      <c r="K94">
        <f t="shared" si="34"/>
        <v>2.5599993599999995</v>
      </c>
      <c r="L94">
        <v>29.6</v>
      </c>
      <c r="M94">
        <f t="shared" si="35"/>
        <v>3.9466656799999997</v>
      </c>
      <c r="N94">
        <v>28.7</v>
      </c>
      <c r="O94">
        <f t="shared" si="36"/>
        <v>3.8266657099999994</v>
      </c>
      <c r="P94">
        <v>83.2</v>
      </c>
      <c r="Q94">
        <f t="shared" si="37"/>
        <v>11.09333056</v>
      </c>
      <c r="R94">
        <v>45.5</v>
      </c>
      <c r="S94">
        <f t="shared" si="38"/>
        <v>6.0666651499999995</v>
      </c>
      <c r="T94">
        <v>128.9</v>
      </c>
      <c r="U94">
        <f t="shared" si="39"/>
        <v>17.186662370000001</v>
      </c>
      <c r="W94">
        <v>91</v>
      </c>
      <c r="X94">
        <v>22.7</v>
      </c>
      <c r="Y94">
        <f t="shared" si="40"/>
        <v>3.0266659099999997</v>
      </c>
      <c r="Z94">
        <v>4.8</v>
      </c>
      <c r="AA94">
        <f t="shared" si="41"/>
        <v>0.63999983999999988</v>
      </c>
      <c r="AB94">
        <v>34.1</v>
      </c>
      <c r="AC94">
        <f t="shared" si="42"/>
        <v>4.5466655299999994</v>
      </c>
      <c r="AD94">
        <v>40.299999999999997</v>
      </c>
      <c r="AE94">
        <f t="shared" si="43"/>
        <v>5.3733319899999987</v>
      </c>
      <c r="AF94">
        <v>38.799999999999997</v>
      </c>
      <c r="AG94">
        <f t="shared" si="44"/>
        <v>5.1733320399999991</v>
      </c>
      <c r="AH94">
        <v>39</v>
      </c>
      <c r="AI94">
        <f t="shared" si="45"/>
        <v>5.1999986999999992</v>
      </c>
      <c r="AJ94">
        <v>26.2</v>
      </c>
      <c r="AK94">
        <f t="shared" si="46"/>
        <v>3.4933324599999995</v>
      </c>
      <c r="AL94">
        <v>51.8</v>
      </c>
      <c r="AM94">
        <f t="shared" si="47"/>
        <v>6.9066649399999989</v>
      </c>
      <c r="AN94">
        <v>61.3</v>
      </c>
      <c r="AO94">
        <f t="shared" si="48"/>
        <v>8.1733312899999984</v>
      </c>
      <c r="AP94">
        <v>52.3</v>
      </c>
      <c r="AQ94">
        <f t="shared" si="49"/>
        <v>6.973331589999999</v>
      </c>
      <c r="AS94">
        <v>91</v>
      </c>
      <c r="AT94">
        <v>53.5</v>
      </c>
      <c r="AU94">
        <f t="shared" si="50"/>
        <v>7.1333315499999994</v>
      </c>
      <c r="AV94">
        <v>17.2</v>
      </c>
      <c r="AW94">
        <f t="shared" si="51"/>
        <v>2.2933327599999997</v>
      </c>
      <c r="AX94">
        <v>21.7</v>
      </c>
      <c r="AY94">
        <f t="shared" si="52"/>
        <v>2.8933326099999999</v>
      </c>
      <c r="AZ94">
        <v>20.3</v>
      </c>
      <c r="BA94">
        <f t="shared" si="53"/>
        <v>2.7066659899999999</v>
      </c>
      <c r="BB94">
        <v>37.799999999999997</v>
      </c>
      <c r="BC94">
        <f t="shared" si="54"/>
        <v>5.0399987399999988</v>
      </c>
      <c r="BD94">
        <v>37</v>
      </c>
      <c r="BE94">
        <f t="shared" si="55"/>
        <v>4.9333320999999994</v>
      </c>
      <c r="BF94">
        <v>34</v>
      </c>
      <c r="BG94">
        <f t="shared" si="56"/>
        <v>4.5333321999999994</v>
      </c>
      <c r="BH94">
        <v>52.2</v>
      </c>
      <c r="BI94">
        <f t="shared" si="57"/>
        <v>6.9599982599999999</v>
      </c>
      <c r="BJ94">
        <v>41.7</v>
      </c>
      <c r="BK94">
        <f t="shared" si="58"/>
        <v>5.5599986100000001</v>
      </c>
      <c r="BL94">
        <v>26.6</v>
      </c>
      <c r="BM94">
        <f t="shared" si="59"/>
        <v>3.5466657799999997</v>
      </c>
    </row>
    <row r="95" spans="1:65" x14ac:dyDescent="0.35">
      <c r="A95">
        <v>92</v>
      </c>
      <c r="B95">
        <v>6.4</v>
      </c>
      <c r="C95">
        <f t="shared" si="30"/>
        <v>0.85333311999999995</v>
      </c>
      <c r="D95">
        <v>12.1</v>
      </c>
      <c r="E95">
        <f t="shared" si="31"/>
        <v>1.6133329299999999</v>
      </c>
      <c r="F95">
        <v>25.2</v>
      </c>
      <c r="G95">
        <f t="shared" si="32"/>
        <v>3.3599991599999997</v>
      </c>
      <c r="H95">
        <v>18.600000000000001</v>
      </c>
      <c r="I95">
        <f t="shared" si="33"/>
        <v>2.4799993799999998</v>
      </c>
      <c r="J95">
        <v>19.3</v>
      </c>
      <c r="K95">
        <f t="shared" si="34"/>
        <v>2.57333269</v>
      </c>
      <c r="L95">
        <v>29.7</v>
      </c>
      <c r="M95">
        <f t="shared" si="35"/>
        <v>3.9599990099999998</v>
      </c>
      <c r="N95">
        <v>28.8</v>
      </c>
      <c r="O95">
        <f t="shared" si="36"/>
        <v>3.8399990399999999</v>
      </c>
      <c r="P95">
        <v>83.2</v>
      </c>
      <c r="Q95">
        <f t="shared" si="37"/>
        <v>11.09333056</v>
      </c>
      <c r="R95">
        <v>45.6</v>
      </c>
      <c r="S95">
        <f t="shared" si="38"/>
        <v>6.0799984799999995</v>
      </c>
      <c r="T95">
        <v>109.9</v>
      </c>
      <c r="U95">
        <f t="shared" si="39"/>
        <v>14.65332967</v>
      </c>
      <c r="W95">
        <v>92</v>
      </c>
      <c r="X95">
        <v>22.7</v>
      </c>
      <c r="Y95">
        <f t="shared" si="40"/>
        <v>3.0266659099999997</v>
      </c>
      <c r="Z95">
        <v>4.8</v>
      </c>
      <c r="AA95">
        <f t="shared" si="41"/>
        <v>0.63999983999999988</v>
      </c>
      <c r="AB95">
        <v>34.200000000000003</v>
      </c>
      <c r="AC95">
        <f t="shared" si="42"/>
        <v>4.5599988600000003</v>
      </c>
      <c r="AD95">
        <v>40.200000000000003</v>
      </c>
      <c r="AE95">
        <f t="shared" si="43"/>
        <v>5.3599986599999996</v>
      </c>
      <c r="AF95">
        <v>38.799999999999997</v>
      </c>
      <c r="AG95">
        <f t="shared" si="44"/>
        <v>5.1733320399999991</v>
      </c>
      <c r="AH95">
        <v>39.1</v>
      </c>
      <c r="AI95">
        <f t="shared" si="45"/>
        <v>5.2133320300000001</v>
      </c>
      <c r="AJ95">
        <v>26.3</v>
      </c>
      <c r="AK95">
        <f t="shared" si="46"/>
        <v>3.5066657899999996</v>
      </c>
      <c r="AL95">
        <v>51.9</v>
      </c>
      <c r="AM95">
        <f t="shared" si="47"/>
        <v>6.9199982699999989</v>
      </c>
      <c r="AN95">
        <v>61.3</v>
      </c>
      <c r="AO95">
        <f t="shared" si="48"/>
        <v>8.1733312899999984</v>
      </c>
      <c r="AP95">
        <v>52.3</v>
      </c>
      <c r="AQ95">
        <f t="shared" si="49"/>
        <v>6.973331589999999</v>
      </c>
      <c r="AS95">
        <v>92</v>
      </c>
      <c r="AT95">
        <v>53.5</v>
      </c>
      <c r="AU95">
        <f t="shared" si="50"/>
        <v>7.1333315499999994</v>
      </c>
      <c r="AV95">
        <v>17.2</v>
      </c>
      <c r="AW95">
        <f t="shared" si="51"/>
        <v>2.2933327599999997</v>
      </c>
      <c r="AX95">
        <v>21.7</v>
      </c>
      <c r="AY95">
        <f t="shared" si="52"/>
        <v>2.8933326099999999</v>
      </c>
      <c r="AZ95">
        <v>20.399999999999999</v>
      </c>
      <c r="BA95">
        <f t="shared" si="53"/>
        <v>2.7199993199999994</v>
      </c>
      <c r="BB95">
        <v>37.799999999999997</v>
      </c>
      <c r="BC95">
        <f t="shared" si="54"/>
        <v>5.0399987399999988</v>
      </c>
      <c r="BD95">
        <v>37</v>
      </c>
      <c r="BE95">
        <f t="shared" si="55"/>
        <v>4.9333320999999994</v>
      </c>
      <c r="BF95">
        <v>34</v>
      </c>
      <c r="BG95">
        <f t="shared" si="56"/>
        <v>4.5333321999999994</v>
      </c>
      <c r="BH95">
        <v>52.1</v>
      </c>
      <c r="BI95">
        <f t="shared" si="57"/>
        <v>6.9466649299999998</v>
      </c>
      <c r="BJ95">
        <v>41.7</v>
      </c>
      <c r="BK95">
        <f t="shared" si="58"/>
        <v>5.5599986100000001</v>
      </c>
      <c r="BL95">
        <v>26.6</v>
      </c>
      <c r="BM95">
        <f t="shared" si="59"/>
        <v>3.5466657799999997</v>
      </c>
    </row>
    <row r="96" spans="1:65" x14ac:dyDescent="0.35">
      <c r="A96">
        <v>93</v>
      </c>
      <c r="B96">
        <v>6.4</v>
      </c>
      <c r="C96">
        <f t="shared" si="30"/>
        <v>0.85333311999999995</v>
      </c>
      <c r="D96">
        <v>12.1</v>
      </c>
      <c r="E96">
        <f t="shared" si="31"/>
        <v>1.6133329299999999</v>
      </c>
      <c r="F96">
        <v>25.2</v>
      </c>
      <c r="G96">
        <f t="shared" si="32"/>
        <v>3.3599991599999997</v>
      </c>
      <c r="H96">
        <v>18.600000000000001</v>
      </c>
      <c r="I96">
        <f t="shared" si="33"/>
        <v>2.4799993799999998</v>
      </c>
      <c r="J96">
        <v>19.3</v>
      </c>
      <c r="K96">
        <f t="shared" si="34"/>
        <v>2.57333269</v>
      </c>
      <c r="L96">
        <v>29.8</v>
      </c>
      <c r="M96">
        <f t="shared" si="35"/>
        <v>3.9733323399999998</v>
      </c>
      <c r="N96">
        <v>28.8</v>
      </c>
      <c r="O96">
        <f t="shared" si="36"/>
        <v>3.8399990399999999</v>
      </c>
      <c r="P96">
        <v>83.2</v>
      </c>
      <c r="Q96">
        <f t="shared" si="37"/>
        <v>11.09333056</v>
      </c>
      <c r="R96">
        <v>45.7</v>
      </c>
      <c r="S96">
        <f t="shared" si="38"/>
        <v>6.0933318099999996</v>
      </c>
      <c r="T96">
        <v>70.099999999999994</v>
      </c>
      <c r="U96">
        <f t="shared" si="39"/>
        <v>9.3466643299999976</v>
      </c>
      <c r="W96">
        <v>93</v>
      </c>
      <c r="X96">
        <v>22.7</v>
      </c>
      <c r="Y96">
        <f t="shared" si="40"/>
        <v>3.0266659099999997</v>
      </c>
      <c r="Z96">
        <v>4.7</v>
      </c>
      <c r="AA96">
        <f t="shared" si="41"/>
        <v>0.62666650999999995</v>
      </c>
      <c r="AB96">
        <v>34.200000000000003</v>
      </c>
      <c r="AC96">
        <f t="shared" si="42"/>
        <v>4.5599988600000003</v>
      </c>
      <c r="AD96">
        <v>40.200000000000003</v>
      </c>
      <c r="AE96">
        <f t="shared" si="43"/>
        <v>5.3599986599999996</v>
      </c>
      <c r="AF96">
        <v>38.799999999999997</v>
      </c>
      <c r="AG96">
        <f t="shared" si="44"/>
        <v>5.1733320399999991</v>
      </c>
      <c r="AH96">
        <v>39.200000000000003</v>
      </c>
      <c r="AI96">
        <f t="shared" si="45"/>
        <v>5.2266653600000001</v>
      </c>
      <c r="AJ96">
        <v>26.4</v>
      </c>
      <c r="AK96">
        <f t="shared" si="46"/>
        <v>3.5199991199999996</v>
      </c>
      <c r="AL96">
        <v>52</v>
      </c>
      <c r="AM96">
        <f t="shared" si="47"/>
        <v>6.9333315999999989</v>
      </c>
      <c r="AN96">
        <v>61.3</v>
      </c>
      <c r="AO96">
        <f t="shared" si="48"/>
        <v>8.1733312899999984</v>
      </c>
      <c r="AP96">
        <v>52.3</v>
      </c>
      <c r="AQ96">
        <f t="shared" si="49"/>
        <v>6.973331589999999</v>
      </c>
      <c r="AS96">
        <v>93</v>
      </c>
      <c r="AT96">
        <v>53.5</v>
      </c>
      <c r="AU96">
        <f t="shared" si="50"/>
        <v>7.1333315499999994</v>
      </c>
      <c r="AV96">
        <v>17.2</v>
      </c>
      <c r="AW96">
        <f t="shared" si="51"/>
        <v>2.2933327599999997</v>
      </c>
      <c r="AX96">
        <v>21.7</v>
      </c>
      <c r="AY96">
        <f t="shared" si="52"/>
        <v>2.8933326099999999</v>
      </c>
      <c r="AZ96">
        <v>20.399999999999999</v>
      </c>
      <c r="BA96">
        <f t="shared" si="53"/>
        <v>2.7199993199999994</v>
      </c>
      <c r="BB96">
        <v>37.9</v>
      </c>
      <c r="BC96">
        <f t="shared" si="54"/>
        <v>5.0533320699999997</v>
      </c>
      <c r="BD96">
        <v>37</v>
      </c>
      <c r="BE96">
        <f t="shared" si="55"/>
        <v>4.9333320999999994</v>
      </c>
      <c r="BF96">
        <v>34.1</v>
      </c>
      <c r="BG96">
        <f t="shared" si="56"/>
        <v>4.5466655299999994</v>
      </c>
      <c r="BH96">
        <v>52.1</v>
      </c>
      <c r="BI96">
        <f t="shared" si="57"/>
        <v>6.9466649299999998</v>
      </c>
      <c r="BJ96">
        <v>41.8</v>
      </c>
      <c r="BK96">
        <f t="shared" si="58"/>
        <v>5.5733319399999992</v>
      </c>
      <c r="BL96">
        <v>26.7</v>
      </c>
      <c r="BM96">
        <f t="shared" si="59"/>
        <v>3.5599991099999997</v>
      </c>
    </row>
    <row r="97" spans="1:65" x14ac:dyDescent="0.35">
      <c r="A97">
        <v>94</v>
      </c>
      <c r="B97">
        <v>6.4</v>
      </c>
      <c r="C97">
        <f t="shared" si="30"/>
        <v>0.85333311999999995</v>
      </c>
      <c r="D97">
        <v>12.2</v>
      </c>
      <c r="E97">
        <f t="shared" si="31"/>
        <v>1.6266662599999997</v>
      </c>
      <c r="F97">
        <v>25.2</v>
      </c>
      <c r="G97">
        <f t="shared" si="32"/>
        <v>3.3599991599999997</v>
      </c>
      <c r="H97">
        <v>18.600000000000001</v>
      </c>
      <c r="I97">
        <f t="shared" si="33"/>
        <v>2.4799993799999998</v>
      </c>
      <c r="J97">
        <v>19.399999999999999</v>
      </c>
      <c r="K97">
        <f t="shared" si="34"/>
        <v>2.5866660199999996</v>
      </c>
      <c r="L97">
        <v>29.8</v>
      </c>
      <c r="M97">
        <f t="shared" si="35"/>
        <v>3.9733323399999998</v>
      </c>
      <c r="N97">
        <v>28.9</v>
      </c>
      <c r="O97">
        <f t="shared" si="36"/>
        <v>3.8533323699999995</v>
      </c>
      <c r="P97">
        <v>83.2</v>
      </c>
      <c r="Q97">
        <f t="shared" si="37"/>
        <v>11.09333056</v>
      </c>
      <c r="R97">
        <v>45.7</v>
      </c>
      <c r="S97">
        <f t="shared" si="38"/>
        <v>6.0933318099999996</v>
      </c>
      <c r="T97">
        <v>62.2</v>
      </c>
      <c r="U97">
        <f t="shared" si="39"/>
        <v>8.2933312600000004</v>
      </c>
      <c r="W97">
        <v>94</v>
      </c>
      <c r="X97">
        <v>22.7</v>
      </c>
      <c r="Y97">
        <f t="shared" si="40"/>
        <v>3.0266659099999997</v>
      </c>
      <c r="Z97">
        <v>4.7</v>
      </c>
      <c r="AA97">
        <f t="shared" si="41"/>
        <v>0.62666650999999995</v>
      </c>
      <c r="AB97">
        <v>34.200000000000003</v>
      </c>
      <c r="AC97">
        <f t="shared" si="42"/>
        <v>4.5599988600000003</v>
      </c>
      <c r="AD97">
        <v>40.200000000000003</v>
      </c>
      <c r="AE97">
        <f t="shared" si="43"/>
        <v>5.3599986599999996</v>
      </c>
      <c r="AF97">
        <v>38.799999999999997</v>
      </c>
      <c r="AG97">
        <f t="shared" si="44"/>
        <v>5.1733320399999991</v>
      </c>
      <c r="AH97">
        <v>39.299999999999997</v>
      </c>
      <c r="AI97">
        <f t="shared" si="45"/>
        <v>5.2399986899999993</v>
      </c>
      <c r="AJ97">
        <v>26.5</v>
      </c>
      <c r="AK97">
        <f t="shared" si="46"/>
        <v>3.5333324499999996</v>
      </c>
      <c r="AL97">
        <v>52</v>
      </c>
      <c r="AM97">
        <f t="shared" si="47"/>
        <v>6.9333315999999989</v>
      </c>
      <c r="AN97">
        <v>61.3</v>
      </c>
      <c r="AO97">
        <f t="shared" si="48"/>
        <v>8.1733312899999984</v>
      </c>
      <c r="AP97">
        <v>52.3</v>
      </c>
      <c r="AQ97">
        <f t="shared" si="49"/>
        <v>6.973331589999999</v>
      </c>
      <c r="AS97">
        <v>94</v>
      </c>
      <c r="AT97">
        <v>53.5</v>
      </c>
      <c r="AU97">
        <f t="shared" si="50"/>
        <v>7.1333315499999994</v>
      </c>
      <c r="AV97">
        <v>17.2</v>
      </c>
      <c r="AW97">
        <f t="shared" si="51"/>
        <v>2.2933327599999997</v>
      </c>
      <c r="AX97">
        <v>21.7</v>
      </c>
      <c r="AY97">
        <f t="shared" si="52"/>
        <v>2.8933326099999999</v>
      </c>
      <c r="AZ97">
        <v>20.399999999999999</v>
      </c>
      <c r="BA97">
        <f t="shared" si="53"/>
        <v>2.7199993199999994</v>
      </c>
      <c r="BB97">
        <v>37.9</v>
      </c>
      <c r="BC97">
        <f t="shared" si="54"/>
        <v>5.0533320699999997</v>
      </c>
      <c r="BD97">
        <v>37</v>
      </c>
      <c r="BE97">
        <f t="shared" si="55"/>
        <v>4.9333320999999994</v>
      </c>
      <c r="BF97">
        <v>34.1</v>
      </c>
      <c r="BG97">
        <f t="shared" si="56"/>
        <v>4.5466655299999994</v>
      </c>
      <c r="BH97">
        <v>52</v>
      </c>
      <c r="BI97">
        <f t="shared" si="57"/>
        <v>6.9333315999999989</v>
      </c>
      <c r="BJ97">
        <v>41.8</v>
      </c>
      <c r="BK97">
        <f t="shared" si="58"/>
        <v>5.5733319399999992</v>
      </c>
      <c r="BL97">
        <v>26.7</v>
      </c>
      <c r="BM97">
        <f t="shared" si="59"/>
        <v>3.5599991099999997</v>
      </c>
    </row>
    <row r="98" spans="1:65" x14ac:dyDescent="0.35">
      <c r="A98">
        <v>95</v>
      </c>
      <c r="B98">
        <v>6.5</v>
      </c>
      <c r="C98">
        <f t="shared" si="30"/>
        <v>0.86666644999999987</v>
      </c>
      <c r="D98">
        <v>12.2</v>
      </c>
      <c r="E98">
        <f t="shared" si="31"/>
        <v>1.6266662599999997</v>
      </c>
      <c r="F98">
        <v>25.3</v>
      </c>
      <c r="G98">
        <f t="shared" si="32"/>
        <v>3.3733324899999997</v>
      </c>
      <c r="H98">
        <v>18.7</v>
      </c>
      <c r="I98">
        <f t="shared" si="33"/>
        <v>2.4933327099999998</v>
      </c>
      <c r="J98">
        <v>19.5</v>
      </c>
      <c r="K98">
        <f t="shared" si="34"/>
        <v>2.5999993499999996</v>
      </c>
      <c r="L98">
        <v>29.8</v>
      </c>
      <c r="M98">
        <f t="shared" si="35"/>
        <v>3.9733323399999998</v>
      </c>
      <c r="N98">
        <v>28.9</v>
      </c>
      <c r="O98">
        <f t="shared" si="36"/>
        <v>3.8533323699999995</v>
      </c>
      <c r="P98">
        <v>83.2</v>
      </c>
      <c r="Q98">
        <f t="shared" si="37"/>
        <v>11.09333056</v>
      </c>
      <c r="R98">
        <v>45.8</v>
      </c>
      <c r="S98">
        <f t="shared" si="38"/>
        <v>6.1066651399999987</v>
      </c>
      <c r="T98">
        <v>63.5</v>
      </c>
      <c r="U98">
        <f t="shared" si="39"/>
        <v>8.4666645499999991</v>
      </c>
      <c r="W98">
        <v>95</v>
      </c>
      <c r="X98">
        <v>22.7</v>
      </c>
      <c r="Y98">
        <f t="shared" si="40"/>
        <v>3.0266659099999997</v>
      </c>
      <c r="Z98">
        <v>4.7</v>
      </c>
      <c r="AA98">
        <f t="shared" si="41"/>
        <v>0.62666650999999995</v>
      </c>
      <c r="AB98">
        <v>34.200000000000003</v>
      </c>
      <c r="AC98">
        <f t="shared" si="42"/>
        <v>4.5599988600000003</v>
      </c>
      <c r="AD98">
        <v>40.200000000000003</v>
      </c>
      <c r="AE98">
        <f t="shared" si="43"/>
        <v>5.3599986599999996</v>
      </c>
      <c r="AF98">
        <v>38.799999999999997</v>
      </c>
      <c r="AG98">
        <f t="shared" si="44"/>
        <v>5.1733320399999991</v>
      </c>
      <c r="AH98">
        <v>39.4</v>
      </c>
      <c r="AI98">
        <f t="shared" si="45"/>
        <v>5.2533320199999993</v>
      </c>
      <c r="AJ98">
        <v>26.5</v>
      </c>
      <c r="AK98">
        <f t="shared" si="46"/>
        <v>3.5333324499999996</v>
      </c>
      <c r="AL98">
        <v>52</v>
      </c>
      <c r="AM98">
        <f t="shared" si="47"/>
        <v>6.9333315999999989</v>
      </c>
      <c r="AN98">
        <v>61.3</v>
      </c>
      <c r="AO98">
        <f t="shared" si="48"/>
        <v>8.1733312899999984</v>
      </c>
      <c r="AP98">
        <v>52.3</v>
      </c>
      <c r="AQ98">
        <f t="shared" si="49"/>
        <v>6.973331589999999</v>
      </c>
      <c r="AS98">
        <v>95</v>
      </c>
      <c r="AT98">
        <v>53.5</v>
      </c>
      <c r="AU98">
        <f t="shared" si="50"/>
        <v>7.1333315499999994</v>
      </c>
      <c r="AV98">
        <v>17.2</v>
      </c>
      <c r="AW98">
        <f t="shared" si="51"/>
        <v>2.2933327599999997</v>
      </c>
      <c r="AX98">
        <v>21.7</v>
      </c>
      <c r="AY98">
        <f t="shared" si="52"/>
        <v>2.8933326099999999</v>
      </c>
      <c r="AZ98">
        <v>20.399999999999999</v>
      </c>
      <c r="BA98">
        <f t="shared" si="53"/>
        <v>2.7199993199999994</v>
      </c>
      <c r="BB98">
        <v>37.9</v>
      </c>
      <c r="BC98">
        <f t="shared" si="54"/>
        <v>5.0533320699999997</v>
      </c>
      <c r="BD98">
        <v>37</v>
      </c>
      <c r="BE98">
        <f t="shared" si="55"/>
        <v>4.9333320999999994</v>
      </c>
      <c r="BF98">
        <v>34.1</v>
      </c>
      <c r="BG98">
        <f t="shared" si="56"/>
        <v>4.5466655299999994</v>
      </c>
      <c r="BH98">
        <v>52</v>
      </c>
      <c r="BI98">
        <f t="shared" si="57"/>
        <v>6.9333315999999989</v>
      </c>
      <c r="BJ98">
        <v>41.9</v>
      </c>
      <c r="BK98">
        <f t="shared" si="58"/>
        <v>5.5866652699999992</v>
      </c>
      <c r="BL98">
        <v>26.8</v>
      </c>
      <c r="BM98">
        <f t="shared" si="59"/>
        <v>3.5733324399999997</v>
      </c>
    </row>
    <row r="99" spans="1:65" x14ac:dyDescent="0.35">
      <c r="A99">
        <v>96</v>
      </c>
      <c r="B99">
        <v>6.5</v>
      </c>
      <c r="C99">
        <f t="shared" si="30"/>
        <v>0.86666644999999987</v>
      </c>
      <c r="D99">
        <v>12.2</v>
      </c>
      <c r="E99">
        <f t="shared" si="31"/>
        <v>1.6266662599999997</v>
      </c>
      <c r="F99">
        <v>25.3</v>
      </c>
      <c r="G99">
        <f t="shared" si="32"/>
        <v>3.3733324899999997</v>
      </c>
      <c r="H99">
        <v>18.7</v>
      </c>
      <c r="I99">
        <f t="shared" si="33"/>
        <v>2.4933327099999998</v>
      </c>
      <c r="J99">
        <v>19.5</v>
      </c>
      <c r="K99">
        <f t="shared" si="34"/>
        <v>2.5999993499999996</v>
      </c>
      <c r="L99">
        <v>29.9</v>
      </c>
      <c r="M99">
        <f t="shared" si="35"/>
        <v>3.9866656699999994</v>
      </c>
      <c r="N99">
        <v>28.9</v>
      </c>
      <c r="O99">
        <f t="shared" si="36"/>
        <v>3.8533323699999995</v>
      </c>
      <c r="P99">
        <v>83.2</v>
      </c>
      <c r="Q99">
        <f t="shared" si="37"/>
        <v>11.09333056</v>
      </c>
      <c r="R99">
        <v>45.9</v>
      </c>
      <c r="S99">
        <f t="shared" si="38"/>
        <v>6.1199984699999996</v>
      </c>
      <c r="T99">
        <v>64.400000000000006</v>
      </c>
      <c r="U99">
        <f t="shared" si="39"/>
        <v>8.5866645199999994</v>
      </c>
      <c r="W99">
        <v>96</v>
      </c>
      <c r="X99">
        <v>22.8</v>
      </c>
      <c r="Y99">
        <f t="shared" si="40"/>
        <v>3.0399992399999998</v>
      </c>
      <c r="Z99">
        <v>4.7</v>
      </c>
      <c r="AA99">
        <f t="shared" si="41"/>
        <v>0.62666650999999995</v>
      </c>
      <c r="AB99">
        <v>34.200000000000003</v>
      </c>
      <c r="AC99">
        <f t="shared" si="42"/>
        <v>4.5599988600000003</v>
      </c>
      <c r="AD99">
        <v>40.200000000000003</v>
      </c>
      <c r="AE99">
        <f t="shared" si="43"/>
        <v>5.3599986599999996</v>
      </c>
      <c r="AF99">
        <v>38.799999999999997</v>
      </c>
      <c r="AG99">
        <f t="shared" si="44"/>
        <v>5.1733320399999991</v>
      </c>
      <c r="AH99">
        <v>39.5</v>
      </c>
      <c r="AI99">
        <f t="shared" si="45"/>
        <v>5.2666653499999994</v>
      </c>
      <c r="AJ99">
        <v>26.6</v>
      </c>
      <c r="AK99">
        <f t="shared" si="46"/>
        <v>3.5466657799999997</v>
      </c>
      <c r="AL99">
        <v>52.1</v>
      </c>
      <c r="AM99">
        <f t="shared" si="47"/>
        <v>6.9466649299999998</v>
      </c>
      <c r="AN99">
        <v>61.3</v>
      </c>
      <c r="AO99">
        <f t="shared" si="48"/>
        <v>8.1733312899999984</v>
      </c>
      <c r="AP99">
        <v>52.3</v>
      </c>
      <c r="AQ99">
        <f t="shared" si="49"/>
        <v>6.973331589999999</v>
      </c>
      <c r="AS99">
        <v>96</v>
      </c>
      <c r="AT99">
        <v>53.5</v>
      </c>
      <c r="AU99">
        <f t="shared" si="50"/>
        <v>7.1333315499999994</v>
      </c>
      <c r="AV99">
        <v>17.2</v>
      </c>
      <c r="AW99">
        <f t="shared" si="51"/>
        <v>2.2933327599999997</v>
      </c>
      <c r="AX99">
        <v>21.7</v>
      </c>
      <c r="AY99">
        <f t="shared" si="52"/>
        <v>2.8933326099999999</v>
      </c>
      <c r="AZ99">
        <v>20.5</v>
      </c>
      <c r="BA99">
        <f t="shared" si="53"/>
        <v>2.7333326499999999</v>
      </c>
      <c r="BB99">
        <v>37.9</v>
      </c>
      <c r="BC99">
        <f t="shared" si="54"/>
        <v>5.0533320699999997</v>
      </c>
      <c r="BD99">
        <v>37.1</v>
      </c>
      <c r="BE99">
        <f t="shared" si="55"/>
        <v>4.9466654299999995</v>
      </c>
      <c r="BF99">
        <v>34.1</v>
      </c>
      <c r="BG99">
        <f t="shared" si="56"/>
        <v>4.5466655299999994</v>
      </c>
      <c r="BH99">
        <v>51.9</v>
      </c>
      <c r="BI99">
        <f t="shared" si="57"/>
        <v>6.9199982699999989</v>
      </c>
      <c r="BJ99">
        <v>41.9</v>
      </c>
      <c r="BK99">
        <f t="shared" si="58"/>
        <v>5.5866652699999992</v>
      </c>
      <c r="BL99">
        <v>26.9</v>
      </c>
      <c r="BM99">
        <f t="shared" si="59"/>
        <v>3.5866657699999993</v>
      </c>
    </row>
    <row r="100" spans="1:65" x14ac:dyDescent="0.35">
      <c r="A100">
        <v>97</v>
      </c>
      <c r="B100">
        <v>6.5</v>
      </c>
      <c r="C100">
        <f t="shared" si="30"/>
        <v>0.86666644999999987</v>
      </c>
      <c r="D100">
        <v>12.2</v>
      </c>
      <c r="E100">
        <f t="shared" si="31"/>
        <v>1.6266662599999997</v>
      </c>
      <c r="F100">
        <v>25.4</v>
      </c>
      <c r="G100">
        <f t="shared" si="32"/>
        <v>3.3866658199999997</v>
      </c>
      <c r="H100">
        <v>18.8</v>
      </c>
      <c r="I100">
        <f t="shared" si="33"/>
        <v>2.5066660399999998</v>
      </c>
      <c r="J100">
        <v>19.600000000000001</v>
      </c>
      <c r="K100">
        <f t="shared" si="34"/>
        <v>2.6133326800000001</v>
      </c>
      <c r="L100">
        <v>29.9</v>
      </c>
      <c r="M100">
        <f t="shared" si="35"/>
        <v>3.9866656699999994</v>
      </c>
      <c r="N100">
        <v>29</v>
      </c>
      <c r="O100">
        <f t="shared" si="36"/>
        <v>3.8666656999999995</v>
      </c>
      <c r="P100">
        <v>83.3</v>
      </c>
      <c r="Q100">
        <f t="shared" si="37"/>
        <v>11.106663889999998</v>
      </c>
      <c r="R100">
        <v>45.9</v>
      </c>
      <c r="S100">
        <f t="shared" si="38"/>
        <v>6.1199984699999996</v>
      </c>
      <c r="T100">
        <v>65</v>
      </c>
      <c r="U100">
        <f t="shared" si="39"/>
        <v>8.6666644999999995</v>
      </c>
      <c r="W100">
        <v>97</v>
      </c>
      <c r="X100">
        <v>22.8</v>
      </c>
      <c r="Y100">
        <f t="shared" si="40"/>
        <v>3.0399992399999998</v>
      </c>
      <c r="Z100">
        <v>4.5999999999999996</v>
      </c>
      <c r="AA100">
        <f t="shared" si="41"/>
        <v>0.61333317999999992</v>
      </c>
      <c r="AB100">
        <v>34.200000000000003</v>
      </c>
      <c r="AC100">
        <f t="shared" si="42"/>
        <v>4.5599988600000003</v>
      </c>
      <c r="AD100">
        <v>40.200000000000003</v>
      </c>
      <c r="AE100">
        <f t="shared" si="43"/>
        <v>5.3599986599999996</v>
      </c>
      <c r="AF100">
        <v>38.799999999999997</v>
      </c>
      <c r="AG100">
        <f t="shared" si="44"/>
        <v>5.1733320399999991</v>
      </c>
      <c r="AH100">
        <v>39.6</v>
      </c>
      <c r="AI100">
        <f t="shared" si="45"/>
        <v>5.2799986799999994</v>
      </c>
      <c r="AJ100">
        <v>26.7</v>
      </c>
      <c r="AK100">
        <f t="shared" si="46"/>
        <v>3.5599991099999997</v>
      </c>
      <c r="AL100">
        <v>52.2</v>
      </c>
      <c r="AM100">
        <f t="shared" si="47"/>
        <v>6.9599982599999999</v>
      </c>
      <c r="AN100">
        <v>61.3</v>
      </c>
      <c r="AO100">
        <f t="shared" si="48"/>
        <v>8.1733312899999984</v>
      </c>
      <c r="AP100">
        <v>52.4</v>
      </c>
      <c r="AQ100">
        <f t="shared" si="49"/>
        <v>6.9866649199999991</v>
      </c>
      <c r="AS100">
        <v>97</v>
      </c>
      <c r="AT100">
        <v>53.5</v>
      </c>
      <c r="AU100">
        <f t="shared" si="50"/>
        <v>7.1333315499999994</v>
      </c>
      <c r="AV100">
        <v>17.2</v>
      </c>
      <c r="AW100">
        <f t="shared" si="51"/>
        <v>2.2933327599999997</v>
      </c>
      <c r="AX100">
        <v>21.8</v>
      </c>
      <c r="AY100">
        <f t="shared" si="52"/>
        <v>2.9066659399999999</v>
      </c>
      <c r="AZ100">
        <v>20.5</v>
      </c>
      <c r="BA100">
        <f t="shared" si="53"/>
        <v>2.7333326499999999</v>
      </c>
      <c r="BB100">
        <v>38</v>
      </c>
      <c r="BC100">
        <f t="shared" si="54"/>
        <v>5.0666653999999998</v>
      </c>
      <c r="BD100">
        <v>37.1</v>
      </c>
      <c r="BE100">
        <f t="shared" si="55"/>
        <v>4.9466654299999995</v>
      </c>
      <c r="BF100">
        <v>34.200000000000003</v>
      </c>
      <c r="BG100">
        <f t="shared" si="56"/>
        <v>4.5599988600000003</v>
      </c>
      <c r="BH100">
        <v>51.9</v>
      </c>
      <c r="BI100">
        <f t="shared" si="57"/>
        <v>6.9199982699999989</v>
      </c>
      <c r="BJ100">
        <v>41.9</v>
      </c>
      <c r="BK100">
        <f t="shared" si="58"/>
        <v>5.5866652699999992</v>
      </c>
      <c r="BL100">
        <v>27</v>
      </c>
      <c r="BM100">
        <f t="shared" si="59"/>
        <v>3.5999990999999998</v>
      </c>
    </row>
    <row r="101" spans="1:65" x14ac:dyDescent="0.35">
      <c r="A101">
        <v>98</v>
      </c>
      <c r="B101">
        <v>6.5</v>
      </c>
      <c r="C101">
        <f t="shared" si="30"/>
        <v>0.86666644999999987</v>
      </c>
      <c r="D101">
        <v>12.2</v>
      </c>
      <c r="E101">
        <f t="shared" si="31"/>
        <v>1.6266662599999997</v>
      </c>
      <c r="F101">
        <v>25.4</v>
      </c>
      <c r="G101">
        <f t="shared" si="32"/>
        <v>3.3866658199999997</v>
      </c>
      <c r="H101">
        <v>18.8</v>
      </c>
      <c r="I101">
        <f t="shared" si="33"/>
        <v>2.5066660399999998</v>
      </c>
      <c r="J101">
        <v>19.7</v>
      </c>
      <c r="K101">
        <f t="shared" si="34"/>
        <v>2.6266660099999997</v>
      </c>
      <c r="L101">
        <v>30</v>
      </c>
      <c r="M101">
        <f t="shared" si="35"/>
        <v>3.9999989999999999</v>
      </c>
      <c r="N101">
        <v>29</v>
      </c>
      <c r="O101">
        <f t="shared" si="36"/>
        <v>3.8666656999999995</v>
      </c>
      <c r="P101">
        <v>83.3</v>
      </c>
      <c r="Q101">
        <f t="shared" si="37"/>
        <v>11.106663889999998</v>
      </c>
      <c r="R101">
        <v>46</v>
      </c>
      <c r="S101">
        <f t="shared" si="38"/>
        <v>6.1333317999999997</v>
      </c>
      <c r="T101">
        <v>65.599999999999994</v>
      </c>
      <c r="U101">
        <f t="shared" si="39"/>
        <v>8.746664479999998</v>
      </c>
      <c r="W101">
        <v>98</v>
      </c>
      <c r="X101">
        <v>22.8</v>
      </c>
      <c r="Y101">
        <f t="shared" si="40"/>
        <v>3.0399992399999998</v>
      </c>
      <c r="Z101">
        <v>4.5999999999999996</v>
      </c>
      <c r="AA101">
        <f t="shared" si="41"/>
        <v>0.61333317999999992</v>
      </c>
      <c r="AB101">
        <v>34.200000000000003</v>
      </c>
      <c r="AC101">
        <f t="shared" si="42"/>
        <v>4.5599988600000003</v>
      </c>
      <c r="AD101">
        <v>40.200000000000003</v>
      </c>
      <c r="AE101">
        <f t="shared" si="43"/>
        <v>5.3599986599999996</v>
      </c>
      <c r="AF101">
        <v>38.799999999999997</v>
      </c>
      <c r="AG101">
        <f t="shared" si="44"/>
        <v>5.1733320399999991</v>
      </c>
      <c r="AH101">
        <v>39.700000000000003</v>
      </c>
      <c r="AI101">
        <f t="shared" si="45"/>
        <v>5.2933320100000003</v>
      </c>
      <c r="AJ101">
        <v>26.7</v>
      </c>
      <c r="AK101">
        <f t="shared" si="46"/>
        <v>3.5599991099999997</v>
      </c>
      <c r="AL101">
        <v>52.3</v>
      </c>
      <c r="AM101">
        <f t="shared" si="47"/>
        <v>6.973331589999999</v>
      </c>
      <c r="AN101">
        <v>61.3</v>
      </c>
      <c r="AO101">
        <f t="shared" si="48"/>
        <v>8.1733312899999984</v>
      </c>
      <c r="AP101">
        <v>52.4</v>
      </c>
      <c r="AQ101">
        <f t="shared" si="49"/>
        <v>6.9866649199999991</v>
      </c>
      <c r="AS101">
        <v>98</v>
      </c>
      <c r="AT101">
        <v>53.5</v>
      </c>
      <c r="AU101">
        <f t="shared" si="50"/>
        <v>7.1333315499999994</v>
      </c>
      <c r="AV101">
        <v>17.2</v>
      </c>
      <c r="AW101">
        <f t="shared" si="51"/>
        <v>2.2933327599999997</v>
      </c>
      <c r="AX101">
        <v>21.8</v>
      </c>
      <c r="AY101">
        <f t="shared" si="52"/>
        <v>2.9066659399999999</v>
      </c>
      <c r="AZ101">
        <v>20.5</v>
      </c>
      <c r="BA101">
        <f t="shared" si="53"/>
        <v>2.7333326499999999</v>
      </c>
      <c r="BB101">
        <v>38</v>
      </c>
      <c r="BC101">
        <f t="shared" si="54"/>
        <v>5.0666653999999998</v>
      </c>
      <c r="BD101">
        <v>37.1</v>
      </c>
      <c r="BE101">
        <f t="shared" si="55"/>
        <v>4.9466654299999995</v>
      </c>
      <c r="BF101">
        <v>34.200000000000003</v>
      </c>
      <c r="BG101">
        <f t="shared" si="56"/>
        <v>4.5599988600000003</v>
      </c>
      <c r="BH101">
        <v>51.9</v>
      </c>
      <c r="BI101">
        <f t="shared" si="57"/>
        <v>6.9199982699999989</v>
      </c>
      <c r="BJ101">
        <v>42</v>
      </c>
      <c r="BK101">
        <f t="shared" si="58"/>
        <v>5.5999985999999993</v>
      </c>
      <c r="BL101">
        <v>27</v>
      </c>
      <c r="BM101">
        <f t="shared" si="59"/>
        <v>3.5999990999999998</v>
      </c>
    </row>
    <row r="102" spans="1:65" x14ac:dyDescent="0.35">
      <c r="A102">
        <v>99</v>
      </c>
      <c r="B102">
        <v>6.5</v>
      </c>
      <c r="C102">
        <f t="shared" si="30"/>
        <v>0.86666644999999987</v>
      </c>
      <c r="D102">
        <v>12.3</v>
      </c>
      <c r="E102">
        <f t="shared" si="31"/>
        <v>1.63999959</v>
      </c>
      <c r="F102">
        <v>25.4</v>
      </c>
      <c r="G102">
        <f t="shared" si="32"/>
        <v>3.3866658199999997</v>
      </c>
      <c r="H102">
        <v>18.8</v>
      </c>
      <c r="I102">
        <f t="shared" si="33"/>
        <v>2.5066660399999998</v>
      </c>
      <c r="J102">
        <v>19.8</v>
      </c>
      <c r="K102">
        <f t="shared" si="34"/>
        <v>2.6399993399999997</v>
      </c>
      <c r="L102">
        <v>30</v>
      </c>
      <c r="M102">
        <f t="shared" si="35"/>
        <v>3.9999989999999999</v>
      </c>
      <c r="N102">
        <v>29.1</v>
      </c>
      <c r="O102">
        <f t="shared" si="36"/>
        <v>3.87999903</v>
      </c>
      <c r="P102">
        <v>83.3</v>
      </c>
      <c r="Q102">
        <f t="shared" si="37"/>
        <v>11.106663889999998</v>
      </c>
      <c r="R102">
        <v>46.1</v>
      </c>
      <c r="S102">
        <f t="shared" si="38"/>
        <v>6.1466651299999997</v>
      </c>
      <c r="T102">
        <v>66.099999999999994</v>
      </c>
      <c r="U102">
        <f t="shared" si="39"/>
        <v>8.8133311299999981</v>
      </c>
      <c r="W102">
        <v>99</v>
      </c>
      <c r="X102">
        <v>22.8</v>
      </c>
      <c r="Y102">
        <f t="shared" si="40"/>
        <v>3.0399992399999998</v>
      </c>
      <c r="Z102">
        <v>4.5999999999999996</v>
      </c>
      <c r="AA102">
        <f t="shared" si="41"/>
        <v>0.61333317999999992</v>
      </c>
      <c r="AB102">
        <v>34.200000000000003</v>
      </c>
      <c r="AC102">
        <f t="shared" si="42"/>
        <v>4.5599988600000003</v>
      </c>
      <c r="AD102">
        <v>40.200000000000003</v>
      </c>
      <c r="AE102">
        <f t="shared" si="43"/>
        <v>5.3599986599999996</v>
      </c>
      <c r="AF102">
        <v>38.799999999999997</v>
      </c>
      <c r="AG102">
        <f t="shared" si="44"/>
        <v>5.1733320399999991</v>
      </c>
      <c r="AH102">
        <v>39.799999999999997</v>
      </c>
      <c r="AI102">
        <f t="shared" si="45"/>
        <v>5.3066653399999995</v>
      </c>
      <c r="AJ102">
        <v>26.8</v>
      </c>
      <c r="AK102">
        <f t="shared" si="46"/>
        <v>3.5733324399999997</v>
      </c>
      <c r="AL102">
        <v>52.4</v>
      </c>
      <c r="AM102">
        <f t="shared" si="47"/>
        <v>6.9866649199999991</v>
      </c>
      <c r="AN102">
        <v>61.3</v>
      </c>
      <c r="AO102">
        <f t="shared" si="48"/>
        <v>8.1733312899999984</v>
      </c>
      <c r="AP102">
        <v>52.4</v>
      </c>
      <c r="AQ102">
        <f t="shared" si="49"/>
        <v>6.9866649199999991</v>
      </c>
      <c r="AS102">
        <v>99</v>
      </c>
      <c r="AT102">
        <v>53.5</v>
      </c>
      <c r="AU102">
        <f t="shared" si="50"/>
        <v>7.1333315499999994</v>
      </c>
      <c r="AV102">
        <v>17.2</v>
      </c>
      <c r="AW102">
        <f t="shared" si="51"/>
        <v>2.2933327599999997</v>
      </c>
      <c r="AX102">
        <v>21.8</v>
      </c>
      <c r="AY102">
        <f t="shared" si="52"/>
        <v>2.9066659399999999</v>
      </c>
      <c r="AZ102">
        <v>20.6</v>
      </c>
      <c r="BA102">
        <f t="shared" si="53"/>
        <v>2.74666598</v>
      </c>
      <c r="BB102">
        <v>38.1</v>
      </c>
      <c r="BC102">
        <f t="shared" si="54"/>
        <v>5.0799987299999998</v>
      </c>
      <c r="BD102">
        <v>37.1</v>
      </c>
      <c r="BE102">
        <f t="shared" si="55"/>
        <v>4.9466654299999995</v>
      </c>
      <c r="BF102">
        <v>34.200000000000003</v>
      </c>
      <c r="BG102">
        <f t="shared" si="56"/>
        <v>4.5599988600000003</v>
      </c>
      <c r="BH102">
        <v>51.9</v>
      </c>
      <c r="BI102">
        <f t="shared" si="57"/>
        <v>6.9199982699999989</v>
      </c>
      <c r="BJ102">
        <v>42</v>
      </c>
      <c r="BK102">
        <f t="shared" si="58"/>
        <v>5.5999985999999993</v>
      </c>
      <c r="BL102">
        <v>27.1</v>
      </c>
      <c r="BM102">
        <f t="shared" si="59"/>
        <v>3.6133324299999998</v>
      </c>
    </row>
    <row r="103" spans="1:65" x14ac:dyDescent="0.35">
      <c r="A103">
        <v>100</v>
      </c>
      <c r="B103">
        <v>6.5</v>
      </c>
      <c r="C103">
        <f t="shared" si="30"/>
        <v>0.86666644999999987</v>
      </c>
      <c r="D103">
        <v>12.3</v>
      </c>
      <c r="E103">
        <f t="shared" si="31"/>
        <v>1.63999959</v>
      </c>
      <c r="F103">
        <v>25.5</v>
      </c>
      <c r="G103">
        <f t="shared" si="32"/>
        <v>3.3999991499999997</v>
      </c>
      <c r="H103">
        <v>18.899999999999999</v>
      </c>
      <c r="I103">
        <f t="shared" si="33"/>
        <v>2.5199993699999994</v>
      </c>
      <c r="J103">
        <v>19.7</v>
      </c>
      <c r="K103">
        <f t="shared" si="34"/>
        <v>2.6266660099999997</v>
      </c>
      <c r="L103">
        <v>30.1</v>
      </c>
      <c r="M103">
        <f t="shared" si="35"/>
        <v>4.0133323299999999</v>
      </c>
      <c r="N103">
        <v>29.2</v>
      </c>
      <c r="O103">
        <f t="shared" si="36"/>
        <v>3.8933323599999996</v>
      </c>
      <c r="P103">
        <v>83.3</v>
      </c>
      <c r="Q103">
        <f t="shared" si="37"/>
        <v>11.106663889999998</v>
      </c>
      <c r="R103">
        <v>46.2</v>
      </c>
      <c r="S103">
        <f t="shared" si="38"/>
        <v>6.1599984599999997</v>
      </c>
      <c r="T103">
        <v>66.5</v>
      </c>
      <c r="U103">
        <f t="shared" si="39"/>
        <v>8.86666445</v>
      </c>
      <c r="W103">
        <v>100</v>
      </c>
      <c r="X103">
        <v>22.8</v>
      </c>
      <c r="Y103">
        <f t="shared" si="40"/>
        <v>3.0399992399999998</v>
      </c>
      <c r="Z103">
        <v>4.5</v>
      </c>
      <c r="AA103">
        <f t="shared" si="41"/>
        <v>0.59999984999999989</v>
      </c>
      <c r="AB103">
        <v>34.200000000000003</v>
      </c>
      <c r="AC103">
        <f t="shared" si="42"/>
        <v>4.5599988600000003</v>
      </c>
      <c r="AD103">
        <v>40.299999999999997</v>
      </c>
      <c r="AE103">
        <f t="shared" si="43"/>
        <v>5.3733319899999987</v>
      </c>
      <c r="AF103">
        <v>38.799999999999997</v>
      </c>
      <c r="AG103">
        <f t="shared" si="44"/>
        <v>5.1733320399999991</v>
      </c>
      <c r="AH103">
        <v>39.9</v>
      </c>
      <c r="AI103">
        <f t="shared" si="45"/>
        <v>5.3199986699999995</v>
      </c>
      <c r="AJ103">
        <v>26.9</v>
      </c>
      <c r="AK103">
        <f t="shared" si="46"/>
        <v>3.5866657699999993</v>
      </c>
      <c r="AL103">
        <v>52.5</v>
      </c>
      <c r="AM103">
        <f t="shared" si="47"/>
        <v>6.9999982499999991</v>
      </c>
      <c r="AN103">
        <v>61.3</v>
      </c>
      <c r="AO103">
        <f t="shared" si="48"/>
        <v>8.1733312899999984</v>
      </c>
      <c r="AP103">
        <v>52.5</v>
      </c>
      <c r="AQ103">
        <f t="shared" si="49"/>
        <v>6.9999982499999991</v>
      </c>
      <c r="AS103">
        <v>100</v>
      </c>
      <c r="AT103">
        <v>53.5</v>
      </c>
      <c r="AU103">
        <f t="shared" si="50"/>
        <v>7.1333315499999994</v>
      </c>
      <c r="AV103">
        <v>17.2</v>
      </c>
      <c r="AW103">
        <f t="shared" si="51"/>
        <v>2.2933327599999997</v>
      </c>
      <c r="AX103">
        <v>21.8</v>
      </c>
      <c r="AY103">
        <f t="shared" si="52"/>
        <v>2.9066659399999999</v>
      </c>
      <c r="AZ103">
        <v>20.6</v>
      </c>
      <c r="BA103">
        <f t="shared" si="53"/>
        <v>2.74666598</v>
      </c>
      <c r="BB103">
        <v>38.1</v>
      </c>
      <c r="BC103">
        <f t="shared" si="54"/>
        <v>5.0799987299999998</v>
      </c>
      <c r="BD103">
        <v>37.200000000000003</v>
      </c>
      <c r="BE103">
        <f t="shared" si="55"/>
        <v>4.9599987599999995</v>
      </c>
      <c r="BF103">
        <v>34.299999999999997</v>
      </c>
      <c r="BG103">
        <f t="shared" si="56"/>
        <v>4.5733321899999995</v>
      </c>
      <c r="BH103">
        <v>51.9</v>
      </c>
      <c r="BI103">
        <f t="shared" si="57"/>
        <v>6.9199982699999989</v>
      </c>
      <c r="BJ103">
        <v>42.1</v>
      </c>
      <c r="BK103">
        <f t="shared" si="58"/>
        <v>5.6133319299999993</v>
      </c>
      <c r="BL103">
        <v>27.2</v>
      </c>
      <c r="BM103">
        <f t="shared" si="59"/>
        <v>3.6266657599999994</v>
      </c>
    </row>
    <row r="104" spans="1:65" x14ac:dyDescent="0.35">
      <c r="A104">
        <v>101</v>
      </c>
      <c r="B104">
        <v>6.5</v>
      </c>
      <c r="C104">
        <f t="shared" si="30"/>
        <v>0.86666644999999987</v>
      </c>
      <c r="D104">
        <v>12.3</v>
      </c>
      <c r="E104">
        <f t="shared" si="31"/>
        <v>1.63999959</v>
      </c>
      <c r="F104">
        <v>25.5</v>
      </c>
      <c r="G104">
        <f t="shared" si="32"/>
        <v>3.3999991499999997</v>
      </c>
      <c r="H104">
        <v>18.899999999999999</v>
      </c>
      <c r="I104">
        <f t="shared" si="33"/>
        <v>2.5199993699999994</v>
      </c>
      <c r="J104">
        <v>19.8</v>
      </c>
      <c r="K104">
        <f t="shared" si="34"/>
        <v>2.6399993399999997</v>
      </c>
      <c r="L104">
        <v>30.1</v>
      </c>
      <c r="M104">
        <f t="shared" si="35"/>
        <v>4.0133323299999999</v>
      </c>
      <c r="N104">
        <v>29.2</v>
      </c>
      <c r="O104">
        <f t="shared" si="36"/>
        <v>3.8933323599999996</v>
      </c>
      <c r="P104">
        <v>83.3</v>
      </c>
      <c r="Q104">
        <f t="shared" si="37"/>
        <v>11.106663889999998</v>
      </c>
      <c r="R104">
        <v>46.3</v>
      </c>
      <c r="S104">
        <f t="shared" si="38"/>
        <v>6.1733317899999989</v>
      </c>
      <c r="T104">
        <v>66.8</v>
      </c>
      <c r="U104">
        <f t="shared" si="39"/>
        <v>8.9066644399999984</v>
      </c>
      <c r="W104">
        <v>101</v>
      </c>
      <c r="X104">
        <v>22.9</v>
      </c>
      <c r="Y104">
        <f t="shared" si="40"/>
        <v>3.0533325699999994</v>
      </c>
      <c r="Z104">
        <v>4.5</v>
      </c>
      <c r="AA104">
        <f t="shared" si="41"/>
        <v>0.59999984999999989</v>
      </c>
      <c r="AB104">
        <v>34.200000000000003</v>
      </c>
      <c r="AC104">
        <f t="shared" si="42"/>
        <v>4.5599988600000003</v>
      </c>
      <c r="AD104">
        <v>40.299999999999997</v>
      </c>
      <c r="AE104">
        <f t="shared" si="43"/>
        <v>5.3733319899999987</v>
      </c>
      <c r="AF104">
        <v>38.799999999999997</v>
      </c>
      <c r="AG104">
        <f t="shared" si="44"/>
        <v>5.1733320399999991</v>
      </c>
      <c r="AH104">
        <v>40</v>
      </c>
      <c r="AI104">
        <f t="shared" si="45"/>
        <v>5.3333319999999995</v>
      </c>
      <c r="AJ104">
        <v>27</v>
      </c>
      <c r="AK104">
        <f t="shared" si="46"/>
        <v>3.5999990999999998</v>
      </c>
      <c r="AL104">
        <v>52.6</v>
      </c>
      <c r="AM104">
        <f t="shared" si="47"/>
        <v>7.0133315799999991</v>
      </c>
      <c r="AN104">
        <v>61.3</v>
      </c>
      <c r="AO104">
        <f t="shared" si="48"/>
        <v>8.1733312899999984</v>
      </c>
      <c r="AP104">
        <v>52.5</v>
      </c>
      <c r="AQ104">
        <f t="shared" si="49"/>
        <v>6.9999982499999991</v>
      </c>
      <c r="AS104">
        <v>101</v>
      </c>
      <c r="AT104">
        <v>53.5</v>
      </c>
      <c r="AU104">
        <f t="shared" si="50"/>
        <v>7.1333315499999994</v>
      </c>
      <c r="AV104">
        <v>17.2</v>
      </c>
      <c r="AW104">
        <f t="shared" si="51"/>
        <v>2.2933327599999997</v>
      </c>
      <c r="AX104">
        <v>21.8</v>
      </c>
      <c r="AY104">
        <f t="shared" si="52"/>
        <v>2.9066659399999999</v>
      </c>
      <c r="AZ104">
        <v>20.6</v>
      </c>
      <c r="BA104">
        <f t="shared" si="53"/>
        <v>2.74666598</v>
      </c>
      <c r="BB104">
        <v>38.1</v>
      </c>
      <c r="BC104">
        <f t="shared" si="54"/>
        <v>5.0799987299999998</v>
      </c>
      <c r="BD104">
        <v>37.200000000000003</v>
      </c>
      <c r="BE104">
        <f t="shared" si="55"/>
        <v>4.9599987599999995</v>
      </c>
      <c r="BF104">
        <v>34.299999999999997</v>
      </c>
      <c r="BG104">
        <f t="shared" si="56"/>
        <v>4.5733321899999995</v>
      </c>
      <c r="BH104">
        <v>51.9</v>
      </c>
      <c r="BI104">
        <f t="shared" si="57"/>
        <v>6.9199982699999989</v>
      </c>
      <c r="BJ104">
        <v>42.1</v>
      </c>
      <c r="BK104">
        <f t="shared" si="58"/>
        <v>5.6133319299999993</v>
      </c>
      <c r="BL104">
        <v>27.2</v>
      </c>
      <c r="BM104">
        <f t="shared" si="59"/>
        <v>3.6266657599999994</v>
      </c>
    </row>
    <row r="105" spans="1:65" x14ac:dyDescent="0.35">
      <c r="A105">
        <v>102</v>
      </c>
      <c r="B105">
        <v>6.5</v>
      </c>
      <c r="C105">
        <f t="shared" si="30"/>
        <v>0.86666644999999987</v>
      </c>
      <c r="D105">
        <v>12.4</v>
      </c>
      <c r="E105">
        <f t="shared" si="31"/>
        <v>1.65333292</v>
      </c>
      <c r="F105">
        <v>25.5</v>
      </c>
      <c r="G105">
        <f t="shared" si="32"/>
        <v>3.3999991499999997</v>
      </c>
      <c r="H105">
        <v>18.899999999999999</v>
      </c>
      <c r="I105">
        <f t="shared" si="33"/>
        <v>2.5199993699999994</v>
      </c>
      <c r="J105">
        <v>19.8</v>
      </c>
      <c r="K105">
        <f t="shared" si="34"/>
        <v>2.6399993399999997</v>
      </c>
      <c r="L105">
        <v>30.1</v>
      </c>
      <c r="M105">
        <f t="shared" si="35"/>
        <v>4.0133323299999999</v>
      </c>
      <c r="N105">
        <v>29.2</v>
      </c>
      <c r="O105">
        <f t="shared" si="36"/>
        <v>3.8933323599999996</v>
      </c>
      <c r="P105">
        <v>83.3</v>
      </c>
      <c r="Q105">
        <f t="shared" si="37"/>
        <v>11.106663889999998</v>
      </c>
      <c r="R105">
        <v>46.4</v>
      </c>
      <c r="S105">
        <f t="shared" si="38"/>
        <v>6.1866651199999989</v>
      </c>
      <c r="T105">
        <v>67.099999999999994</v>
      </c>
      <c r="U105">
        <f t="shared" si="39"/>
        <v>8.9466644299999984</v>
      </c>
      <c r="W105">
        <v>102</v>
      </c>
      <c r="X105">
        <v>22.9</v>
      </c>
      <c r="Y105">
        <f t="shared" si="40"/>
        <v>3.0533325699999994</v>
      </c>
      <c r="Z105">
        <v>4.5</v>
      </c>
      <c r="AA105">
        <f t="shared" si="41"/>
        <v>0.59999984999999989</v>
      </c>
      <c r="AB105">
        <v>34.200000000000003</v>
      </c>
      <c r="AC105">
        <f t="shared" si="42"/>
        <v>4.5599988600000003</v>
      </c>
      <c r="AD105">
        <v>40.299999999999997</v>
      </c>
      <c r="AE105">
        <f t="shared" si="43"/>
        <v>5.3733319899999987</v>
      </c>
      <c r="AF105">
        <v>38.799999999999997</v>
      </c>
      <c r="AG105">
        <f t="shared" si="44"/>
        <v>5.1733320399999991</v>
      </c>
      <c r="AH105">
        <v>40.1</v>
      </c>
      <c r="AI105">
        <f t="shared" si="45"/>
        <v>5.3466653299999995</v>
      </c>
      <c r="AJ105">
        <v>27.1</v>
      </c>
      <c r="AK105">
        <f t="shared" si="46"/>
        <v>3.6133324299999998</v>
      </c>
      <c r="AL105">
        <v>52.7</v>
      </c>
      <c r="AM105">
        <f t="shared" si="47"/>
        <v>7.02666491</v>
      </c>
      <c r="AN105">
        <v>61.3</v>
      </c>
      <c r="AO105">
        <f t="shared" si="48"/>
        <v>8.1733312899999984</v>
      </c>
      <c r="AP105">
        <v>52.6</v>
      </c>
      <c r="AQ105">
        <f t="shared" si="49"/>
        <v>7.0133315799999991</v>
      </c>
      <c r="AS105">
        <v>102</v>
      </c>
      <c r="AT105">
        <v>53.5</v>
      </c>
      <c r="AU105">
        <f t="shared" si="50"/>
        <v>7.1333315499999994</v>
      </c>
      <c r="AV105">
        <v>17.2</v>
      </c>
      <c r="AW105">
        <f t="shared" si="51"/>
        <v>2.2933327599999997</v>
      </c>
      <c r="AX105">
        <v>21.8</v>
      </c>
      <c r="AY105">
        <f t="shared" si="52"/>
        <v>2.9066659399999999</v>
      </c>
      <c r="AZ105">
        <v>20.6</v>
      </c>
      <c r="BA105">
        <f t="shared" si="53"/>
        <v>2.74666598</v>
      </c>
      <c r="BB105">
        <v>38.1</v>
      </c>
      <c r="BC105">
        <f t="shared" si="54"/>
        <v>5.0799987299999998</v>
      </c>
      <c r="BD105">
        <v>37.200000000000003</v>
      </c>
      <c r="BE105">
        <f t="shared" si="55"/>
        <v>4.9599987599999995</v>
      </c>
      <c r="BF105">
        <v>34.299999999999997</v>
      </c>
      <c r="BG105">
        <f t="shared" si="56"/>
        <v>4.5733321899999995</v>
      </c>
      <c r="BH105">
        <v>51.9</v>
      </c>
      <c r="BI105">
        <f t="shared" si="57"/>
        <v>6.9199982699999989</v>
      </c>
      <c r="BJ105">
        <v>42.2</v>
      </c>
      <c r="BK105">
        <f t="shared" si="58"/>
        <v>5.6266652600000002</v>
      </c>
      <c r="BL105">
        <v>27.3</v>
      </c>
      <c r="BM105">
        <f t="shared" si="59"/>
        <v>3.6399990899999999</v>
      </c>
    </row>
    <row r="106" spans="1:65" x14ac:dyDescent="0.35">
      <c r="A106">
        <v>103</v>
      </c>
      <c r="B106">
        <v>6.5</v>
      </c>
      <c r="C106">
        <f t="shared" si="30"/>
        <v>0.86666644999999987</v>
      </c>
      <c r="D106">
        <v>12.4</v>
      </c>
      <c r="E106">
        <f t="shared" si="31"/>
        <v>1.65333292</v>
      </c>
      <c r="F106">
        <v>25.6</v>
      </c>
      <c r="G106">
        <f t="shared" si="32"/>
        <v>3.4133324799999998</v>
      </c>
      <c r="H106">
        <v>19</v>
      </c>
      <c r="I106">
        <f t="shared" si="33"/>
        <v>2.5333326999999999</v>
      </c>
      <c r="J106">
        <v>19.899999999999999</v>
      </c>
      <c r="K106">
        <f t="shared" si="34"/>
        <v>2.6533326699999997</v>
      </c>
      <c r="L106">
        <v>30.1</v>
      </c>
      <c r="M106">
        <f t="shared" si="35"/>
        <v>4.0133323299999999</v>
      </c>
      <c r="N106">
        <v>29.3</v>
      </c>
      <c r="O106">
        <f t="shared" si="36"/>
        <v>3.9066656899999996</v>
      </c>
      <c r="P106">
        <v>83.3</v>
      </c>
      <c r="Q106">
        <f t="shared" si="37"/>
        <v>11.106663889999998</v>
      </c>
      <c r="R106">
        <v>46.5</v>
      </c>
      <c r="S106">
        <f t="shared" si="38"/>
        <v>6.1999984499999998</v>
      </c>
      <c r="T106">
        <v>67.5</v>
      </c>
      <c r="U106">
        <f t="shared" si="39"/>
        <v>8.9999977499999986</v>
      </c>
      <c r="W106">
        <v>103</v>
      </c>
      <c r="X106">
        <v>22.9</v>
      </c>
      <c r="Y106">
        <f t="shared" si="40"/>
        <v>3.0533325699999994</v>
      </c>
      <c r="Z106">
        <v>4.5</v>
      </c>
      <c r="AA106">
        <f t="shared" si="41"/>
        <v>0.59999984999999989</v>
      </c>
      <c r="AB106">
        <v>34.200000000000003</v>
      </c>
      <c r="AC106">
        <f t="shared" si="42"/>
        <v>4.5599988600000003</v>
      </c>
      <c r="AD106">
        <v>40.299999999999997</v>
      </c>
      <c r="AE106">
        <f t="shared" si="43"/>
        <v>5.3733319899999987</v>
      </c>
      <c r="AF106">
        <v>38.9</v>
      </c>
      <c r="AG106">
        <f t="shared" si="44"/>
        <v>5.1866653699999992</v>
      </c>
      <c r="AH106">
        <v>40.200000000000003</v>
      </c>
      <c r="AI106">
        <f t="shared" si="45"/>
        <v>5.3599986599999996</v>
      </c>
      <c r="AJ106">
        <v>27.2</v>
      </c>
      <c r="AK106">
        <f t="shared" si="46"/>
        <v>3.6266657599999994</v>
      </c>
      <c r="AL106">
        <v>52.8</v>
      </c>
      <c r="AM106">
        <f t="shared" si="47"/>
        <v>7.0399982399999992</v>
      </c>
      <c r="AN106">
        <v>61.3</v>
      </c>
      <c r="AO106">
        <f t="shared" si="48"/>
        <v>8.1733312899999984</v>
      </c>
      <c r="AP106">
        <v>52.7</v>
      </c>
      <c r="AQ106">
        <f t="shared" si="49"/>
        <v>7.02666491</v>
      </c>
      <c r="AS106">
        <v>103</v>
      </c>
      <c r="AT106">
        <v>53.5</v>
      </c>
      <c r="AU106">
        <f t="shared" si="50"/>
        <v>7.1333315499999994</v>
      </c>
      <c r="AV106">
        <v>17.2</v>
      </c>
      <c r="AW106">
        <f t="shared" si="51"/>
        <v>2.2933327599999997</v>
      </c>
      <c r="AX106">
        <v>21.8</v>
      </c>
      <c r="AY106">
        <f t="shared" si="52"/>
        <v>2.9066659399999999</v>
      </c>
      <c r="AZ106">
        <v>20.6</v>
      </c>
      <c r="BA106">
        <f t="shared" si="53"/>
        <v>2.74666598</v>
      </c>
      <c r="BB106">
        <v>38.200000000000003</v>
      </c>
      <c r="BC106">
        <f t="shared" si="54"/>
        <v>5.0933320599999998</v>
      </c>
      <c r="BD106">
        <v>37.200000000000003</v>
      </c>
      <c r="BE106">
        <f t="shared" si="55"/>
        <v>4.9599987599999995</v>
      </c>
      <c r="BF106">
        <v>34.4</v>
      </c>
      <c r="BG106">
        <f t="shared" si="56"/>
        <v>4.5866655199999995</v>
      </c>
      <c r="BH106">
        <v>52</v>
      </c>
      <c r="BI106">
        <f t="shared" si="57"/>
        <v>6.9333315999999989</v>
      </c>
      <c r="BJ106">
        <v>42.2</v>
      </c>
      <c r="BK106">
        <f t="shared" si="58"/>
        <v>5.6266652600000002</v>
      </c>
      <c r="BL106">
        <v>27.4</v>
      </c>
      <c r="BM106">
        <f t="shared" si="59"/>
        <v>3.6533324199999995</v>
      </c>
    </row>
    <row r="107" spans="1:65" x14ac:dyDescent="0.35">
      <c r="A107">
        <v>104</v>
      </c>
      <c r="B107">
        <v>6.5</v>
      </c>
      <c r="C107">
        <f t="shared" si="30"/>
        <v>0.86666644999999987</v>
      </c>
      <c r="D107">
        <v>12.4</v>
      </c>
      <c r="E107">
        <f t="shared" si="31"/>
        <v>1.65333292</v>
      </c>
      <c r="F107">
        <v>25.6</v>
      </c>
      <c r="G107">
        <f t="shared" si="32"/>
        <v>3.4133324799999998</v>
      </c>
      <c r="H107">
        <v>19</v>
      </c>
      <c r="I107">
        <f t="shared" si="33"/>
        <v>2.5333326999999999</v>
      </c>
      <c r="J107">
        <v>19.899999999999999</v>
      </c>
      <c r="K107">
        <f t="shared" si="34"/>
        <v>2.6533326699999997</v>
      </c>
      <c r="L107">
        <v>30.1</v>
      </c>
      <c r="M107">
        <f t="shared" si="35"/>
        <v>4.0133323299999999</v>
      </c>
      <c r="N107">
        <v>29.3</v>
      </c>
      <c r="O107">
        <f t="shared" si="36"/>
        <v>3.9066656899999996</v>
      </c>
      <c r="P107">
        <v>83.4</v>
      </c>
      <c r="Q107">
        <f t="shared" si="37"/>
        <v>11.11999722</v>
      </c>
      <c r="R107">
        <v>46.7</v>
      </c>
      <c r="S107">
        <f t="shared" si="38"/>
        <v>6.2266651099999999</v>
      </c>
      <c r="T107">
        <v>67.7</v>
      </c>
      <c r="U107">
        <f t="shared" si="39"/>
        <v>9.0266644100000004</v>
      </c>
      <c r="W107">
        <v>104</v>
      </c>
      <c r="X107">
        <v>23</v>
      </c>
      <c r="Y107">
        <f t="shared" si="40"/>
        <v>3.0666658999999998</v>
      </c>
      <c r="Z107">
        <v>4.5</v>
      </c>
      <c r="AA107">
        <f t="shared" si="41"/>
        <v>0.59999984999999989</v>
      </c>
      <c r="AB107">
        <v>34.200000000000003</v>
      </c>
      <c r="AC107">
        <f t="shared" si="42"/>
        <v>4.5599988600000003</v>
      </c>
      <c r="AD107">
        <v>40.299999999999997</v>
      </c>
      <c r="AE107">
        <f t="shared" si="43"/>
        <v>5.3733319899999987</v>
      </c>
      <c r="AF107">
        <v>38.9</v>
      </c>
      <c r="AG107">
        <f t="shared" si="44"/>
        <v>5.1866653699999992</v>
      </c>
      <c r="AH107">
        <v>40.299999999999997</v>
      </c>
      <c r="AI107">
        <f t="shared" si="45"/>
        <v>5.3733319899999987</v>
      </c>
      <c r="AJ107">
        <v>27.3</v>
      </c>
      <c r="AK107">
        <f t="shared" si="46"/>
        <v>3.6399990899999999</v>
      </c>
      <c r="AL107">
        <v>52.9</v>
      </c>
      <c r="AM107">
        <f t="shared" si="47"/>
        <v>7.0533315699999992</v>
      </c>
      <c r="AN107">
        <v>61.3</v>
      </c>
      <c r="AO107">
        <f t="shared" si="48"/>
        <v>8.1733312899999984</v>
      </c>
      <c r="AP107">
        <v>52.8</v>
      </c>
      <c r="AQ107">
        <f t="shared" si="49"/>
        <v>7.0399982399999992</v>
      </c>
      <c r="AS107">
        <v>104</v>
      </c>
      <c r="AT107">
        <v>53.5</v>
      </c>
      <c r="AU107">
        <f t="shared" si="50"/>
        <v>7.1333315499999994</v>
      </c>
      <c r="AV107">
        <v>17.2</v>
      </c>
      <c r="AW107">
        <f t="shared" si="51"/>
        <v>2.2933327599999997</v>
      </c>
      <c r="AX107">
        <v>21.8</v>
      </c>
      <c r="AY107">
        <f t="shared" si="52"/>
        <v>2.9066659399999999</v>
      </c>
      <c r="AZ107">
        <v>20.7</v>
      </c>
      <c r="BA107">
        <f t="shared" si="53"/>
        <v>2.7599993099999995</v>
      </c>
      <c r="BB107">
        <v>38.200000000000003</v>
      </c>
      <c r="BC107">
        <f t="shared" si="54"/>
        <v>5.0933320599999998</v>
      </c>
      <c r="BD107">
        <v>37.299999999999997</v>
      </c>
      <c r="BE107">
        <f t="shared" si="55"/>
        <v>4.9733320899999995</v>
      </c>
      <c r="BF107">
        <v>34.4</v>
      </c>
      <c r="BG107">
        <f t="shared" si="56"/>
        <v>4.5866655199999995</v>
      </c>
      <c r="BH107">
        <v>52</v>
      </c>
      <c r="BI107">
        <f t="shared" si="57"/>
        <v>6.9333315999999989</v>
      </c>
      <c r="BJ107">
        <v>42.3</v>
      </c>
      <c r="BK107">
        <f t="shared" si="58"/>
        <v>5.6399985899999994</v>
      </c>
      <c r="BL107">
        <v>27.5</v>
      </c>
      <c r="BM107">
        <f t="shared" si="59"/>
        <v>3.6666657499999995</v>
      </c>
    </row>
    <row r="108" spans="1:65" x14ac:dyDescent="0.35">
      <c r="A108">
        <v>105</v>
      </c>
      <c r="B108">
        <v>6.5</v>
      </c>
      <c r="C108">
        <f t="shared" si="30"/>
        <v>0.86666644999999987</v>
      </c>
      <c r="D108">
        <v>12.4</v>
      </c>
      <c r="E108">
        <f t="shared" si="31"/>
        <v>1.65333292</v>
      </c>
      <c r="F108">
        <v>25.6</v>
      </c>
      <c r="G108">
        <f t="shared" si="32"/>
        <v>3.4133324799999998</v>
      </c>
      <c r="H108">
        <v>19.100000000000001</v>
      </c>
      <c r="I108">
        <f t="shared" si="33"/>
        <v>2.5466660299999999</v>
      </c>
      <c r="J108">
        <v>20</v>
      </c>
      <c r="K108">
        <f t="shared" si="34"/>
        <v>2.6666659999999998</v>
      </c>
      <c r="L108">
        <v>30.1</v>
      </c>
      <c r="M108">
        <f t="shared" si="35"/>
        <v>4.0133323299999999</v>
      </c>
      <c r="N108">
        <v>29.4</v>
      </c>
      <c r="O108">
        <f t="shared" si="36"/>
        <v>3.9199990199999997</v>
      </c>
      <c r="P108">
        <v>83.4</v>
      </c>
      <c r="Q108">
        <f t="shared" si="37"/>
        <v>11.11999722</v>
      </c>
      <c r="R108">
        <v>46.9</v>
      </c>
      <c r="S108">
        <f t="shared" si="38"/>
        <v>6.2533317699999991</v>
      </c>
      <c r="T108">
        <v>68</v>
      </c>
      <c r="U108">
        <f t="shared" si="39"/>
        <v>9.0666643999999987</v>
      </c>
      <c r="W108">
        <v>105</v>
      </c>
      <c r="X108">
        <v>23</v>
      </c>
      <c r="Y108">
        <f t="shared" si="40"/>
        <v>3.0666658999999998</v>
      </c>
      <c r="Z108">
        <v>4.5</v>
      </c>
      <c r="AA108">
        <f t="shared" si="41"/>
        <v>0.59999984999999989</v>
      </c>
      <c r="AB108">
        <v>34.200000000000003</v>
      </c>
      <c r="AC108">
        <f t="shared" si="42"/>
        <v>4.5599988600000003</v>
      </c>
      <c r="AD108">
        <v>40.299999999999997</v>
      </c>
      <c r="AE108">
        <f t="shared" si="43"/>
        <v>5.3733319899999987</v>
      </c>
      <c r="AF108">
        <v>38.9</v>
      </c>
      <c r="AG108">
        <f t="shared" si="44"/>
        <v>5.1866653699999992</v>
      </c>
      <c r="AH108">
        <v>40.4</v>
      </c>
      <c r="AI108">
        <f t="shared" si="45"/>
        <v>5.3866653199999996</v>
      </c>
      <c r="AJ108">
        <v>27.3</v>
      </c>
      <c r="AK108">
        <f t="shared" si="46"/>
        <v>3.6399990899999999</v>
      </c>
      <c r="AL108">
        <v>53</v>
      </c>
      <c r="AM108">
        <f t="shared" si="47"/>
        <v>7.0666648999999992</v>
      </c>
      <c r="AN108">
        <v>61.3</v>
      </c>
      <c r="AO108">
        <f t="shared" si="48"/>
        <v>8.1733312899999984</v>
      </c>
      <c r="AP108">
        <v>52.9</v>
      </c>
      <c r="AQ108">
        <f t="shared" si="49"/>
        <v>7.0533315699999992</v>
      </c>
      <c r="AS108">
        <v>105</v>
      </c>
      <c r="AT108">
        <v>53.5</v>
      </c>
      <c r="AU108">
        <f t="shared" si="50"/>
        <v>7.1333315499999994</v>
      </c>
      <c r="AV108">
        <v>17.2</v>
      </c>
      <c r="AW108">
        <f t="shared" si="51"/>
        <v>2.2933327599999997</v>
      </c>
      <c r="AX108">
        <v>21.9</v>
      </c>
      <c r="AY108">
        <f t="shared" si="52"/>
        <v>2.9199992699999995</v>
      </c>
      <c r="AZ108">
        <v>20.7</v>
      </c>
      <c r="BA108">
        <f t="shared" si="53"/>
        <v>2.7599993099999995</v>
      </c>
      <c r="BB108">
        <v>38.299999999999997</v>
      </c>
      <c r="BC108">
        <f t="shared" si="54"/>
        <v>5.106665389999999</v>
      </c>
      <c r="BD108">
        <v>37.299999999999997</v>
      </c>
      <c r="BE108">
        <f t="shared" si="55"/>
        <v>4.9733320899999995</v>
      </c>
      <c r="BF108">
        <v>34.4</v>
      </c>
      <c r="BG108">
        <f t="shared" si="56"/>
        <v>4.5866655199999995</v>
      </c>
      <c r="BH108">
        <v>52.1</v>
      </c>
      <c r="BI108">
        <f t="shared" si="57"/>
        <v>6.9466649299999998</v>
      </c>
      <c r="BJ108">
        <v>42.3</v>
      </c>
      <c r="BK108">
        <f t="shared" si="58"/>
        <v>5.6399985899999994</v>
      </c>
      <c r="BL108">
        <v>27.5</v>
      </c>
      <c r="BM108">
        <f t="shared" si="59"/>
        <v>3.6666657499999995</v>
      </c>
    </row>
    <row r="109" spans="1:65" x14ac:dyDescent="0.35">
      <c r="A109">
        <v>106</v>
      </c>
      <c r="B109">
        <v>6.5</v>
      </c>
      <c r="C109">
        <f t="shared" si="30"/>
        <v>0.86666644999999987</v>
      </c>
      <c r="D109">
        <v>12.5</v>
      </c>
      <c r="E109">
        <f t="shared" si="31"/>
        <v>1.6666662499999998</v>
      </c>
      <c r="F109">
        <v>25.6</v>
      </c>
      <c r="G109">
        <f t="shared" si="32"/>
        <v>3.4133324799999998</v>
      </c>
      <c r="H109">
        <v>19.100000000000001</v>
      </c>
      <c r="I109">
        <f t="shared" si="33"/>
        <v>2.5466660299999999</v>
      </c>
      <c r="J109">
        <v>20</v>
      </c>
      <c r="K109">
        <f t="shared" si="34"/>
        <v>2.6666659999999998</v>
      </c>
      <c r="L109">
        <v>30.2</v>
      </c>
      <c r="M109">
        <f t="shared" si="35"/>
        <v>4.0266656599999999</v>
      </c>
      <c r="N109">
        <v>29.4</v>
      </c>
      <c r="O109">
        <f t="shared" si="36"/>
        <v>3.9199990199999997</v>
      </c>
      <c r="P109">
        <v>83.4</v>
      </c>
      <c r="Q109">
        <f t="shared" si="37"/>
        <v>11.11999722</v>
      </c>
      <c r="R109">
        <v>47</v>
      </c>
      <c r="S109">
        <f t="shared" si="38"/>
        <v>6.2666650999999991</v>
      </c>
      <c r="T109">
        <v>68.3</v>
      </c>
      <c r="U109">
        <f t="shared" si="39"/>
        <v>9.1066643899999988</v>
      </c>
      <c r="W109">
        <v>106</v>
      </c>
      <c r="X109">
        <v>23</v>
      </c>
      <c r="Y109">
        <f t="shared" si="40"/>
        <v>3.0666658999999998</v>
      </c>
      <c r="Z109">
        <v>4.5</v>
      </c>
      <c r="AA109">
        <f t="shared" si="41"/>
        <v>0.59999984999999989</v>
      </c>
      <c r="AB109">
        <v>34.200000000000003</v>
      </c>
      <c r="AC109">
        <f t="shared" si="42"/>
        <v>4.5599988600000003</v>
      </c>
      <c r="AD109">
        <v>40.299999999999997</v>
      </c>
      <c r="AE109">
        <f t="shared" si="43"/>
        <v>5.3733319899999987</v>
      </c>
      <c r="AF109">
        <v>38.9</v>
      </c>
      <c r="AG109">
        <f t="shared" si="44"/>
        <v>5.1866653699999992</v>
      </c>
      <c r="AH109">
        <v>40.5</v>
      </c>
      <c r="AI109">
        <f t="shared" si="45"/>
        <v>5.3999986499999997</v>
      </c>
      <c r="AJ109">
        <v>27.4</v>
      </c>
      <c r="AK109">
        <f t="shared" si="46"/>
        <v>3.6533324199999995</v>
      </c>
      <c r="AL109">
        <v>53</v>
      </c>
      <c r="AM109">
        <f t="shared" si="47"/>
        <v>7.0666648999999992</v>
      </c>
      <c r="AN109">
        <v>61.3</v>
      </c>
      <c r="AO109">
        <f t="shared" si="48"/>
        <v>8.1733312899999984</v>
      </c>
      <c r="AP109">
        <v>52.9</v>
      </c>
      <c r="AQ109">
        <f t="shared" si="49"/>
        <v>7.0533315699999992</v>
      </c>
      <c r="AS109">
        <v>106</v>
      </c>
      <c r="AT109">
        <v>53.5</v>
      </c>
      <c r="AU109">
        <f t="shared" si="50"/>
        <v>7.1333315499999994</v>
      </c>
      <c r="AV109">
        <v>17.2</v>
      </c>
      <c r="AW109">
        <f t="shared" si="51"/>
        <v>2.2933327599999997</v>
      </c>
      <c r="AX109">
        <v>21.9</v>
      </c>
      <c r="AY109">
        <f t="shared" si="52"/>
        <v>2.9199992699999995</v>
      </c>
      <c r="AZ109">
        <v>20.7</v>
      </c>
      <c r="BA109">
        <f t="shared" si="53"/>
        <v>2.7599993099999995</v>
      </c>
      <c r="BB109">
        <v>38.299999999999997</v>
      </c>
      <c r="BC109">
        <f t="shared" si="54"/>
        <v>5.106665389999999</v>
      </c>
      <c r="BD109">
        <v>37.299999999999997</v>
      </c>
      <c r="BE109">
        <f t="shared" si="55"/>
        <v>4.9733320899999995</v>
      </c>
      <c r="BF109">
        <v>34.5</v>
      </c>
      <c r="BG109">
        <f t="shared" si="56"/>
        <v>4.5999988499999995</v>
      </c>
      <c r="BH109">
        <v>52.1</v>
      </c>
      <c r="BI109">
        <f t="shared" si="57"/>
        <v>6.9466649299999998</v>
      </c>
      <c r="BJ109">
        <v>42.4</v>
      </c>
      <c r="BK109">
        <f t="shared" si="58"/>
        <v>5.6533319199999994</v>
      </c>
      <c r="BL109">
        <v>27.6</v>
      </c>
      <c r="BM109">
        <f t="shared" si="59"/>
        <v>3.67999908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53AE-3DCD-4C6A-9C68-4287991FD9CD}">
  <dimension ref="A1:BZ246"/>
  <sheetViews>
    <sheetView topLeftCell="AB1" zoomScale="27" zoomScaleNormal="55" workbookViewId="0">
      <selection activeCell="AY4" sqref="AY4:AY146"/>
    </sheetView>
  </sheetViews>
  <sheetFormatPr defaultRowHeight="14.5" x14ac:dyDescent="0.35"/>
  <sheetData>
    <row r="1" spans="1:78" x14ac:dyDescent="0.35">
      <c r="B1" t="s">
        <v>25</v>
      </c>
      <c r="J1" t="s">
        <v>27</v>
      </c>
      <c r="AI1" t="s">
        <v>31</v>
      </c>
      <c r="AN1" t="s">
        <v>25</v>
      </c>
      <c r="BO1" t="s">
        <v>27</v>
      </c>
    </row>
    <row r="2" spans="1:78" x14ac:dyDescent="0.35">
      <c r="B2" t="s">
        <v>26</v>
      </c>
      <c r="J2" t="s">
        <v>26</v>
      </c>
      <c r="AI2" s="1" t="s">
        <v>28</v>
      </c>
      <c r="AJ2" s="1" t="s">
        <v>29</v>
      </c>
      <c r="AK2" s="1" t="s">
        <v>30</v>
      </c>
      <c r="AN2" t="s">
        <v>26</v>
      </c>
      <c r="BO2" t="s">
        <v>26</v>
      </c>
    </row>
    <row r="3" spans="1:78" x14ac:dyDescent="0.35">
      <c r="B3" t="s">
        <v>20</v>
      </c>
      <c r="C3" t="s">
        <v>19</v>
      </c>
      <c r="D3" t="s">
        <v>21</v>
      </c>
      <c r="E3" t="s">
        <v>22</v>
      </c>
      <c r="F3" t="s">
        <v>23</v>
      </c>
      <c r="G3" t="s">
        <v>24</v>
      </c>
      <c r="J3" t="s">
        <v>20</v>
      </c>
      <c r="K3" t="s">
        <v>19</v>
      </c>
      <c r="L3" t="s">
        <v>21</v>
      </c>
      <c r="M3" t="s">
        <v>22</v>
      </c>
      <c r="N3" t="s">
        <v>23</v>
      </c>
      <c r="O3" t="s">
        <v>24</v>
      </c>
      <c r="AI3">
        <v>0</v>
      </c>
      <c r="AJ3">
        <f xml:space="preserve"> 32 * (AI3/12)</f>
        <v>0</v>
      </c>
      <c r="AK3">
        <f xml:space="preserve"> AJ3*6.895</f>
        <v>0</v>
      </c>
      <c r="AN3" t="s">
        <v>20</v>
      </c>
      <c r="AO3" t="s">
        <v>32</v>
      </c>
      <c r="AP3" t="s">
        <v>19</v>
      </c>
      <c r="AQ3" t="s">
        <v>33</v>
      </c>
      <c r="AR3" t="s">
        <v>21</v>
      </c>
      <c r="AS3" t="s">
        <v>34</v>
      </c>
      <c r="AT3" t="s">
        <v>22</v>
      </c>
      <c r="AU3" t="s">
        <v>35</v>
      </c>
      <c r="AV3" t="s">
        <v>23</v>
      </c>
      <c r="AW3" t="s">
        <v>36</v>
      </c>
      <c r="AX3" t="s">
        <v>24</v>
      </c>
      <c r="AY3" t="s">
        <v>37</v>
      </c>
      <c r="BO3" t="s">
        <v>20</v>
      </c>
      <c r="BP3" t="s">
        <v>32</v>
      </c>
      <c r="BQ3" t="s">
        <v>19</v>
      </c>
      <c r="BR3" t="s">
        <v>33</v>
      </c>
      <c r="BS3" t="s">
        <v>21</v>
      </c>
      <c r="BT3" t="s">
        <v>34</v>
      </c>
      <c r="BU3" t="s">
        <v>22</v>
      </c>
      <c r="BV3" t="s">
        <v>35</v>
      </c>
      <c r="BW3" t="s">
        <v>23</v>
      </c>
      <c r="BX3" t="s">
        <v>36</v>
      </c>
      <c r="BY3" t="s">
        <v>24</v>
      </c>
      <c r="BZ3" t="s">
        <v>37</v>
      </c>
    </row>
    <row r="4" spans="1:78" x14ac:dyDescent="0.35">
      <c r="A4">
        <v>0</v>
      </c>
      <c r="B4">
        <v>-121</v>
      </c>
      <c r="C4">
        <v>-113.7</v>
      </c>
      <c r="D4">
        <v>202.9</v>
      </c>
      <c r="E4">
        <v>108.6</v>
      </c>
      <c r="F4">
        <v>1.4</v>
      </c>
      <c r="G4">
        <v>0.9</v>
      </c>
      <c r="I4">
        <v>0</v>
      </c>
      <c r="J4">
        <v>3.9</v>
      </c>
      <c r="K4">
        <v>-187.8</v>
      </c>
      <c r="L4">
        <v>79.900000000000006</v>
      </c>
      <c r="M4">
        <v>1</v>
      </c>
      <c r="N4">
        <v>44</v>
      </c>
      <c r="O4">
        <v>4.5999999999999996</v>
      </c>
      <c r="AI4">
        <v>2</v>
      </c>
      <c r="AJ4">
        <f t="shared" ref="AJ4:AJ9" si="0" xml:space="preserve"> 32 * (AI4/12)</f>
        <v>5.333333333333333</v>
      </c>
      <c r="AK4">
        <f t="shared" ref="AK4:AK9" si="1" xml:space="preserve"> AJ4*6.895</f>
        <v>36.773333333333326</v>
      </c>
      <c r="AM4">
        <v>0</v>
      </c>
      <c r="AN4">
        <v>-121</v>
      </c>
      <c r="AO4">
        <f>AN4*0.13333333</f>
        <v>-16.133332930000002</v>
      </c>
      <c r="AP4">
        <v>-113.7</v>
      </c>
      <c r="AQ4">
        <f>AP4*0.13333333</f>
        <v>-15.159999621000001</v>
      </c>
      <c r="AR4">
        <v>202.9</v>
      </c>
      <c r="AS4">
        <f xml:space="preserve"> AR4*0.13333333</f>
        <v>27.053332657000002</v>
      </c>
      <c r="AT4">
        <v>108.6</v>
      </c>
      <c r="AU4">
        <f>AT4*0.133333333</f>
        <v>14.479999963799999</v>
      </c>
      <c r="AV4">
        <v>1.4</v>
      </c>
      <c r="AW4">
        <f>AV4*0.1333333</f>
        <v>0.18666661999999998</v>
      </c>
      <c r="AX4">
        <v>0.9</v>
      </c>
      <c r="AY4">
        <f>AX4*0.13333333</f>
        <v>0.119999997</v>
      </c>
      <c r="BN4">
        <v>0</v>
      </c>
      <c r="BO4">
        <v>3.9</v>
      </c>
      <c r="BP4">
        <f>BO4*0.13333333</f>
        <v>0.51999998699999994</v>
      </c>
      <c r="BQ4">
        <v>-187.8</v>
      </c>
      <c r="BR4">
        <f>BQ4*0.13333333</f>
        <v>-25.039999374000001</v>
      </c>
      <c r="BS4">
        <v>79.900000000000006</v>
      </c>
      <c r="BT4">
        <f>BS4*0.13333333</f>
        <v>10.653333067</v>
      </c>
      <c r="BU4">
        <v>1</v>
      </c>
      <c r="BV4">
        <f>BU4*0.13333333</f>
        <v>0.13333333</v>
      </c>
      <c r="BW4">
        <v>44</v>
      </c>
      <c r="BX4">
        <f>BW4*0.13333333</f>
        <v>5.8666665199999999</v>
      </c>
      <c r="BY4">
        <v>4.5999999999999996</v>
      </c>
      <c r="BZ4">
        <f>BY4*0.13333333</f>
        <v>0.61333331799999991</v>
      </c>
    </row>
    <row r="5" spans="1:78" x14ac:dyDescent="0.35">
      <c r="A5">
        <v>1</v>
      </c>
      <c r="B5">
        <v>-136.5</v>
      </c>
      <c r="C5">
        <v>-162.5</v>
      </c>
      <c r="D5">
        <v>221.2</v>
      </c>
      <c r="E5">
        <v>149.80000000000001</v>
      </c>
      <c r="F5">
        <v>147.30000000000001</v>
      </c>
      <c r="G5">
        <v>46.9</v>
      </c>
      <c r="I5">
        <v>1</v>
      </c>
      <c r="J5">
        <v>86.9</v>
      </c>
      <c r="K5">
        <v>-189.4</v>
      </c>
      <c r="L5">
        <v>99</v>
      </c>
      <c r="M5">
        <v>55.4</v>
      </c>
      <c r="N5">
        <v>289</v>
      </c>
      <c r="O5">
        <v>98</v>
      </c>
      <c r="AI5">
        <v>4</v>
      </c>
      <c r="AJ5">
        <f t="shared" si="0"/>
        <v>10.666666666666666</v>
      </c>
      <c r="AK5">
        <f t="shared" si="1"/>
        <v>73.546666666666653</v>
      </c>
      <c r="AM5">
        <v>1</v>
      </c>
      <c r="AN5">
        <v>-136.5</v>
      </c>
      <c r="AO5">
        <f t="shared" ref="AO5:AO68" si="2">AN5*0.13333333</f>
        <v>-18.199999545000001</v>
      </c>
      <c r="AP5">
        <v>-162.5</v>
      </c>
      <c r="AQ5">
        <f t="shared" ref="AQ5:AQ68" si="3">AP5*0.13333333</f>
        <v>-21.666666124999999</v>
      </c>
      <c r="AR5">
        <v>221.2</v>
      </c>
      <c r="AS5">
        <f t="shared" ref="AS5:AS68" si="4" xml:space="preserve"> AR5*0.13333333</f>
        <v>29.493332595999998</v>
      </c>
      <c r="AT5">
        <v>149.80000000000001</v>
      </c>
      <c r="AU5">
        <f t="shared" ref="AU5:AU68" si="5">AT5*0.133333333</f>
        <v>19.973333283400002</v>
      </c>
      <c r="AV5">
        <v>147.30000000000001</v>
      </c>
      <c r="AW5">
        <f t="shared" ref="AW5:AW68" si="6">AV5*0.1333333</f>
        <v>19.639995089999999</v>
      </c>
      <c r="AX5">
        <v>46.9</v>
      </c>
      <c r="AY5">
        <f t="shared" ref="AY5:AY68" si="7">AX5*0.13333333</f>
        <v>6.253333177</v>
      </c>
      <c r="BN5">
        <v>1</v>
      </c>
      <c r="BO5">
        <v>86.9</v>
      </c>
      <c r="BP5">
        <f t="shared" ref="BP5:BP68" si="8">BO5*0.13333333</f>
        <v>11.586666377</v>
      </c>
      <c r="BQ5">
        <v>-189.4</v>
      </c>
      <c r="BR5">
        <f t="shared" ref="BR5:BR68" si="9">BQ5*0.13333333</f>
        <v>-25.253332702000002</v>
      </c>
      <c r="BS5">
        <v>99</v>
      </c>
      <c r="BT5">
        <f t="shared" ref="BT5:BT68" si="10">BS5*0.13333333</f>
        <v>13.19999967</v>
      </c>
      <c r="BU5">
        <v>55.4</v>
      </c>
      <c r="BV5">
        <f t="shared" ref="BV5:BV68" si="11">BU5*0.13333333</f>
        <v>7.3866664819999999</v>
      </c>
      <c r="BW5">
        <v>289</v>
      </c>
      <c r="BX5">
        <f t="shared" ref="BX5:BX68" si="12">BW5*0.13333333</f>
        <v>38.533332369999997</v>
      </c>
      <c r="BY5">
        <v>98</v>
      </c>
      <c r="BZ5">
        <f t="shared" ref="BZ5:BZ68" si="13">BY5*0.13333333</f>
        <v>13.066666339999999</v>
      </c>
    </row>
    <row r="6" spans="1:78" x14ac:dyDescent="0.35">
      <c r="A6">
        <v>2</v>
      </c>
      <c r="B6">
        <v>-151.4</v>
      </c>
      <c r="C6">
        <v>-209.9</v>
      </c>
      <c r="D6">
        <v>236.9</v>
      </c>
      <c r="E6">
        <v>182.6</v>
      </c>
      <c r="F6">
        <v>582.6</v>
      </c>
      <c r="G6">
        <v>282.3</v>
      </c>
      <c r="I6">
        <v>2</v>
      </c>
      <c r="J6">
        <v>233.3</v>
      </c>
      <c r="K6">
        <v>-126.1</v>
      </c>
      <c r="L6">
        <v>116.8</v>
      </c>
      <c r="M6">
        <v>288.60000000000002</v>
      </c>
      <c r="N6">
        <v>638.5</v>
      </c>
      <c r="O6">
        <v>426.9</v>
      </c>
      <c r="AI6">
        <v>6</v>
      </c>
      <c r="AJ6">
        <f t="shared" si="0"/>
        <v>16</v>
      </c>
      <c r="AK6">
        <f t="shared" si="1"/>
        <v>110.32</v>
      </c>
      <c r="AM6">
        <v>2</v>
      </c>
      <c r="AN6">
        <v>-151.4</v>
      </c>
      <c r="AO6">
        <f t="shared" si="2"/>
        <v>-20.186666162000002</v>
      </c>
      <c r="AP6">
        <v>-209.9</v>
      </c>
      <c r="AQ6">
        <f t="shared" si="3"/>
        <v>-27.986665967</v>
      </c>
      <c r="AR6">
        <v>236.9</v>
      </c>
      <c r="AS6">
        <f t="shared" si="4"/>
        <v>31.586665877000002</v>
      </c>
      <c r="AT6">
        <v>182.6</v>
      </c>
      <c r="AU6">
        <f t="shared" si="5"/>
        <v>24.346666605799999</v>
      </c>
      <c r="AV6">
        <v>582.6</v>
      </c>
      <c r="AW6">
        <f t="shared" si="6"/>
        <v>77.679980579999992</v>
      </c>
      <c r="AX6">
        <v>282.3</v>
      </c>
      <c r="AY6">
        <f t="shared" si="7"/>
        <v>37.639999059000004</v>
      </c>
      <c r="BN6">
        <v>2</v>
      </c>
      <c r="BO6">
        <v>233.3</v>
      </c>
      <c r="BP6">
        <f t="shared" si="8"/>
        <v>31.106665889000002</v>
      </c>
      <c r="BQ6">
        <v>-126.1</v>
      </c>
      <c r="BR6">
        <f t="shared" si="9"/>
        <v>-16.813332913</v>
      </c>
      <c r="BS6">
        <v>116.8</v>
      </c>
      <c r="BT6">
        <f t="shared" si="10"/>
        <v>15.573332943999999</v>
      </c>
      <c r="BU6">
        <v>288.60000000000002</v>
      </c>
      <c r="BV6">
        <f t="shared" si="11"/>
        <v>38.479999038000003</v>
      </c>
      <c r="BW6">
        <v>638.5</v>
      </c>
      <c r="BX6">
        <f t="shared" si="12"/>
        <v>85.133331205000005</v>
      </c>
      <c r="BY6">
        <v>426.9</v>
      </c>
      <c r="BZ6">
        <f t="shared" si="13"/>
        <v>56.919998576999994</v>
      </c>
    </row>
    <row r="7" spans="1:78" x14ac:dyDescent="0.35">
      <c r="A7">
        <v>3</v>
      </c>
      <c r="B7">
        <v>-166.5</v>
      </c>
      <c r="C7">
        <v>-255.2</v>
      </c>
      <c r="D7">
        <v>250.8</v>
      </c>
      <c r="E7">
        <v>210.8</v>
      </c>
      <c r="F7">
        <v>614.5</v>
      </c>
      <c r="G7">
        <v>629.5</v>
      </c>
      <c r="I7">
        <v>3</v>
      </c>
      <c r="J7">
        <v>261.60000000000002</v>
      </c>
      <c r="K7">
        <v>-57.6</v>
      </c>
      <c r="L7">
        <v>118.9</v>
      </c>
      <c r="M7">
        <v>577.9</v>
      </c>
      <c r="N7">
        <v>822.3</v>
      </c>
      <c r="O7">
        <v>789.8</v>
      </c>
      <c r="AI7">
        <v>8</v>
      </c>
      <c r="AJ7">
        <f t="shared" si="0"/>
        <v>21.333333333333332</v>
      </c>
      <c r="AK7">
        <f t="shared" si="1"/>
        <v>147.09333333333331</v>
      </c>
      <c r="AM7">
        <v>3</v>
      </c>
      <c r="AN7">
        <v>-166.5</v>
      </c>
      <c r="AO7">
        <f t="shared" si="2"/>
        <v>-22.199999445</v>
      </c>
      <c r="AP7">
        <v>-255.2</v>
      </c>
      <c r="AQ7">
        <f t="shared" si="3"/>
        <v>-34.026665815999998</v>
      </c>
      <c r="AR7">
        <v>250.8</v>
      </c>
      <c r="AS7">
        <f t="shared" si="4"/>
        <v>33.439999164</v>
      </c>
      <c r="AT7">
        <v>210.8</v>
      </c>
      <c r="AU7">
        <f t="shared" si="5"/>
        <v>28.1066665964</v>
      </c>
      <c r="AV7">
        <v>614.5</v>
      </c>
      <c r="AW7">
        <f t="shared" si="6"/>
        <v>81.933312849999993</v>
      </c>
      <c r="AX7">
        <v>629.5</v>
      </c>
      <c r="AY7">
        <f t="shared" si="7"/>
        <v>83.933331234999997</v>
      </c>
      <c r="BN7">
        <v>3</v>
      </c>
      <c r="BO7">
        <v>261.60000000000002</v>
      </c>
      <c r="BP7">
        <f t="shared" si="8"/>
        <v>34.879999128000001</v>
      </c>
      <c r="BQ7">
        <v>-57.6</v>
      </c>
      <c r="BR7">
        <f t="shared" si="9"/>
        <v>-7.6799998079999998</v>
      </c>
      <c r="BS7">
        <v>118.9</v>
      </c>
      <c r="BT7">
        <f t="shared" si="10"/>
        <v>15.853332937000001</v>
      </c>
      <c r="BU7">
        <v>577.9</v>
      </c>
      <c r="BV7">
        <f t="shared" si="11"/>
        <v>77.053331407000002</v>
      </c>
      <c r="BW7">
        <v>822.3</v>
      </c>
      <c r="BX7">
        <f t="shared" si="12"/>
        <v>109.639997259</v>
      </c>
      <c r="BY7">
        <v>789.8</v>
      </c>
      <c r="BZ7">
        <f t="shared" si="13"/>
        <v>105.30666403399999</v>
      </c>
    </row>
    <row r="8" spans="1:78" x14ac:dyDescent="0.35">
      <c r="A8">
        <v>4</v>
      </c>
      <c r="B8">
        <v>-181.4</v>
      </c>
      <c r="C8">
        <v>-297.89999999999998</v>
      </c>
      <c r="D8">
        <v>263.10000000000002</v>
      </c>
      <c r="E8">
        <v>236.3</v>
      </c>
      <c r="F8">
        <v>353.1</v>
      </c>
      <c r="G8">
        <v>857</v>
      </c>
      <c r="I8">
        <v>4</v>
      </c>
      <c r="J8">
        <v>273.5</v>
      </c>
      <c r="K8">
        <v>-4.7</v>
      </c>
      <c r="L8">
        <v>88.4</v>
      </c>
      <c r="M8">
        <v>769.1</v>
      </c>
      <c r="N8">
        <v>807.7</v>
      </c>
      <c r="O8">
        <v>977.9</v>
      </c>
      <c r="AI8">
        <v>10</v>
      </c>
      <c r="AJ8">
        <f t="shared" si="0"/>
        <v>26.666666666666668</v>
      </c>
      <c r="AK8">
        <f t="shared" si="1"/>
        <v>183.86666666666667</v>
      </c>
      <c r="AM8">
        <v>4</v>
      </c>
      <c r="AN8">
        <v>-181.4</v>
      </c>
      <c r="AO8">
        <f t="shared" si="2"/>
        <v>-24.186666062</v>
      </c>
      <c r="AP8">
        <v>-297.89999999999998</v>
      </c>
      <c r="AQ8">
        <f t="shared" si="3"/>
        <v>-39.719999006999998</v>
      </c>
      <c r="AR8">
        <v>263.10000000000002</v>
      </c>
      <c r="AS8">
        <f t="shared" si="4"/>
        <v>35.079999123</v>
      </c>
      <c r="AT8">
        <v>236.3</v>
      </c>
      <c r="AU8">
        <f t="shared" si="5"/>
        <v>31.5066665879</v>
      </c>
      <c r="AV8">
        <v>353.1</v>
      </c>
      <c r="AW8">
        <f t="shared" si="6"/>
        <v>47.079988229999998</v>
      </c>
      <c r="AX8">
        <v>857</v>
      </c>
      <c r="AY8">
        <f t="shared" si="7"/>
        <v>114.26666381</v>
      </c>
      <c r="BN8">
        <v>4</v>
      </c>
      <c r="BO8">
        <v>273.5</v>
      </c>
      <c r="BP8">
        <f t="shared" si="8"/>
        <v>36.466665755000001</v>
      </c>
      <c r="BQ8">
        <v>-4.7</v>
      </c>
      <c r="BR8">
        <f t="shared" si="9"/>
        <v>-0.62666665100000007</v>
      </c>
      <c r="BS8">
        <v>88.4</v>
      </c>
      <c r="BT8">
        <f t="shared" si="10"/>
        <v>11.786666372000001</v>
      </c>
      <c r="BU8">
        <v>769.1</v>
      </c>
      <c r="BV8">
        <f t="shared" si="11"/>
        <v>102.546664103</v>
      </c>
      <c r="BW8">
        <v>807.7</v>
      </c>
      <c r="BX8">
        <f t="shared" si="12"/>
        <v>107.693330641</v>
      </c>
      <c r="BY8">
        <v>977.9</v>
      </c>
      <c r="BZ8">
        <f t="shared" si="13"/>
        <v>130.38666340699999</v>
      </c>
    </row>
    <row r="9" spans="1:78" x14ac:dyDescent="0.35">
      <c r="A9">
        <v>5</v>
      </c>
      <c r="B9">
        <v>-167.8</v>
      </c>
      <c r="C9">
        <v>-337.5</v>
      </c>
      <c r="D9">
        <v>274.39999999999998</v>
      </c>
      <c r="E9">
        <v>260</v>
      </c>
      <c r="F9">
        <v>402.1</v>
      </c>
      <c r="G9">
        <v>961.9</v>
      </c>
      <c r="I9">
        <v>5</v>
      </c>
      <c r="J9">
        <v>281.3</v>
      </c>
      <c r="K9">
        <v>36.799999999999997</v>
      </c>
      <c r="L9">
        <v>56.6</v>
      </c>
      <c r="M9">
        <v>878.9</v>
      </c>
      <c r="N9">
        <v>759.9</v>
      </c>
      <c r="O9">
        <v>1058.4000000000001</v>
      </c>
      <c r="AI9">
        <v>12</v>
      </c>
      <c r="AJ9">
        <f t="shared" si="0"/>
        <v>32</v>
      </c>
      <c r="AK9">
        <f t="shared" si="1"/>
        <v>220.64</v>
      </c>
      <c r="AM9">
        <v>5</v>
      </c>
      <c r="AN9">
        <v>-167.8</v>
      </c>
      <c r="AO9">
        <f t="shared" si="2"/>
        <v>-22.373332774000001</v>
      </c>
      <c r="AP9">
        <v>-337.5</v>
      </c>
      <c r="AQ9">
        <f t="shared" si="3"/>
        <v>-44.999998875000003</v>
      </c>
      <c r="AR9">
        <v>274.39999999999998</v>
      </c>
      <c r="AS9">
        <f t="shared" si="4"/>
        <v>36.586665751999995</v>
      </c>
      <c r="AT9">
        <v>260</v>
      </c>
      <c r="AU9">
        <f t="shared" si="5"/>
        <v>34.666666579999998</v>
      </c>
      <c r="AV9">
        <v>402.1</v>
      </c>
      <c r="AW9">
        <f t="shared" si="6"/>
        <v>53.613319929999996</v>
      </c>
      <c r="AX9">
        <v>961.9</v>
      </c>
      <c r="AY9">
        <f t="shared" si="7"/>
        <v>128.253330127</v>
      </c>
      <c r="BN9">
        <v>5</v>
      </c>
      <c r="BO9">
        <v>281.3</v>
      </c>
      <c r="BP9">
        <f t="shared" si="8"/>
        <v>37.506665728999998</v>
      </c>
      <c r="BQ9">
        <v>36.799999999999997</v>
      </c>
      <c r="BR9">
        <f t="shared" si="9"/>
        <v>4.9066665439999992</v>
      </c>
      <c r="BS9">
        <v>56.6</v>
      </c>
      <c r="BT9">
        <f t="shared" si="10"/>
        <v>7.5466664780000006</v>
      </c>
      <c r="BU9">
        <v>878.9</v>
      </c>
      <c r="BV9">
        <f t="shared" si="11"/>
        <v>117.186663737</v>
      </c>
      <c r="BW9">
        <v>759.9</v>
      </c>
      <c r="BX9">
        <f t="shared" si="12"/>
        <v>101.31999746699999</v>
      </c>
      <c r="BY9">
        <v>1058.4000000000001</v>
      </c>
      <c r="BZ9">
        <f t="shared" si="13"/>
        <v>141.11999647200003</v>
      </c>
    </row>
    <row r="10" spans="1:78" x14ac:dyDescent="0.35">
      <c r="A10">
        <v>6</v>
      </c>
      <c r="B10">
        <v>-118.7</v>
      </c>
      <c r="C10">
        <v>-373.9</v>
      </c>
      <c r="D10">
        <v>276.3</v>
      </c>
      <c r="E10">
        <v>282.2</v>
      </c>
      <c r="F10">
        <v>638.9</v>
      </c>
      <c r="G10">
        <v>1023.2</v>
      </c>
      <c r="I10">
        <v>6</v>
      </c>
      <c r="J10">
        <v>278.89999999999998</v>
      </c>
      <c r="K10">
        <v>69.8</v>
      </c>
      <c r="L10">
        <v>29.3</v>
      </c>
      <c r="M10">
        <v>943.3</v>
      </c>
      <c r="N10">
        <v>722.3</v>
      </c>
      <c r="O10">
        <v>1113.5999999999999</v>
      </c>
      <c r="AM10">
        <v>6</v>
      </c>
      <c r="AN10">
        <v>-118.7</v>
      </c>
      <c r="AO10">
        <f t="shared" si="2"/>
        <v>-15.826666271000001</v>
      </c>
      <c r="AP10">
        <v>-373.9</v>
      </c>
      <c r="AQ10">
        <f t="shared" si="3"/>
        <v>-49.853332086999998</v>
      </c>
      <c r="AR10">
        <v>276.3</v>
      </c>
      <c r="AS10">
        <f t="shared" si="4"/>
        <v>36.839999079000002</v>
      </c>
      <c r="AT10">
        <v>282.2</v>
      </c>
      <c r="AU10">
        <f t="shared" si="5"/>
        <v>37.626666572600001</v>
      </c>
      <c r="AV10">
        <v>638.9</v>
      </c>
      <c r="AW10">
        <f t="shared" si="6"/>
        <v>85.186645369999994</v>
      </c>
      <c r="AX10">
        <v>1023.2</v>
      </c>
      <c r="AY10">
        <f t="shared" si="7"/>
        <v>136.42666325600001</v>
      </c>
      <c r="BN10">
        <v>6</v>
      </c>
      <c r="BO10">
        <v>278.89999999999998</v>
      </c>
      <c r="BP10">
        <f t="shared" si="8"/>
        <v>37.186665736999998</v>
      </c>
      <c r="BQ10">
        <v>69.8</v>
      </c>
      <c r="BR10">
        <f t="shared" si="9"/>
        <v>9.3066664340000003</v>
      </c>
      <c r="BS10">
        <v>29.3</v>
      </c>
      <c r="BT10">
        <f t="shared" si="10"/>
        <v>3.906666569</v>
      </c>
      <c r="BU10">
        <v>943.3</v>
      </c>
      <c r="BV10">
        <f t="shared" si="11"/>
        <v>125.77333018899999</v>
      </c>
      <c r="BW10">
        <v>722.3</v>
      </c>
      <c r="BX10">
        <f t="shared" si="12"/>
        <v>96.306664258999987</v>
      </c>
      <c r="BY10">
        <v>1113.5999999999999</v>
      </c>
      <c r="BZ10">
        <f t="shared" si="13"/>
        <v>148.479996288</v>
      </c>
    </row>
    <row r="11" spans="1:78" x14ac:dyDescent="0.35">
      <c r="A11">
        <v>7</v>
      </c>
      <c r="B11">
        <v>-77.099999999999994</v>
      </c>
      <c r="C11">
        <v>-407.2</v>
      </c>
      <c r="D11">
        <v>243.9</v>
      </c>
      <c r="E11">
        <v>303.10000000000002</v>
      </c>
      <c r="F11">
        <v>741.9</v>
      </c>
      <c r="G11">
        <v>1074.9000000000001</v>
      </c>
      <c r="I11">
        <v>7</v>
      </c>
      <c r="J11">
        <v>269</v>
      </c>
      <c r="K11">
        <v>96.3</v>
      </c>
      <c r="L11">
        <v>4.3</v>
      </c>
      <c r="M11">
        <v>986.8</v>
      </c>
      <c r="N11">
        <v>686.9</v>
      </c>
      <c r="O11">
        <v>1167.7</v>
      </c>
      <c r="AM11">
        <v>7</v>
      </c>
      <c r="AN11">
        <v>-77.099999999999994</v>
      </c>
      <c r="AO11">
        <f t="shared" si="2"/>
        <v>-10.279999742999999</v>
      </c>
      <c r="AP11">
        <v>-407.2</v>
      </c>
      <c r="AQ11">
        <f t="shared" si="3"/>
        <v>-54.293331975999997</v>
      </c>
      <c r="AR11">
        <v>243.9</v>
      </c>
      <c r="AS11">
        <f t="shared" si="4"/>
        <v>32.519999187000003</v>
      </c>
      <c r="AT11">
        <v>303.10000000000002</v>
      </c>
      <c r="AU11">
        <f t="shared" si="5"/>
        <v>40.413333232300005</v>
      </c>
      <c r="AV11">
        <v>741.9</v>
      </c>
      <c r="AW11">
        <f t="shared" si="6"/>
        <v>98.919975269999995</v>
      </c>
      <c r="AX11">
        <v>1074.9000000000001</v>
      </c>
      <c r="AY11">
        <f t="shared" si="7"/>
        <v>143.319996417</v>
      </c>
      <c r="BN11">
        <v>7</v>
      </c>
      <c r="BO11">
        <v>269</v>
      </c>
      <c r="BP11">
        <f t="shared" si="8"/>
        <v>35.866665769999997</v>
      </c>
      <c r="BQ11">
        <v>96.3</v>
      </c>
      <c r="BR11">
        <f t="shared" si="9"/>
        <v>12.839999679</v>
      </c>
      <c r="BS11">
        <v>4.3</v>
      </c>
      <c r="BT11">
        <f t="shared" si="10"/>
        <v>0.57333331899999995</v>
      </c>
      <c r="BU11">
        <v>986.8</v>
      </c>
      <c r="BV11">
        <f t="shared" si="11"/>
        <v>131.57333004399999</v>
      </c>
      <c r="BW11">
        <v>686.9</v>
      </c>
      <c r="BX11">
        <f t="shared" si="12"/>
        <v>91.586664376999991</v>
      </c>
      <c r="BY11">
        <v>1167.7</v>
      </c>
      <c r="BZ11">
        <f t="shared" si="13"/>
        <v>155.693329441</v>
      </c>
    </row>
    <row r="12" spans="1:78" x14ac:dyDescent="0.35">
      <c r="A12">
        <v>8</v>
      </c>
      <c r="B12">
        <v>-44.5</v>
      </c>
      <c r="C12">
        <v>-431.6</v>
      </c>
      <c r="D12">
        <v>201.1</v>
      </c>
      <c r="E12">
        <v>322.8</v>
      </c>
      <c r="F12">
        <v>771.3</v>
      </c>
      <c r="G12">
        <v>1123.4000000000001</v>
      </c>
      <c r="I12">
        <v>8</v>
      </c>
      <c r="J12">
        <v>241.9</v>
      </c>
      <c r="K12">
        <v>118.1</v>
      </c>
      <c r="L12">
        <v>-18.899999999999999</v>
      </c>
      <c r="M12">
        <v>1022</v>
      </c>
      <c r="N12">
        <v>652.20000000000005</v>
      </c>
      <c r="O12">
        <v>1223.9000000000001</v>
      </c>
      <c r="AM12">
        <v>8</v>
      </c>
      <c r="AN12">
        <v>-44.5</v>
      </c>
      <c r="AO12">
        <f t="shared" si="2"/>
        <v>-5.9333331850000004</v>
      </c>
      <c r="AP12">
        <v>-431.6</v>
      </c>
      <c r="AQ12">
        <f t="shared" si="3"/>
        <v>-57.546665228000002</v>
      </c>
      <c r="AR12">
        <v>201.1</v>
      </c>
      <c r="AS12">
        <f t="shared" si="4"/>
        <v>26.813332663000001</v>
      </c>
      <c r="AT12">
        <v>322.8</v>
      </c>
      <c r="AU12">
        <f t="shared" si="5"/>
        <v>43.039999892400004</v>
      </c>
      <c r="AV12">
        <v>771.3</v>
      </c>
      <c r="AW12">
        <f t="shared" si="6"/>
        <v>102.83997428999999</v>
      </c>
      <c r="AX12">
        <v>1123.4000000000001</v>
      </c>
      <c r="AY12">
        <f t="shared" si="7"/>
        <v>149.786662922</v>
      </c>
      <c r="BN12">
        <v>8</v>
      </c>
      <c r="BO12">
        <v>241.9</v>
      </c>
      <c r="BP12">
        <f t="shared" si="8"/>
        <v>32.253332526999998</v>
      </c>
      <c r="BQ12">
        <v>118.1</v>
      </c>
      <c r="BR12">
        <f t="shared" si="9"/>
        <v>15.746666272999999</v>
      </c>
      <c r="BS12">
        <v>-18.899999999999999</v>
      </c>
      <c r="BT12">
        <f t="shared" si="10"/>
        <v>-2.5199999369999997</v>
      </c>
      <c r="BU12">
        <v>1022</v>
      </c>
      <c r="BV12">
        <f t="shared" si="11"/>
        <v>136.26666326</v>
      </c>
      <c r="BW12">
        <v>652.20000000000005</v>
      </c>
      <c r="BX12">
        <f t="shared" si="12"/>
        <v>86.959997826000006</v>
      </c>
      <c r="BY12">
        <v>1223.9000000000001</v>
      </c>
      <c r="BZ12">
        <f t="shared" si="13"/>
        <v>163.186662587</v>
      </c>
    </row>
    <row r="13" spans="1:78" x14ac:dyDescent="0.35">
      <c r="A13">
        <v>9</v>
      </c>
      <c r="B13">
        <v>-12.4</v>
      </c>
      <c r="C13">
        <v>-401.5</v>
      </c>
      <c r="D13">
        <v>164.1</v>
      </c>
      <c r="E13">
        <v>327.7</v>
      </c>
      <c r="F13">
        <v>847.5</v>
      </c>
      <c r="G13">
        <v>1170.5</v>
      </c>
      <c r="I13">
        <v>9</v>
      </c>
      <c r="J13">
        <v>215.4</v>
      </c>
      <c r="K13">
        <v>136.1</v>
      </c>
      <c r="L13">
        <v>-40.9</v>
      </c>
      <c r="M13">
        <v>1054</v>
      </c>
      <c r="N13">
        <v>617.5</v>
      </c>
      <c r="O13">
        <v>1281.5999999999999</v>
      </c>
      <c r="AM13">
        <v>9</v>
      </c>
      <c r="AN13">
        <v>-12.4</v>
      </c>
      <c r="AO13">
        <f t="shared" si="2"/>
        <v>-1.6533332920000001</v>
      </c>
      <c r="AP13">
        <v>-401.5</v>
      </c>
      <c r="AQ13">
        <f t="shared" si="3"/>
        <v>-53.533331994999998</v>
      </c>
      <c r="AR13">
        <v>164.1</v>
      </c>
      <c r="AS13">
        <f t="shared" si="4"/>
        <v>21.879999453</v>
      </c>
      <c r="AT13">
        <v>327.7</v>
      </c>
      <c r="AU13">
        <f t="shared" si="5"/>
        <v>43.693333224099995</v>
      </c>
      <c r="AV13">
        <v>847.5</v>
      </c>
      <c r="AW13">
        <f t="shared" si="6"/>
        <v>112.99997174999999</v>
      </c>
      <c r="AX13">
        <v>1170.5</v>
      </c>
      <c r="AY13">
        <f t="shared" si="7"/>
        <v>156.06666276499999</v>
      </c>
      <c r="BN13">
        <v>9</v>
      </c>
      <c r="BO13">
        <v>215.4</v>
      </c>
      <c r="BP13">
        <f t="shared" si="8"/>
        <v>28.719999282</v>
      </c>
      <c r="BQ13">
        <v>136.1</v>
      </c>
      <c r="BR13">
        <f t="shared" si="9"/>
        <v>18.146666213</v>
      </c>
      <c r="BS13">
        <v>-40.9</v>
      </c>
      <c r="BT13">
        <f t="shared" si="10"/>
        <v>-5.4533331970000001</v>
      </c>
      <c r="BU13">
        <v>1054</v>
      </c>
      <c r="BV13">
        <f t="shared" si="11"/>
        <v>140.53332982000001</v>
      </c>
      <c r="BW13">
        <v>617.5</v>
      </c>
      <c r="BX13">
        <f t="shared" si="12"/>
        <v>82.333331275000006</v>
      </c>
      <c r="BY13">
        <v>1281.5999999999999</v>
      </c>
      <c r="BZ13">
        <f t="shared" si="13"/>
        <v>170.87999572799998</v>
      </c>
    </row>
    <row r="14" spans="1:78" x14ac:dyDescent="0.35">
      <c r="A14">
        <v>10</v>
      </c>
      <c r="B14">
        <v>6.3</v>
      </c>
      <c r="C14">
        <v>-305.5</v>
      </c>
      <c r="D14">
        <v>130.4</v>
      </c>
      <c r="E14">
        <v>285.2</v>
      </c>
      <c r="F14">
        <v>927.2</v>
      </c>
      <c r="G14">
        <v>1205.5</v>
      </c>
      <c r="I14">
        <v>10</v>
      </c>
      <c r="J14">
        <v>191</v>
      </c>
      <c r="K14">
        <v>151.30000000000001</v>
      </c>
      <c r="L14">
        <v>-62.1</v>
      </c>
      <c r="M14">
        <v>1084.5999999999999</v>
      </c>
      <c r="N14">
        <v>582.79999999999995</v>
      </c>
      <c r="O14">
        <v>1340.3</v>
      </c>
      <c r="AM14">
        <v>10</v>
      </c>
      <c r="AN14">
        <v>6.3</v>
      </c>
      <c r="AO14">
        <f t="shared" si="2"/>
        <v>0.83999997900000001</v>
      </c>
      <c r="AP14">
        <v>-305.5</v>
      </c>
      <c r="AQ14">
        <f t="shared" si="3"/>
        <v>-40.733332314999998</v>
      </c>
      <c r="AR14">
        <v>130.4</v>
      </c>
      <c r="AS14">
        <f t="shared" si="4"/>
        <v>17.386666232</v>
      </c>
      <c r="AT14">
        <v>285.2</v>
      </c>
      <c r="AU14">
        <f t="shared" si="5"/>
        <v>38.026666571599996</v>
      </c>
      <c r="AV14">
        <v>927.2</v>
      </c>
      <c r="AW14">
        <f t="shared" si="6"/>
        <v>123.62663576</v>
      </c>
      <c r="AX14">
        <v>1205.5</v>
      </c>
      <c r="AY14">
        <f t="shared" si="7"/>
        <v>160.73332931499999</v>
      </c>
      <c r="BN14">
        <v>10</v>
      </c>
      <c r="BO14">
        <v>191</v>
      </c>
      <c r="BP14">
        <f t="shared" si="8"/>
        <v>25.466666029999999</v>
      </c>
      <c r="BQ14">
        <v>151.30000000000001</v>
      </c>
      <c r="BR14">
        <f t="shared" si="9"/>
        <v>20.173332829000003</v>
      </c>
      <c r="BS14">
        <v>-62.1</v>
      </c>
      <c r="BT14">
        <f t="shared" si="10"/>
        <v>-8.279999793</v>
      </c>
      <c r="BU14">
        <v>1084.5999999999999</v>
      </c>
      <c r="BV14">
        <f t="shared" si="11"/>
        <v>144.61332971799999</v>
      </c>
      <c r="BW14">
        <v>582.79999999999995</v>
      </c>
      <c r="BX14">
        <f t="shared" si="12"/>
        <v>77.706664723999992</v>
      </c>
      <c r="BY14">
        <v>1340.3</v>
      </c>
      <c r="BZ14">
        <f t="shared" si="13"/>
        <v>178.70666219899999</v>
      </c>
    </row>
    <row r="15" spans="1:78" x14ac:dyDescent="0.35">
      <c r="A15">
        <v>11</v>
      </c>
      <c r="B15">
        <v>29.7</v>
      </c>
      <c r="C15">
        <v>-216.3</v>
      </c>
      <c r="D15">
        <v>98</v>
      </c>
      <c r="E15">
        <v>233</v>
      </c>
      <c r="F15">
        <v>987.3</v>
      </c>
      <c r="G15">
        <v>1169.5</v>
      </c>
      <c r="I15">
        <v>11</v>
      </c>
      <c r="J15">
        <v>168.5</v>
      </c>
      <c r="K15">
        <v>164</v>
      </c>
      <c r="L15">
        <v>-83</v>
      </c>
      <c r="M15">
        <v>1114.5999999999999</v>
      </c>
      <c r="N15">
        <v>548.20000000000005</v>
      </c>
      <c r="O15">
        <v>1398.8</v>
      </c>
      <c r="AM15">
        <v>11</v>
      </c>
      <c r="AN15">
        <v>29.7</v>
      </c>
      <c r="AO15">
        <f t="shared" si="2"/>
        <v>3.9599999009999998</v>
      </c>
      <c r="AP15">
        <v>-216.3</v>
      </c>
      <c r="AQ15">
        <f t="shared" si="3"/>
        <v>-28.839999279000001</v>
      </c>
      <c r="AR15">
        <v>98</v>
      </c>
      <c r="AS15">
        <f t="shared" si="4"/>
        <v>13.066666339999999</v>
      </c>
      <c r="AT15">
        <v>233</v>
      </c>
      <c r="AU15">
        <f t="shared" si="5"/>
        <v>31.066666589</v>
      </c>
      <c r="AV15">
        <v>987.3</v>
      </c>
      <c r="AW15">
        <f t="shared" si="6"/>
        <v>131.63996708999997</v>
      </c>
      <c r="AX15">
        <v>1169.5</v>
      </c>
      <c r="AY15">
        <f t="shared" si="7"/>
        <v>155.93332943499999</v>
      </c>
      <c r="BN15">
        <v>11</v>
      </c>
      <c r="BO15">
        <v>168.5</v>
      </c>
      <c r="BP15">
        <f t="shared" si="8"/>
        <v>22.466666105000002</v>
      </c>
      <c r="BQ15">
        <v>164</v>
      </c>
      <c r="BR15">
        <f t="shared" si="9"/>
        <v>21.866666120000001</v>
      </c>
      <c r="BS15">
        <v>-83</v>
      </c>
      <c r="BT15">
        <f t="shared" si="10"/>
        <v>-11.06666639</v>
      </c>
      <c r="BU15">
        <v>1114.5999999999999</v>
      </c>
      <c r="BV15">
        <f t="shared" si="11"/>
        <v>148.61332961799999</v>
      </c>
      <c r="BW15">
        <v>548.20000000000005</v>
      </c>
      <c r="BX15">
        <f t="shared" si="12"/>
        <v>73.093331506000013</v>
      </c>
      <c r="BY15">
        <v>1398.8</v>
      </c>
      <c r="BZ15">
        <f t="shared" si="13"/>
        <v>186.50666200399999</v>
      </c>
    </row>
    <row r="16" spans="1:78" x14ac:dyDescent="0.35">
      <c r="A16">
        <v>12</v>
      </c>
      <c r="B16">
        <v>41.1</v>
      </c>
      <c r="C16">
        <v>-150.80000000000001</v>
      </c>
      <c r="D16">
        <v>64.8</v>
      </c>
      <c r="E16">
        <v>189.9</v>
      </c>
      <c r="F16">
        <v>1036.7</v>
      </c>
      <c r="G16">
        <v>1089.5</v>
      </c>
      <c r="I16">
        <v>12</v>
      </c>
      <c r="J16">
        <v>148</v>
      </c>
      <c r="K16">
        <v>174.7</v>
      </c>
      <c r="L16">
        <v>-103.8</v>
      </c>
      <c r="M16">
        <v>1143.8</v>
      </c>
      <c r="N16">
        <v>513.9</v>
      </c>
      <c r="O16">
        <v>1441.8</v>
      </c>
      <c r="AM16">
        <v>12</v>
      </c>
      <c r="AN16">
        <v>41.1</v>
      </c>
      <c r="AO16">
        <f t="shared" si="2"/>
        <v>5.4799998629999997</v>
      </c>
      <c r="AP16">
        <v>-150.80000000000001</v>
      </c>
      <c r="AQ16">
        <f t="shared" si="3"/>
        <v>-20.106666164</v>
      </c>
      <c r="AR16">
        <v>64.8</v>
      </c>
      <c r="AS16">
        <f t="shared" si="4"/>
        <v>8.6399997840000005</v>
      </c>
      <c r="AT16">
        <v>189.9</v>
      </c>
      <c r="AU16">
        <f t="shared" si="5"/>
        <v>25.3199999367</v>
      </c>
      <c r="AV16">
        <v>1036.7</v>
      </c>
      <c r="AW16">
        <f t="shared" si="6"/>
        <v>138.22663211</v>
      </c>
      <c r="AX16">
        <v>1089.5</v>
      </c>
      <c r="AY16">
        <f t="shared" si="7"/>
        <v>145.26666303499999</v>
      </c>
      <c r="BN16">
        <v>12</v>
      </c>
      <c r="BO16">
        <v>148</v>
      </c>
      <c r="BP16">
        <f t="shared" si="8"/>
        <v>19.733332839999999</v>
      </c>
      <c r="BQ16">
        <v>174.7</v>
      </c>
      <c r="BR16">
        <f t="shared" si="9"/>
        <v>23.293332750999998</v>
      </c>
      <c r="BS16">
        <v>-103.8</v>
      </c>
      <c r="BT16">
        <f t="shared" si="10"/>
        <v>-13.839999654</v>
      </c>
      <c r="BU16">
        <v>1143.8</v>
      </c>
      <c r="BV16">
        <f t="shared" si="11"/>
        <v>152.50666285399998</v>
      </c>
      <c r="BW16">
        <v>513.9</v>
      </c>
      <c r="BX16">
        <f t="shared" si="12"/>
        <v>68.519998286999993</v>
      </c>
      <c r="BY16">
        <v>1441.8</v>
      </c>
      <c r="BZ16">
        <f t="shared" si="13"/>
        <v>192.23999519399999</v>
      </c>
    </row>
    <row r="17" spans="1:78" x14ac:dyDescent="0.35">
      <c r="A17">
        <v>13</v>
      </c>
      <c r="B17">
        <v>56</v>
      </c>
      <c r="C17">
        <v>-101.9</v>
      </c>
      <c r="D17">
        <v>29.4</v>
      </c>
      <c r="E17">
        <v>151.9</v>
      </c>
      <c r="F17">
        <v>1081.2</v>
      </c>
      <c r="G17">
        <v>1024.8</v>
      </c>
      <c r="I17">
        <v>13</v>
      </c>
      <c r="J17">
        <v>129.30000000000001</v>
      </c>
      <c r="K17">
        <v>178.6</v>
      </c>
      <c r="L17">
        <v>-125.1</v>
      </c>
      <c r="M17">
        <v>1172</v>
      </c>
      <c r="N17">
        <v>479.9</v>
      </c>
      <c r="O17">
        <v>1413.4</v>
      </c>
      <c r="AM17">
        <v>13</v>
      </c>
      <c r="AN17">
        <v>56</v>
      </c>
      <c r="AO17">
        <f t="shared" si="2"/>
        <v>7.4666664799999998</v>
      </c>
      <c r="AP17">
        <v>-101.9</v>
      </c>
      <c r="AQ17">
        <f t="shared" si="3"/>
        <v>-13.586666327000001</v>
      </c>
      <c r="AR17">
        <v>29.4</v>
      </c>
      <c r="AS17">
        <f t="shared" si="4"/>
        <v>3.9199999019999998</v>
      </c>
      <c r="AT17">
        <v>151.9</v>
      </c>
      <c r="AU17">
        <f t="shared" si="5"/>
        <v>20.253333282700002</v>
      </c>
      <c r="AV17">
        <v>1081.2</v>
      </c>
      <c r="AW17">
        <f t="shared" si="6"/>
        <v>144.15996396</v>
      </c>
      <c r="AX17">
        <v>1024.8</v>
      </c>
      <c r="AY17">
        <f t="shared" si="7"/>
        <v>136.63999658399999</v>
      </c>
      <c r="BN17">
        <v>13</v>
      </c>
      <c r="BO17">
        <v>129.30000000000001</v>
      </c>
      <c r="BP17">
        <f t="shared" si="8"/>
        <v>17.239999569000002</v>
      </c>
      <c r="BQ17">
        <v>178.6</v>
      </c>
      <c r="BR17">
        <f t="shared" si="9"/>
        <v>23.813332738</v>
      </c>
      <c r="BS17">
        <v>-125.1</v>
      </c>
      <c r="BT17">
        <f t="shared" si="10"/>
        <v>-16.679999583000001</v>
      </c>
      <c r="BU17">
        <v>1172</v>
      </c>
      <c r="BV17">
        <f t="shared" si="11"/>
        <v>156.26666276</v>
      </c>
      <c r="BW17">
        <v>479.9</v>
      </c>
      <c r="BX17">
        <f t="shared" si="12"/>
        <v>63.986665066999997</v>
      </c>
      <c r="BY17">
        <v>1413.4</v>
      </c>
      <c r="BZ17">
        <f t="shared" si="13"/>
        <v>188.45332862200002</v>
      </c>
    </row>
    <row r="18" spans="1:78" x14ac:dyDescent="0.35">
      <c r="A18">
        <v>14</v>
      </c>
      <c r="B18">
        <v>64.400000000000006</v>
      </c>
      <c r="C18">
        <v>-65.2</v>
      </c>
      <c r="D18">
        <v>-9</v>
      </c>
      <c r="E18">
        <v>117.2</v>
      </c>
      <c r="F18">
        <v>1122.4000000000001</v>
      </c>
      <c r="G18">
        <v>971.7</v>
      </c>
      <c r="I18">
        <v>14</v>
      </c>
      <c r="J18">
        <v>112</v>
      </c>
      <c r="K18">
        <v>159</v>
      </c>
      <c r="L18">
        <v>-145.6</v>
      </c>
      <c r="M18">
        <v>1200.5999999999999</v>
      </c>
      <c r="N18">
        <v>454.7</v>
      </c>
      <c r="O18">
        <v>1351.4</v>
      </c>
      <c r="AM18">
        <v>14</v>
      </c>
      <c r="AN18">
        <v>64.400000000000006</v>
      </c>
      <c r="AO18">
        <f t="shared" si="2"/>
        <v>8.5866664520000011</v>
      </c>
      <c r="AP18">
        <v>-65.2</v>
      </c>
      <c r="AQ18">
        <f t="shared" si="3"/>
        <v>-8.6933331159999998</v>
      </c>
      <c r="AR18">
        <v>-9</v>
      </c>
      <c r="AS18">
        <f t="shared" si="4"/>
        <v>-1.1999999699999999</v>
      </c>
      <c r="AT18">
        <v>117.2</v>
      </c>
      <c r="AU18">
        <f t="shared" si="5"/>
        <v>15.626666627600001</v>
      </c>
      <c r="AV18">
        <v>1122.4000000000001</v>
      </c>
      <c r="AW18">
        <f t="shared" si="6"/>
        <v>149.65329592000001</v>
      </c>
      <c r="AX18">
        <v>971.7</v>
      </c>
      <c r="AY18">
        <f t="shared" si="7"/>
        <v>129.55999676100001</v>
      </c>
      <c r="BN18">
        <v>14</v>
      </c>
      <c r="BO18">
        <v>112</v>
      </c>
      <c r="BP18">
        <f t="shared" si="8"/>
        <v>14.93333296</v>
      </c>
      <c r="BQ18">
        <v>159</v>
      </c>
      <c r="BR18">
        <f t="shared" si="9"/>
        <v>21.199999470000002</v>
      </c>
      <c r="BS18">
        <v>-145.6</v>
      </c>
      <c r="BT18">
        <f t="shared" si="10"/>
        <v>-19.413332848</v>
      </c>
      <c r="BU18">
        <v>1200.5999999999999</v>
      </c>
      <c r="BV18">
        <f t="shared" si="11"/>
        <v>160.07999599799999</v>
      </c>
      <c r="BW18">
        <v>454.7</v>
      </c>
      <c r="BX18">
        <f t="shared" si="12"/>
        <v>60.626665150999997</v>
      </c>
      <c r="BY18">
        <v>1351.4</v>
      </c>
      <c r="BZ18">
        <f t="shared" si="13"/>
        <v>180.186662162</v>
      </c>
    </row>
    <row r="19" spans="1:78" x14ac:dyDescent="0.35">
      <c r="A19">
        <v>15</v>
      </c>
      <c r="B19">
        <v>69.2</v>
      </c>
      <c r="C19">
        <v>-36.9</v>
      </c>
      <c r="D19">
        <v>-51.1</v>
      </c>
      <c r="E19">
        <v>84.5</v>
      </c>
      <c r="F19">
        <v>1161.0999999999999</v>
      </c>
      <c r="G19">
        <v>925.4</v>
      </c>
      <c r="I19">
        <v>15</v>
      </c>
      <c r="J19">
        <v>96</v>
      </c>
      <c r="K19">
        <v>124</v>
      </c>
      <c r="L19">
        <v>-144</v>
      </c>
      <c r="M19">
        <v>1228.5999999999999</v>
      </c>
      <c r="N19">
        <v>525.6</v>
      </c>
      <c r="O19">
        <v>1302.2</v>
      </c>
      <c r="AM19">
        <v>15</v>
      </c>
      <c r="AN19">
        <v>69.2</v>
      </c>
      <c r="AO19">
        <f t="shared" si="2"/>
        <v>9.2266664360000004</v>
      </c>
      <c r="AP19">
        <v>-36.9</v>
      </c>
      <c r="AQ19">
        <f t="shared" si="3"/>
        <v>-4.9199998769999995</v>
      </c>
      <c r="AR19">
        <v>-51.1</v>
      </c>
      <c r="AS19">
        <f t="shared" si="4"/>
        <v>-6.8133331630000002</v>
      </c>
      <c r="AT19">
        <v>84.5</v>
      </c>
      <c r="AU19">
        <f t="shared" si="5"/>
        <v>11.2666666385</v>
      </c>
      <c r="AV19">
        <v>1161.0999999999999</v>
      </c>
      <c r="AW19">
        <f t="shared" si="6"/>
        <v>154.81329462999997</v>
      </c>
      <c r="AX19">
        <v>925.4</v>
      </c>
      <c r="AY19">
        <f t="shared" si="7"/>
        <v>123.386663582</v>
      </c>
      <c r="BN19">
        <v>15</v>
      </c>
      <c r="BO19">
        <v>96</v>
      </c>
      <c r="BP19">
        <f t="shared" si="8"/>
        <v>12.799999679999999</v>
      </c>
      <c r="BQ19">
        <v>124</v>
      </c>
      <c r="BR19">
        <f t="shared" si="9"/>
        <v>16.533332919999999</v>
      </c>
      <c r="BS19">
        <v>-144</v>
      </c>
      <c r="BT19">
        <f t="shared" si="10"/>
        <v>-19.199999519999999</v>
      </c>
      <c r="BU19">
        <v>1228.5999999999999</v>
      </c>
      <c r="BV19">
        <f t="shared" si="11"/>
        <v>163.81332923799999</v>
      </c>
      <c r="BW19">
        <v>525.6</v>
      </c>
      <c r="BX19">
        <f t="shared" si="12"/>
        <v>70.07999824800001</v>
      </c>
      <c r="BY19">
        <v>1302.2</v>
      </c>
      <c r="BZ19">
        <f t="shared" si="13"/>
        <v>173.626662326</v>
      </c>
    </row>
    <row r="20" spans="1:78" x14ac:dyDescent="0.35">
      <c r="A20">
        <v>16</v>
      </c>
      <c r="B20">
        <v>43.4</v>
      </c>
      <c r="C20">
        <v>-14.5</v>
      </c>
      <c r="D20">
        <v>-96.1</v>
      </c>
      <c r="E20">
        <v>52.8</v>
      </c>
      <c r="F20">
        <v>1198</v>
      </c>
      <c r="G20">
        <v>883.5</v>
      </c>
      <c r="I20">
        <v>16</v>
      </c>
      <c r="J20">
        <v>81.400000000000006</v>
      </c>
      <c r="K20">
        <v>89.2</v>
      </c>
      <c r="L20">
        <v>-103.4</v>
      </c>
      <c r="M20">
        <v>1256.4000000000001</v>
      </c>
      <c r="N20">
        <v>729.7</v>
      </c>
      <c r="O20">
        <v>1260.4000000000001</v>
      </c>
      <c r="AM20">
        <v>16</v>
      </c>
      <c r="AN20">
        <v>43.4</v>
      </c>
      <c r="AO20">
        <f t="shared" si="2"/>
        <v>5.786666522</v>
      </c>
      <c r="AP20">
        <v>-14.5</v>
      </c>
      <c r="AQ20">
        <f t="shared" si="3"/>
        <v>-1.933333285</v>
      </c>
      <c r="AR20">
        <v>-96.1</v>
      </c>
      <c r="AS20">
        <f t="shared" si="4"/>
        <v>-12.813333012999999</v>
      </c>
      <c r="AT20">
        <v>52.8</v>
      </c>
      <c r="AU20">
        <f t="shared" si="5"/>
        <v>7.0399999823999995</v>
      </c>
      <c r="AV20">
        <v>1198</v>
      </c>
      <c r="AW20">
        <f t="shared" si="6"/>
        <v>159.73329339999998</v>
      </c>
      <c r="AX20">
        <v>883.5</v>
      </c>
      <c r="AY20">
        <f t="shared" si="7"/>
        <v>117.79999705500001</v>
      </c>
      <c r="BN20">
        <v>16</v>
      </c>
      <c r="BO20">
        <v>81.400000000000006</v>
      </c>
      <c r="BP20">
        <f t="shared" si="8"/>
        <v>10.853333062000001</v>
      </c>
      <c r="BQ20">
        <v>89.2</v>
      </c>
      <c r="BR20">
        <f t="shared" si="9"/>
        <v>11.893333036</v>
      </c>
      <c r="BS20">
        <v>-103.4</v>
      </c>
      <c r="BT20">
        <f t="shared" si="10"/>
        <v>-13.786666322</v>
      </c>
      <c r="BU20">
        <v>1256.4000000000001</v>
      </c>
      <c r="BV20">
        <f t="shared" si="11"/>
        <v>167.51999581200002</v>
      </c>
      <c r="BW20">
        <v>729.7</v>
      </c>
      <c r="BX20">
        <f t="shared" si="12"/>
        <v>97.293330901000004</v>
      </c>
      <c r="BY20">
        <v>1260.4000000000001</v>
      </c>
      <c r="BZ20">
        <f t="shared" si="13"/>
        <v>168.05332913200002</v>
      </c>
    </row>
    <row r="21" spans="1:78" x14ac:dyDescent="0.35">
      <c r="A21">
        <v>17</v>
      </c>
      <c r="B21">
        <v>9.8000000000000007</v>
      </c>
      <c r="C21">
        <v>3.4</v>
      </c>
      <c r="D21">
        <v>-140.9</v>
      </c>
      <c r="E21">
        <v>21.2</v>
      </c>
      <c r="F21">
        <v>1233</v>
      </c>
      <c r="G21">
        <v>844.9</v>
      </c>
      <c r="I21">
        <v>17</v>
      </c>
      <c r="J21">
        <v>68.8</v>
      </c>
      <c r="K21">
        <v>54.9</v>
      </c>
      <c r="L21">
        <v>-54.1</v>
      </c>
      <c r="M21">
        <v>1283.8</v>
      </c>
      <c r="N21">
        <v>904.7</v>
      </c>
      <c r="O21">
        <v>1223.3</v>
      </c>
      <c r="AM21">
        <v>17</v>
      </c>
      <c r="AN21">
        <v>9.8000000000000007</v>
      </c>
      <c r="AO21">
        <f t="shared" si="2"/>
        <v>1.3066666340000002</v>
      </c>
      <c r="AP21">
        <v>3.4</v>
      </c>
      <c r="AQ21">
        <f t="shared" si="3"/>
        <v>0.45333332199999998</v>
      </c>
      <c r="AR21">
        <v>-140.9</v>
      </c>
      <c r="AS21">
        <f t="shared" si="4"/>
        <v>-18.786666197000002</v>
      </c>
      <c r="AT21">
        <v>21.2</v>
      </c>
      <c r="AU21">
        <f t="shared" si="5"/>
        <v>2.8266666595999999</v>
      </c>
      <c r="AV21">
        <v>1233</v>
      </c>
      <c r="AW21">
        <f t="shared" si="6"/>
        <v>164.39995889999997</v>
      </c>
      <c r="AX21">
        <v>844.9</v>
      </c>
      <c r="AY21">
        <f t="shared" si="7"/>
        <v>112.653330517</v>
      </c>
      <c r="BN21">
        <v>17</v>
      </c>
      <c r="BO21">
        <v>68.8</v>
      </c>
      <c r="BP21">
        <f t="shared" si="8"/>
        <v>9.1733331039999992</v>
      </c>
      <c r="BQ21">
        <v>54.9</v>
      </c>
      <c r="BR21">
        <f t="shared" si="9"/>
        <v>7.3199998170000002</v>
      </c>
      <c r="BS21">
        <v>-54.1</v>
      </c>
      <c r="BT21">
        <f t="shared" si="10"/>
        <v>-7.2133331529999998</v>
      </c>
      <c r="BU21">
        <v>1283.8</v>
      </c>
      <c r="BV21">
        <f t="shared" si="11"/>
        <v>171.17332905399999</v>
      </c>
      <c r="BW21">
        <v>904.7</v>
      </c>
      <c r="BX21">
        <f t="shared" si="12"/>
        <v>120.626663651</v>
      </c>
      <c r="BY21">
        <v>1223.3</v>
      </c>
      <c r="BZ21">
        <f t="shared" si="13"/>
        <v>163.106662589</v>
      </c>
    </row>
    <row r="22" spans="1:78" x14ac:dyDescent="0.35">
      <c r="A22">
        <v>18</v>
      </c>
      <c r="B22">
        <v>-23.8</v>
      </c>
      <c r="C22">
        <v>17.8</v>
      </c>
      <c r="D22">
        <v>-147.9</v>
      </c>
      <c r="E22">
        <v>-10.8</v>
      </c>
      <c r="F22">
        <v>1266.2</v>
      </c>
      <c r="G22">
        <v>808.3</v>
      </c>
      <c r="I22">
        <v>18</v>
      </c>
      <c r="J22">
        <v>71.3</v>
      </c>
      <c r="K22">
        <v>20.2</v>
      </c>
      <c r="L22">
        <v>-16.2</v>
      </c>
      <c r="M22">
        <v>1311.1</v>
      </c>
      <c r="N22">
        <v>998.6</v>
      </c>
      <c r="O22">
        <v>1190</v>
      </c>
      <c r="AM22">
        <v>18</v>
      </c>
      <c r="AN22">
        <v>-23.8</v>
      </c>
      <c r="AO22">
        <f t="shared" si="2"/>
        <v>-3.1733332540000001</v>
      </c>
      <c r="AP22">
        <v>17.8</v>
      </c>
      <c r="AQ22">
        <f t="shared" si="3"/>
        <v>2.3733332740000002</v>
      </c>
      <c r="AR22">
        <v>-147.9</v>
      </c>
      <c r="AS22">
        <f t="shared" si="4"/>
        <v>-19.719999507000001</v>
      </c>
      <c r="AT22">
        <v>-10.8</v>
      </c>
      <c r="AU22">
        <f t="shared" si="5"/>
        <v>-1.4399999964000001</v>
      </c>
      <c r="AV22">
        <v>1266.2</v>
      </c>
      <c r="AW22">
        <f t="shared" si="6"/>
        <v>168.82662446000001</v>
      </c>
      <c r="AX22">
        <v>808.3</v>
      </c>
      <c r="AY22">
        <f t="shared" si="7"/>
        <v>107.77333063899999</v>
      </c>
      <c r="BN22">
        <v>18</v>
      </c>
      <c r="BO22">
        <v>71.3</v>
      </c>
      <c r="BP22">
        <f t="shared" si="8"/>
        <v>9.5066664289999991</v>
      </c>
      <c r="BQ22">
        <v>20.2</v>
      </c>
      <c r="BR22">
        <f t="shared" si="9"/>
        <v>2.6933332659999998</v>
      </c>
      <c r="BS22">
        <v>-16.2</v>
      </c>
      <c r="BT22">
        <f t="shared" si="10"/>
        <v>-2.1599999460000001</v>
      </c>
      <c r="BU22">
        <v>1311.1</v>
      </c>
      <c r="BV22">
        <f t="shared" si="11"/>
        <v>174.81332896299998</v>
      </c>
      <c r="BW22">
        <v>998.6</v>
      </c>
      <c r="BX22">
        <f t="shared" si="12"/>
        <v>133.146663338</v>
      </c>
      <c r="BY22">
        <v>1190</v>
      </c>
      <c r="BZ22">
        <f t="shared" si="13"/>
        <v>158.66666269999999</v>
      </c>
    </row>
    <row r="23" spans="1:78" x14ac:dyDescent="0.35">
      <c r="A23">
        <v>19</v>
      </c>
      <c r="B23">
        <v>-52.6</v>
      </c>
      <c r="C23">
        <v>29.4</v>
      </c>
      <c r="D23">
        <v>-55.7</v>
      </c>
      <c r="E23">
        <v>-43.8</v>
      </c>
      <c r="F23">
        <v>1293.3</v>
      </c>
      <c r="G23">
        <v>772.6</v>
      </c>
      <c r="I23">
        <v>19</v>
      </c>
      <c r="J23">
        <v>90.5</v>
      </c>
      <c r="K23">
        <v>-14.9</v>
      </c>
      <c r="L23">
        <v>14.5</v>
      </c>
      <c r="M23">
        <v>1337.9</v>
      </c>
      <c r="N23">
        <v>1056.0999999999999</v>
      </c>
      <c r="O23">
        <v>1159.8</v>
      </c>
      <c r="AM23">
        <v>19</v>
      </c>
      <c r="AN23">
        <v>-52.6</v>
      </c>
      <c r="AO23">
        <f t="shared" si="2"/>
        <v>-7.013333158</v>
      </c>
      <c r="AP23">
        <v>29.4</v>
      </c>
      <c r="AQ23">
        <f t="shared" si="3"/>
        <v>3.9199999019999998</v>
      </c>
      <c r="AR23">
        <v>-55.7</v>
      </c>
      <c r="AS23">
        <f t="shared" si="4"/>
        <v>-7.4266664810000007</v>
      </c>
      <c r="AT23">
        <v>-43.8</v>
      </c>
      <c r="AU23">
        <f t="shared" si="5"/>
        <v>-5.8399999853999995</v>
      </c>
      <c r="AV23">
        <v>1293.3</v>
      </c>
      <c r="AW23">
        <f t="shared" si="6"/>
        <v>172.43995688999999</v>
      </c>
      <c r="AX23">
        <v>772.6</v>
      </c>
      <c r="AY23">
        <f t="shared" si="7"/>
        <v>103.01333075800001</v>
      </c>
      <c r="BN23">
        <v>19</v>
      </c>
      <c r="BO23">
        <v>90.5</v>
      </c>
      <c r="BP23">
        <f t="shared" si="8"/>
        <v>12.066666365</v>
      </c>
      <c r="BQ23">
        <v>-14.9</v>
      </c>
      <c r="BR23">
        <f t="shared" si="9"/>
        <v>-1.986666617</v>
      </c>
      <c r="BS23">
        <v>14.5</v>
      </c>
      <c r="BT23">
        <f t="shared" si="10"/>
        <v>1.933333285</v>
      </c>
      <c r="BU23">
        <v>1337.9</v>
      </c>
      <c r="BV23">
        <f t="shared" si="11"/>
        <v>178.386662207</v>
      </c>
      <c r="BW23">
        <v>1056.0999999999999</v>
      </c>
      <c r="BX23">
        <f t="shared" si="12"/>
        <v>140.813329813</v>
      </c>
      <c r="BY23">
        <v>1159.8</v>
      </c>
      <c r="BZ23">
        <f t="shared" si="13"/>
        <v>154.639996134</v>
      </c>
    </row>
    <row r="24" spans="1:78" x14ac:dyDescent="0.35">
      <c r="A24">
        <v>20</v>
      </c>
      <c r="B24">
        <v>-77.3</v>
      </c>
      <c r="C24">
        <v>38.6</v>
      </c>
      <c r="D24">
        <v>43.6</v>
      </c>
      <c r="E24">
        <v>-77.5</v>
      </c>
      <c r="F24">
        <v>1270</v>
      </c>
      <c r="G24">
        <v>737.5</v>
      </c>
      <c r="I24">
        <v>20</v>
      </c>
      <c r="J24">
        <v>131.30000000000001</v>
      </c>
      <c r="K24">
        <v>-50.4</v>
      </c>
      <c r="L24">
        <v>41</v>
      </c>
      <c r="M24">
        <v>1363.4</v>
      </c>
      <c r="N24">
        <v>1104.8</v>
      </c>
      <c r="O24">
        <v>1132</v>
      </c>
      <c r="AM24">
        <v>20</v>
      </c>
      <c r="AN24">
        <v>-77.3</v>
      </c>
      <c r="AO24">
        <f t="shared" si="2"/>
        <v>-10.306666409</v>
      </c>
      <c r="AP24">
        <v>38.6</v>
      </c>
      <c r="AQ24">
        <f t="shared" si="3"/>
        <v>5.1466665379999998</v>
      </c>
      <c r="AR24">
        <v>43.6</v>
      </c>
      <c r="AS24">
        <f t="shared" si="4"/>
        <v>5.8133331880000005</v>
      </c>
      <c r="AT24">
        <v>-77.5</v>
      </c>
      <c r="AU24">
        <f t="shared" si="5"/>
        <v>-10.3333333075</v>
      </c>
      <c r="AV24">
        <v>1270</v>
      </c>
      <c r="AW24">
        <f t="shared" si="6"/>
        <v>169.33329099999997</v>
      </c>
      <c r="AX24">
        <v>737.5</v>
      </c>
      <c r="AY24">
        <f t="shared" si="7"/>
        <v>98.333330875000001</v>
      </c>
      <c r="BN24">
        <v>20</v>
      </c>
      <c r="BO24">
        <v>131.30000000000001</v>
      </c>
      <c r="BP24">
        <f t="shared" si="8"/>
        <v>17.506666229</v>
      </c>
      <c r="BQ24">
        <v>-50.4</v>
      </c>
      <c r="BR24">
        <f t="shared" si="9"/>
        <v>-6.7199998320000001</v>
      </c>
      <c r="BS24">
        <v>41</v>
      </c>
      <c r="BT24">
        <f t="shared" si="10"/>
        <v>5.4666665300000004</v>
      </c>
      <c r="BU24">
        <v>1363.4</v>
      </c>
      <c r="BV24">
        <f t="shared" si="11"/>
        <v>181.78666212200002</v>
      </c>
      <c r="BW24">
        <v>1104.8</v>
      </c>
      <c r="BX24">
        <f t="shared" si="12"/>
        <v>147.30666298399998</v>
      </c>
      <c r="BY24">
        <v>1132</v>
      </c>
      <c r="BZ24">
        <f t="shared" si="13"/>
        <v>150.93332956</v>
      </c>
    </row>
    <row r="25" spans="1:78" x14ac:dyDescent="0.35">
      <c r="A25">
        <v>21</v>
      </c>
      <c r="B25">
        <v>-98.4</v>
      </c>
      <c r="C25">
        <v>34</v>
      </c>
      <c r="D25">
        <v>108.1</v>
      </c>
      <c r="E25">
        <v>-84</v>
      </c>
      <c r="F25">
        <v>1190.9000000000001</v>
      </c>
      <c r="G25">
        <v>702.6</v>
      </c>
      <c r="I25">
        <v>21</v>
      </c>
      <c r="J25">
        <v>160.1</v>
      </c>
      <c r="K25">
        <v>-86</v>
      </c>
      <c r="L25">
        <v>64.7</v>
      </c>
      <c r="M25">
        <v>1387.1</v>
      </c>
      <c r="N25">
        <v>1153.2</v>
      </c>
      <c r="O25">
        <v>1106.3</v>
      </c>
      <c r="AM25">
        <v>21</v>
      </c>
      <c r="AN25">
        <v>-98.4</v>
      </c>
      <c r="AO25">
        <f t="shared" si="2"/>
        <v>-13.119999672000001</v>
      </c>
      <c r="AP25">
        <v>34</v>
      </c>
      <c r="AQ25">
        <f t="shared" si="3"/>
        <v>4.5333332200000003</v>
      </c>
      <c r="AR25">
        <v>108.1</v>
      </c>
      <c r="AS25">
        <f t="shared" si="4"/>
        <v>14.413332972999999</v>
      </c>
      <c r="AT25">
        <v>-84</v>
      </c>
      <c r="AU25">
        <f t="shared" si="5"/>
        <v>-11.199999972000001</v>
      </c>
      <c r="AV25">
        <v>1190.9000000000001</v>
      </c>
      <c r="AW25">
        <f t="shared" si="6"/>
        <v>158.78662696999999</v>
      </c>
      <c r="AX25">
        <v>702.6</v>
      </c>
      <c r="AY25">
        <f t="shared" si="7"/>
        <v>93.679997658000005</v>
      </c>
      <c r="BN25">
        <v>21</v>
      </c>
      <c r="BO25">
        <v>160.1</v>
      </c>
      <c r="BP25">
        <f t="shared" si="8"/>
        <v>21.346666132999999</v>
      </c>
      <c r="BQ25">
        <v>-86</v>
      </c>
      <c r="BR25">
        <f t="shared" si="9"/>
        <v>-11.466666379999999</v>
      </c>
      <c r="BS25">
        <v>64.7</v>
      </c>
      <c r="BT25">
        <f t="shared" si="10"/>
        <v>8.6266664510000002</v>
      </c>
      <c r="BU25">
        <v>1387.1</v>
      </c>
      <c r="BV25">
        <f t="shared" si="11"/>
        <v>184.94666204299998</v>
      </c>
      <c r="BW25">
        <v>1153.2</v>
      </c>
      <c r="BX25">
        <f t="shared" si="12"/>
        <v>153.759996156</v>
      </c>
      <c r="BY25">
        <v>1106.3</v>
      </c>
      <c r="BZ25">
        <f t="shared" si="13"/>
        <v>147.506662979</v>
      </c>
    </row>
    <row r="26" spans="1:78" x14ac:dyDescent="0.35">
      <c r="A26">
        <v>22</v>
      </c>
      <c r="B26">
        <v>-116.6</v>
      </c>
      <c r="C26">
        <v>-8.8000000000000007</v>
      </c>
      <c r="D26">
        <v>151.19999999999999</v>
      </c>
      <c r="E26">
        <v>-20.5</v>
      </c>
      <c r="F26">
        <v>1119.3</v>
      </c>
      <c r="G26">
        <v>685.7</v>
      </c>
      <c r="I26">
        <v>22</v>
      </c>
      <c r="J26">
        <v>192.6</v>
      </c>
      <c r="K26">
        <v>-121.4</v>
      </c>
      <c r="L26">
        <v>86.5</v>
      </c>
      <c r="M26">
        <v>1408.1</v>
      </c>
      <c r="N26">
        <v>1202.3</v>
      </c>
      <c r="O26">
        <v>1082.5999999999999</v>
      </c>
      <c r="AM26">
        <v>22</v>
      </c>
      <c r="AN26">
        <v>-116.6</v>
      </c>
      <c r="AO26">
        <f t="shared" si="2"/>
        <v>-15.546666278</v>
      </c>
      <c r="AP26">
        <v>-8.8000000000000007</v>
      </c>
      <c r="AQ26">
        <f t="shared" si="3"/>
        <v>-1.173333304</v>
      </c>
      <c r="AR26">
        <v>151.19999999999999</v>
      </c>
      <c r="AS26">
        <f t="shared" si="4"/>
        <v>20.159999495999998</v>
      </c>
      <c r="AT26">
        <v>-20.5</v>
      </c>
      <c r="AU26">
        <f t="shared" si="5"/>
        <v>-2.7333333264999999</v>
      </c>
      <c r="AV26">
        <v>1119.3</v>
      </c>
      <c r="AW26">
        <f t="shared" si="6"/>
        <v>149.23996268999997</v>
      </c>
      <c r="AX26">
        <v>685.7</v>
      </c>
      <c r="AY26">
        <f t="shared" si="7"/>
        <v>91.426664381000009</v>
      </c>
      <c r="BN26">
        <v>22</v>
      </c>
      <c r="BO26">
        <v>192.6</v>
      </c>
      <c r="BP26">
        <f t="shared" si="8"/>
        <v>25.679999358</v>
      </c>
      <c r="BQ26">
        <v>-121.4</v>
      </c>
      <c r="BR26">
        <f t="shared" si="9"/>
        <v>-16.186666261999999</v>
      </c>
      <c r="BS26">
        <v>86.5</v>
      </c>
      <c r="BT26">
        <f t="shared" si="10"/>
        <v>11.533333044999999</v>
      </c>
      <c r="BU26">
        <v>1408.1</v>
      </c>
      <c r="BV26">
        <f t="shared" si="11"/>
        <v>187.74666197299999</v>
      </c>
      <c r="BW26">
        <v>1202.3</v>
      </c>
      <c r="BX26">
        <f t="shared" si="12"/>
        <v>160.30666265899998</v>
      </c>
      <c r="BY26">
        <v>1082.5999999999999</v>
      </c>
      <c r="BZ26">
        <f t="shared" si="13"/>
        <v>144.34666305799999</v>
      </c>
    </row>
    <row r="27" spans="1:78" x14ac:dyDescent="0.35">
      <c r="A27">
        <v>23</v>
      </c>
      <c r="B27">
        <v>-132.5</v>
      </c>
      <c r="C27">
        <v>-61.5</v>
      </c>
      <c r="D27">
        <v>181.6</v>
      </c>
      <c r="E27">
        <v>63.3</v>
      </c>
      <c r="F27">
        <v>1060</v>
      </c>
      <c r="G27">
        <v>729.3</v>
      </c>
      <c r="I27">
        <v>23</v>
      </c>
      <c r="J27">
        <v>208.7</v>
      </c>
      <c r="K27">
        <v>-156.30000000000001</v>
      </c>
      <c r="L27">
        <v>106.9</v>
      </c>
      <c r="M27">
        <v>1427.9</v>
      </c>
      <c r="N27">
        <v>1252</v>
      </c>
      <c r="O27">
        <v>1060.5999999999999</v>
      </c>
      <c r="AM27">
        <v>23</v>
      </c>
      <c r="AN27">
        <v>-132.5</v>
      </c>
      <c r="AO27">
        <f t="shared" si="2"/>
        <v>-17.666666225</v>
      </c>
      <c r="AP27">
        <v>-61.5</v>
      </c>
      <c r="AQ27">
        <f t="shared" si="3"/>
        <v>-8.1999997950000001</v>
      </c>
      <c r="AR27">
        <v>181.6</v>
      </c>
      <c r="AS27">
        <f t="shared" si="4"/>
        <v>24.213332727999997</v>
      </c>
      <c r="AT27">
        <v>63.3</v>
      </c>
      <c r="AU27">
        <f t="shared" si="5"/>
        <v>8.4399999788999995</v>
      </c>
      <c r="AV27">
        <v>1060</v>
      </c>
      <c r="AW27">
        <f t="shared" si="6"/>
        <v>141.33329799999998</v>
      </c>
      <c r="AX27">
        <v>729.3</v>
      </c>
      <c r="AY27">
        <f t="shared" si="7"/>
        <v>97.239997568999996</v>
      </c>
      <c r="BN27">
        <v>23</v>
      </c>
      <c r="BO27">
        <v>208.7</v>
      </c>
      <c r="BP27">
        <f t="shared" si="8"/>
        <v>27.826665970999997</v>
      </c>
      <c r="BQ27">
        <v>-156.30000000000001</v>
      </c>
      <c r="BR27">
        <f t="shared" si="9"/>
        <v>-20.839999479000003</v>
      </c>
      <c r="BS27">
        <v>106.9</v>
      </c>
      <c r="BT27">
        <f t="shared" si="10"/>
        <v>14.253332977000001</v>
      </c>
      <c r="BU27">
        <v>1427.9</v>
      </c>
      <c r="BV27">
        <f t="shared" si="11"/>
        <v>190.38666190700002</v>
      </c>
      <c r="BW27">
        <v>1252</v>
      </c>
      <c r="BX27">
        <f t="shared" si="12"/>
        <v>166.93332916</v>
      </c>
      <c r="BY27">
        <v>1060.5999999999999</v>
      </c>
      <c r="BZ27">
        <f t="shared" si="13"/>
        <v>141.41332979799998</v>
      </c>
    </row>
    <row r="28" spans="1:78" x14ac:dyDescent="0.35">
      <c r="A28">
        <v>24</v>
      </c>
      <c r="B28">
        <v>-146.30000000000001</v>
      </c>
      <c r="C28">
        <v>-111.9</v>
      </c>
      <c r="D28">
        <v>204.8</v>
      </c>
      <c r="E28">
        <v>121</v>
      </c>
      <c r="F28">
        <v>1009</v>
      </c>
      <c r="G28">
        <v>828.6</v>
      </c>
      <c r="I28">
        <v>24</v>
      </c>
      <c r="J28">
        <v>233.3</v>
      </c>
      <c r="K28">
        <v>-189.6</v>
      </c>
      <c r="L28">
        <v>126.1</v>
      </c>
      <c r="M28">
        <v>1446</v>
      </c>
      <c r="N28">
        <v>1302.0999999999999</v>
      </c>
      <c r="O28">
        <v>1042</v>
      </c>
      <c r="AM28">
        <v>24</v>
      </c>
      <c r="AN28">
        <v>-146.30000000000001</v>
      </c>
      <c r="AO28">
        <f t="shared" si="2"/>
        <v>-19.506666179</v>
      </c>
      <c r="AP28">
        <v>-111.9</v>
      </c>
      <c r="AQ28">
        <f t="shared" si="3"/>
        <v>-14.919999627000001</v>
      </c>
      <c r="AR28">
        <v>204.8</v>
      </c>
      <c r="AS28">
        <f t="shared" si="4"/>
        <v>27.306665984000002</v>
      </c>
      <c r="AT28">
        <v>121</v>
      </c>
      <c r="AU28">
        <f t="shared" si="5"/>
        <v>16.133333293</v>
      </c>
      <c r="AV28">
        <v>1009</v>
      </c>
      <c r="AW28">
        <f t="shared" si="6"/>
        <v>134.53329969999999</v>
      </c>
      <c r="AX28">
        <v>828.6</v>
      </c>
      <c r="AY28">
        <f t="shared" si="7"/>
        <v>110.47999723800001</v>
      </c>
      <c r="BN28">
        <v>24</v>
      </c>
      <c r="BO28">
        <v>233.3</v>
      </c>
      <c r="BP28">
        <f t="shared" si="8"/>
        <v>31.106665889000002</v>
      </c>
      <c r="BQ28">
        <v>-189.6</v>
      </c>
      <c r="BR28">
        <f t="shared" si="9"/>
        <v>-25.279999367999999</v>
      </c>
      <c r="BS28">
        <v>126.1</v>
      </c>
      <c r="BT28">
        <f t="shared" si="10"/>
        <v>16.813332913</v>
      </c>
      <c r="BU28">
        <v>1446</v>
      </c>
      <c r="BV28">
        <f t="shared" si="11"/>
        <v>192.79999518</v>
      </c>
      <c r="BW28">
        <v>1302.0999999999999</v>
      </c>
      <c r="BX28">
        <f t="shared" si="12"/>
        <v>173.61332899299998</v>
      </c>
      <c r="BY28">
        <v>1042</v>
      </c>
      <c r="BZ28">
        <f t="shared" si="13"/>
        <v>138.93332985999999</v>
      </c>
    </row>
    <row r="29" spans="1:78" x14ac:dyDescent="0.35">
      <c r="A29">
        <v>25</v>
      </c>
      <c r="B29">
        <v>-158.6</v>
      </c>
      <c r="C29">
        <v>-160.69999999999999</v>
      </c>
      <c r="D29">
        <v>223.5</v>
      </c>
      <c r="E29">
        <v>161.4</v>
      </c>
      <c r="F29">
        <v>963.8</v>
      </c>
      <c r="G29">
        <v>926.3</v>
      </c>
      <c r="I29">
        <v>25</v>
      </c>
      <c r="J29">
        <v>241.2</v>
      </c>
      <c r="K29">
        <v>-202.5</v>
      </c>
      <c r="L29">
        <v>144.30000000000001</v>
      </c>
      <c r="M29">
        <v>1439.5</v>
      </c>
      <c r="N29">
        <v>1352.1</v>
      </c>
      <c r="O29">
        <v>1021.8</v>
      </c>
      <c r="AM29">
        <v>25</v>
      </c>
      <c r="AN29">
        <v>-158.6</v>
      </c>
      <c r="AO29">
        <f t="shared" si="2"/>
        <v>-21.146666138000001</v>
      </c>
      <c r="AP29">
        <v>-160.69999999999999</v>
      </c>
      <c r="AQ29">
        <f t="shared" si="3"/>
        <v>-21.426666130999998</v>
      </c>
      <c r="AR29">
        <v>223.5</v>
      </c>
      <c r="AS29">
        <f t="shared" si="4"/>
        <v>29.799999254999999</v>
      </c>
      <c r="AT29">
        <v>161.4</v>
      </c>
      <c r="AU29">
        <f t="shared" si="5"/>
        <v>21.519999946200002</v>
      </c>
      <c r="AV29">
        <v>963.8</v>
      </c>
      <c r="AW29">
        <f t="shared" si="6"/>
        <v>128.50663453999999</v>
      </c>
      <c r="AX29">
        <v>926.3</v>
      </c>
      <c r="AY29">
        <f t="shared" si="7"/>
        <v>123.50666357899999</v>
      </c>
      <c r="BN29">
        <v>25</v>
      </c>
      <c r="BO29">
        <v>241.2</v>
      </c>
      <c r="BP29">
        <f t="shared" si="8"/>
        <v>32.159999196000001</v>
      </c>
      <c r="BQ29">
        <v>-202.5</v>
      </c>
      <c r="BR29">
        <f t="shared" si="9"/>
        <v>-26.999999325000001</v>
      </c>
      <c r="BS29">
        <v>144.30000000000001</v>
      </c>
      <c r="BT29">
        <f t="shared" si="10"/>
        <v>19.239999519000001</v>
      </c>
      <c r="BU29">
        <v>1439.5</v>
      </c>
      <c r="BV29">
        <f t="shared" si="11"/>
        <v>191.93332853499999</v>
      </c>
      <c r="BW29">
        <v>1352.1</v>
      </c>
      <c r="BX29">
        <f t="shared" si="12"/>
        <v>180.279995493</v>
      </c>
      <c r="BY29">
        <v>1021.8</v>
      </c>
      <c r="BZ29">
        <f t="shared" si="13"/>
        <v>136.23999659399999</v>
      </c>
    </row>
    <row r="30" spans="1:78" x14ac:dyDescent="0.35">
      <c r="A30">
        <v>26</v>
      </c>
      <c r="B30">
        <v>-169.3</v>
      </c>
      <c r="C30">
        <v>-208.2</v>
      </c>
      <c r="D30">
        <v>239.4</v>
      </c>
      <c r="E30">
        <v>193.7</v>
      </c>
      <c r="F30">
        <v>923.1</v>
      </c>
      <c r="G30">
        <v>1004.1</v>
      </c>
      <c r="I30">
        <v>26</v>
      </c>
      <c r="J30">
        <v>260.7</v>
      </c>
      <c r="K30">
        <v>-153.30000000000001</v>
      </c>
      <c r="L30">
        <v>154.69999999999999</v>
      </c>
      <c r="M30">
        <v>1378.3</v>
      </c>
      <c r="N30">
        <v>1400.6</v>
      </c>
      <c r="O30">
        <v>1001.3</v>
      </c>
      <c r="AM30">
        <v>26</v>
      </c>
      <c r="AN30">
        <v>-169.3</v>
      </c>
      <c r="AO30">
        <f t="shared" si="2"/>
        <v>-22.573332769</v>
      </c>
      <c r="AP30">
        <v>-208.2</v>
      </c>
      <c r="AQ30">
        <f t="shared" si="3"/>
        <v>-27.759999305999997</v>
      </c>
      <c r="AR30">
        <v>239.4</v>
      </c>
      <c r="AS30">
        <f t="shared" si="4"/>
        <v>31.919999202</v>
      </c>
      <c r="AT30">
        <v>193.7</v>
      </c>
      <c r="AU30">
        <f t="shared" si="5"/>
        <v>25.826666602099998</v>
      </c>
      <c r="AV30">
        <v>923.1</v>
      </c>
      <c r="AW30">
        <f t="shared" si="6"/>
        <v>123.07996922999999</v>
      </c>
      <c r="AX30">
        <v>1004.1</v>
      </c>
      <c r="AY30">
        <f t="shared" si="7"/>
        <v>133.87999665300001</v>
      </c>
      <c r="BN30">
        <v>26</v>
      </c>
      <c r="BO30">
        <v>260.7</v>
      </c>
      <c r="BP30">
        <f t="shared" si="8"/>
        <v>34.759999131000001</v>
      </c>
      <c r="BQ30">
        <v>-153.30000000000001</v>
      </c>
      <c r="BR30">
        <f t="shared" si="9"/>
        <v>-20.439999489000002</v>
      </c>
      <c r="BS30">
        <v>154.69999999999999</v>
      </c>
      <c r="BT30">
        <f t="shared" si="10"/>
        <v>20.626666150999998</v>
      </c>
      <c r="BU30">
        <v>1378.3</v>
      </c>
      <c r="BV30">
        <f t="shared" si="11"/>
        <v>183.77332873899999</v>
      </c>
      <c r="BW30">
        <v>1400.6</v>
      </c>
      <c r="BX30">
        <f t="shared" si="12"/>
        <v>186.74666199799998</v>
      </c>
      <c r="BY30">
        <v>1001.3</v>
      </c>
      <c r="BZ30">
        <f t="shared" si="13"/>
        <v>133.50666332899999</v>
      </c>
    </row>
    <row r="31" spans="1:78" x14ac:dyDescent="0.35">
      <c r="A31">
        <v>27</v>
      </c>
      <c r="B31">
        <v>-170.1</v>
      </c>
      <c r="C31">
        <v>-253.7</v>
      </c>
      <c r="D31">
        <v>253.2</v>
      </c>
      <c r="E31">
        <v>221.8</v>
      </c>
      <c r="F31">
        <v>885.3</v>
      </c>
      <c r="G31">
        <v>1066.5</v>
      </c>
      <c r="I31">
        <v>27</v>
      </c>
      <c r="J31">
        <v>262.7</v>
      </c>
      <c r="K31">
        <v>-78.400000000000006</v>
      </c>
      <c r="L31">
        <v>132.5</v>
      </c>
      <c r="M31">
        <v>1314.8</v>
      </c>
      <c r="N31">
        <v>1414.5</v>
      </c>
      <c r="O31">
        <v>982.4</v>
      </c>
      <c r="AM31">
        <v>27</v>
      </c>
      <c r="AN31">
        <v>-170.1</v>
      </c>
      <c r="AO31">
        <f t="shared" si="2"/>
        <v>-22.679999432999999</v>
      </c>
      <c r="AP31">
        <v>-253.7</v>
      </c>
      <c r="AQ31">
        <f t="shared" si="3"/>
        <v>-33.826665820999999</v>
      </c>
      <c r="AR31">
        <v>253.2</v>
      </c>
      <c r="AS31">
        <f t="shared" si="4"/>
        <v>33.759999155999999</v>
      </c>
      <c r="AT31">
        <v>221.8</v>
      </c>
      <c r="AU31">
        <f t="shared" si="5"/>
        <v>29.573333259400002</v>
      </c>
      <c r="AV31">
        <v>885.3</v>
      </c>
      <c r="AW31">
        <f t="shared" si="6"/>
        <v>118.03997048999999</v>
      </c>
      <c r="AX31">
        <v>1066.5</v>
      </c>
      <c r="AY31">
        <f t="shared" si="7"/>
        <v>142.19999644500001</v>
      </c>
      <c r="BN31">
        <v>27</v>
      </c>
      <c r="BO31">
        <v>262.7</v>
      </c>
      <c r="BP31">
        <f t="shared" si="8"/>
        <v>35.026665790999999</v>
      </c>
      <c r="BQ31">
        <v>-78.400000000000006</v>
      </c>
      <c r="BR31">
        <f t="shared" si="9"/>
        <v>-10.453333072000001</v>
      </c>
      <c r="BS31">
        <v>132.5</v>
      </c>
      <c r="BT31">
        <f t="shared" si="10"/>
        <v>17.666666225</v>
      </c>
      <c r="BU31">
        <v>1314.8</v>
      </c>
      <c r="BV31">
        <f t="shared" si="11"/>
        <v>175.306662284</v>
      </c>
      <c r="BW31">
        <v>1414.5</v>
      </c>
      <c r="BX31">
        <f t="shared" si="12"/>
        <v>188.59999528500001</v>
      </c>
      <c r="BY31">
        <v>982.4</v>
      </c>
      <c r="BZ31">
        <f t="shared" si="13"/>
        <v>130.986663392</v>
      </c>
    </row>
    <row r="32" spans="1:78" x14ac:dyDescent="0.35">
      <c r="A32">
        <v>28</v>
      </c>
      <c r="B32">
        <v>-138.80000000000001</v>
      </c>
      <c r="C32">
        <v>-296.60000000000002</v>
      </c>
      <c r="D32">
        <v>265.60000000000002</v>
      </c>
      <c r="E32">
        <v>247.2</v>
      </c>
      <c r="F32">
        <v>849.6</v>
      </c>
      <c r="G32">
        <v>1121.7</v>
      </c>
      <c r="I32">
        <v>28</v>
      </c>
      <c r="J32">
        <v>278.89999999999998</v>
      </c>
      <c r="K32">
        <v>-18.8</v>
      </c>
      <c r="L32">
        <v>97.1</v>
      </c>
      <c r="M32">
        <v>1262</v>
      </c>
      <c r="N32">
        <v>1358.7</v>
      </c>
      <c r="O32">
        <v>964.4</v>
      </c>
      <c r="AM32">
        <v>28</v>
      </c>
      <c r="AN32">
        <v>-138.80000000000001</v>
      </c>
      <c r="AO32">
        <f t="shared" si="2"/>
        <v>-18.506666204000002</v>
      </c>
      <c r="AP32">
        <v>-296.60000000000002</v>
      </c>
      <c r="AQ32">
        <f t="shared" si="3"/>
        <v>-39.546665678000004</v>
      </c>
      <c r="AR32">
        <v>265.60000000000002</v>
      </c>
      <c r="AS32">
        <f t="shared" si="4"/>
        <v>35.413332448000006</v>
      </c>
      <c r="AT32">
        <v>247.2</v>
      </c>
      <c r="AU32">
        <f t="shared" si="5"/>
        <v>32.959999917600001</v>
      </c>
      <c r="AV32">
        <v>849.6</v>
      </c>
      <c r="AW32">
        <f t="shared" si="6"/>
        <v>113.27997167999999</v>
      </c>
      <c r="AX32">
        <v>1121.7</v>
      </c>
      <c r="AY32">
        <f t="shared" si="7"/>
        <v>149.55999626100001</v>
      </c>
      <c r="BN32">
        <v>28</v>
      </c>
      <c r="BO32">
        <v>278.89999999999998</v>
      </c>
      <c r="BP32">
        <f t="shared" si="8"/>
        <v>37.186665736999998</v>
      </c>
      <c r="BQ32">
        <v>-18.8</v>
      </c>
      <c r="BR32">
        <f t="shared" si="9"/>
        <v>-2.5066666040000003</v>
      </c>
      <c r="BS32">
        <v>97.1</v>
      </c>
      <c r="BT32">
        <f t="shared" si="10"/>
        <v>12.946666342999999</v>
      </c>
      <c r="BU32">
        <v>1262</v>
      </c>
      <c r="BV32">
        <f t="shared" si="11"/>
        <v>168.26666245999999</v>
      </c>
      <c r="BW32">
        <v>1358.7</v>
      </c>
      <c r="BX32">
        <f t="shared" si="12"/>
        <v>181.159995471</v>
      </c>
      <c r="BY32">
        <v>964.4</v>
      </c>
      <c r="BZ32">
        <f t="shared" si="13"/>
        <v>128.58666345200001</v>
      </c>
    </row>
    <row r="33" spans="1:78" x14ac:dyDescent="0.35">
      <c r="A33">
        <v>29</v>
      </c>
      <c r="B33">
        <v>-101.4</v>
      </c>
      <c r="C33">
        <v>-336.5</v>
      </c>
      <c r="D33">
        <v>276.89999999999998</v>
      </c>
      <c r="E33">
        <v>270.8</v>
      </c>
      <c r="F33">
        <v>793.2</v>
      </c>
      <c r="G33">
        <v>1173.4000000000001</v>
      </c>
      <c r="I33">
        <v>29</v>
      </c>
      <c r="J33">
        <v>272.60000000000002</v>
      </c>
      <c r="K33">
        <v>27.3</v>
      </c>
      <c r="L33">
        <v>67.599999999999994</v>
      </c>
      <c r="M33">
        <v>1215.9000000000001</v>
      </c>
      <c r="N33">
        <v>1302</v>
      </c>
      <c r="O33">
        <v>947.3</v>
      </c>
      <c r="AM33">
        <v>29</v>
      </c>
      <c r="AN33">
        <v>-101.4</v>
      </c>
      <c r="AO33">
        <f t="shared" si="2"/>
        <v>-13.519999662</v>
      </c>
      <c r="AP33">
        <v>-336.5</v>
      </c>
      <c r="AQ33">
        <f t="shared" si="3"/>
        <v>-44.866665544999996</v>
      </c>
      <c r="AR33">
        <v>276.89999999999998</v>
      </c>
      <c r="AS33">
        <f t="shared" si="4"/>
        <v>36.919999077</v>
      </c>
      <c r="AT33">
        <v>270.8</v>
      </c>
      <c r="AU33">
        <f t="shared" si="5"/>
        <v>36.106666576400002</v>
      </c>
      <c r="AV33">
        <v>793.2</v>
      </c>
      <c r="AW33">
        <f t="shared" si="6"/>
        <v>105.75997355999999</v>
      </c>
      <c r="AX33">
        <v>1173.4000000000001</v>
      </c>
      <c r="AY33">
        <f t="shared" si="7"/>
        <v>156.45332942200002</v>
      </c>
      <c r="BN33">
        <v>29</v>
      </c>
      <c r="BO33">
        <v>272.60000000000002</v>
      </c>
      <c r="BP33">
        <f t="shared" si="8"/>
        <v>36.346665758</v>
      </c>
      <c r="BQ33">
        <v>27.3</v>
      </c>
      <c r="BR33">
        <f t="shared" si="9"/>
        <v>3.6399999090000001</v>
      </c>
      <c r="BS33">
        <v>67.599999999999994</v>
      </c>
      <c r="BT33">
        <f t="shared" si="10"/>
        <v>9.0133331079999994</v>
      </c>
      <c r="BU33">
        <v>1215.9000000000001</v>
      </c>
      <c r="BV33">
        <f t="shared" si="11"/>
        <v>162.11999594700001</v>
      </c>
      <c r="BW33">
        <v>1302</v>
      </c>
      <c r="BX33">
        <f t="shared" si="12"/>
        <v>173.59999565999999</v>
      </c>
      <c r="BY33">
        <v>947.3</v>
      </c>
      <c r="BZ33">
        <f t="shared" si="13"/>
        <v>126.30666350899999</v>
      </c>
    </row>
    <row r="34" spans="1:78" x14ac:dyDescent="0.35">
      <c r="A34">
        <v>30</v>
      </c>
      <c r="B34">
        <v>-62.3</v>
      </c>
      <c r="C34">
        <v>-373</v>
      </c>
      <c r="D34">
        <v>276.10000000000002</v>
      </c>
      <c r="E34">
        <v>293</v>
      </c>
      <c r="F34">
        <v>449.9</v>
      </c>
      <c r="G34">
        <v>1223.0999999999999</v>
      </c>
      <c r="I34">
        <v>30</v>
      </c>
      <c r="J34">
        <v>253</v>
      </c>
      <c r="K34">
        <v>63.5</v>
      </c>
      <c r="L34">
        <v>41.1</v>
      </c>
      <c r="M34">
        <v>1175</v>
      </c>
      <c r="N34">
        <v>1256.2</v>
      </c>
      <c r="O34">
        <v>931.2</v>
      </c>
      <c r="AM34">
        <v>30</v>
      </c>
      <c r="AN34">
        <v>-62.3</v>
      </c>
      <c r="AO34">
        <f t="shared" si="2"/>
        <v>-8.3066664589999988</v>
      </c>
      <c r="AP34">
        <v>-373</v>
      </c>
      <c r="AQ34">
        <f t="shared" si="3"/>
        <v>-49.733332089999998</v>
      </c>
      <c r="AR34">
        <v>276.10000000000002</v>
      </c>
      <c r="AS34">
        <f t="shared" si="4"/>
        <v>36.813332413000005</v>
      </c>
      <c r="AT34">
        <v>293</v>
      </c>
      <c r="AU34">
        <f t="shared" si="5"/>
        <v>39.066666568999999</v>
      </c>
      <c r="AV34">
        <v>449.9</v>
      </c>
      <c r="AW34">
        <f t="shared" si="6"/>
        <v>59.986651669999993</v>
      </c>
      <c r="AX34">
        <v>1223.0999999999999</v>
      </c>
      <c r="AY34">
        <f t="shared" si="7"/>
        <v>163.07999592299998</v>
      </c>
      <c r="BN34">
        <v>30</v>
      </c>
      <c r="BO34">
        <v>253</v>
      </c>
      <c r="BP34">
        <f t="shared" si="8"/>
        <v>33.733332490000002</v>
      </c>
      <c r="BQ34">
        <v>63.5</v>
      </c>
      <c r="BR34">
        <f t="shared" si="9"/>
        <v>8.4666664550000004</v>
      </c>
      <c r="BS34">
        <v>41.1</v>
      </c>
      <c r="BT34">
        <f t="shared" si="10"/>
        <v>5.4799998629999997</v>
      </c>
      <c r="BU34">
        <v>1175</v>
      </c>
      <c r="BV34">
        <f t="shared" si="11"/>
        <v>156.66666275</v>
      </c>
      <c r="BW34">
        <v>1256.2</v>
      </c>
      <c r="BX34">
        <f t="shared" si="12"/>
        <v>167.49332914600001</v>
      </c>
      <c r="BY34">
        <v>931.2</v>
      </c>
      <c r="BZ34">
        <f t="shared" si="13"/>
        <v>124.15999689600001</v>
      </c>
    </row>
    <row r="35" spans="1:78" x14ac:dyDescent="0.35">
      <c r="A35">
        <v>31</v>
      </c>
      <c r="B35">
        <v>-30.3</v>
      </c>
      <c r="C35">
        <v>-406.4</v>
      </c>
      <c r="D35">
        <v>241.8</v>
      </c>
      <c r="E35">
        <v>314.10000000000002</v>
      </c>
      <c r="F35">
        <v>49.9</v>
      </c>
      <c r="G35">
        <v>1270.5999999999999</v>
      </c>
      <c r="I35">
        <v>31</v>
      </c>
      <c r="J35">
        <v>227.1</v>
      </c>
      <c r="K35">
        <v>92.7</v>
      </c>
      <c r="L35">
        <v>16.7</v>
      </c>
      <c r="M35">
        <v>1138.4000000000001</v>
      </c>
      <c r="N35">
        <v>1216</v>
      </c>
      <c r="O35">
        <v>915.8</v>
      </c>
      <c r="AM35">
        <v>31</v>
      </c>
      <c r="AN35">
        <v>-30.3</v>
      </c>
      <c r="AO35">
        <f t="shared" si="2"/>
        <v>-4.0399998989999997</v>
      </c>
      <c r="AP35">
        <v>-406.4</v>
      </c>
      <c r="AQ35">
        <f t="shared" si="3"/>
        <v>-54.186665311999995</v>
      </c>
      <c r="AR35">
        <v>241.8</v>
      </c>
      <c r="AS35">
        <f t="shared" si="4"/>
        <v>32.239999193999999</v>
      </c>
      <c r="AT35">
        <v>314.10000000000002</v>
      </c>
      <c r="AU35">
        <f t="shared" si="5"/>
        <v>41.879999895300003</v>
      </c>
      <c r="AV35">
        <v>49.9</v>
      </c>
      <c r="AW35">
        <f t="shared" si="6"/>
        <v>6.6533316699999991</v>
      </c>
      <c r="AX35">
        <v>1270.5999999999999</v>
      </c>
      <c r="AY35">
        <f t="shared" si="7"/>
        <v>169.41332909799999</v>
      </c>
      <c r="BN35">
        <v>31</v>
      </c>
      <c r="BO35">
        <v>227.1</v>
      </c>
      <c r="BP35">
        <f t="shared" si="8"/>
        <v>30.279999242999999</v>
      </c>
      <c r="BQ35">
        <v>92.7</v>
      </c>
      <c r="BR35">
        <f t="shared" si="9"/>
        <v>12.359999691000001</v>
      </c>
      <c r="BS35">
        <v>16.7</v>
      </c>
      <c r="BT35">
        <f t="shared" si="10"/>
        <v>2.2266666109999997</v>
      </c>
      <c r="BU35">
        <v>1138.4000000000001</v>
      </c>
      <c r="BV35">
        <f t="shared" si="11"/>
        <v>151.78666287200002</v>
      </c>
      <c r="BW35">
        <v>1216</v>
      </c>
      <c r="BX35">
        <f t="shared" si="12"/>
        <v>162.13332928</v>
      </c>
      <c r="BY35">
        <v>915.8</v>
      </c>
      <c r="BZ35">
        <f t="shared" si="13"/>
        <v>122.106663614</v>
      </c>
    </row>
    <row r="36" spans="1:78" x14ac:dyDescent="0.35">
      <c r="A36">
        <v>32</v>
      </c>
      <c r="B36">
        <v>-7.5</v>
      </c>
      <c r="C36">
        <v>-435.1</v>
      </c>
      <c r="D36">
        <v>200.1</v>
      </c>
      <c r="E36">
        <v>333.9</v>
      </c>
      <c r="F36">
        <v>0.2</v>
      </c>
      <c r="G36">
        <v>1315.3</v>
      </c>
      <c r="I36">
        <v>32</v>
      </c>
      <c r="J36">
        <v>201.2</v>
      </c>
      <c r="K36">
        <v>116.3</v>
      </c>
      <c r="L36">
        <v>-6.1</v>
      </c>
      <c r="M36">
        <v>1105.2</v>
      </c>
      <c r="N36">
        <v>1180.0999999999999</v>
      </c>
      <c r="O36">
        <v>900.7</v>
      </c>
      <c r="AM36">
        <v>32</v>
      </c>
      <c r="AN36">
        <v>-7.5</v>
      </c>
      <c r="AO36">
        <f t="shared" si="2"/>
        <v>-0.99999997500000004</v>
      </c>
      <c r="AP36">
        <v>-435.1</v>
      </c>
      <c r="AQ36">
        <f t="shared" si="3"/>
        <v>-58.013331883000006</v>
      </c>
      <c r="AR36">
        <v>200.1</v>
      </c>
      <c r="AS36">
        <f t="shared" si="4"/>
        <v>26.679999332999998</v>
      </c>
      <c r="AT36">
        <v>333.9</v>
      </c>
      <c r="AU36">
        <f t="shared" si="5"/>
        <v>44.519999888699999</v>
      </c>
      <c r="AV36">
        <v>0.2</v>
      </c>
      <c r="AW36">
        <f t="shared" si="6"/>
        <v>2.6666659999999998E-2</v>
      </c>
      <c r="AX36">
        <v>1315.3</v>
      </c>
      <c r="AY36">
        <f t="shared" si="7"/>
        <v>175.37332894899998</v>
      </c>
      <c r="BN36">
        <v>32</v>
      </c>
      <c r="BO36">
        <v>201.2</v>
      </c>
      <c r="BP36">
        <f t="shared" si="8"/>
        <v>26.826665995999999</v>
      </c>
      <c r="BQ36">
        <v>116.3</v>
      </c>
      <c r="BR36">
        <f t="shared" si="9"/>
        <v>15.506666278999999</v>
      </c>
      <c r="BS36">
        <v>-6.1</v>
      </c>
      <c r="BT36">
        <f t="shared" si="10"/>
        <v>-0.813333313</v>
      </c>
      <c r="BU36">
        <v>1105.2</v>
      </c>
      <c r="BV36">
        <f t="shared" si="11"/>
        <v>147.35999631600001</v>
      </c>
      <c r="BW36">
        <v>1180.0999999999999</v>
      </c>
      <c r="BX36">
        <f t="shared" si="12"/>
        <v>157.34666273299999</v>
      </c>
      <c r="BY36">
        <v>900.7</v>
      </c>
      <c r="BZ36">
        <f t="shared" si="13"/>
        <v>120.093330331</v>
      </c>
    </row>
    <row r="37" spans="1:78" x14ac:dyDescent="0.35">
      <c r="A37">
        <v>33</v>
      </c>
      <c r="B37">
        <v>17.8</v>
      </c>
      <c r="C37">
        <v>-418</v>
      </c>
      <c r="D37">
        <v>163.19999999999999</v>
      </c>
      <c r="E37">
        <v>340.9</v>
      </c>
      <c r="F37">
        <v>2.4</v>
      </c>
      <c r="G37">
        <v>1356.4</v>
      </c>
      <c r="I37">
        <v>33</v>
      </c>
      <c r="J37">
        <v>177.4</v>
      </c>
      <c r="K37">
        <v>135.80000000000001</v>
      </c>
      <c r="L37">
        <v>-27.6</v>
      </c>
      <c r="M37">
        <v>1074.9000000000001</v>
      </c>
      <c r="N37">
        <v>1147.5999999999999</v>
      </c>
      <c r="O37">
        <v>886.3</v>
      </c>
      <c r="AM37">
        <v>33</v>
      </c>
      <c r="AN37">
        <v>17.8</v>
      </c>
      <c r="AO37">
        <f t="shared" si="2"/>
        <v>2.3733332740000002</v>
      </c>
      <c r="AP37">
        <v>-418</v>
      </c>
      <c r="AQ37">
        <f t="shared" si="3"/>
        <v>-55.733331939999999</v>
      </c>
      <c r="AR37">
        <v>163.19999999999999</v>
      </c>
      <c r="AS37">
        <f t="shared" si="4"/>
        <v>21.759999455999999</v>
      </c>
      <c r="AT37">
        <v>340.9</v>
      </c>
      <c r="AU37">
        <f t="shared" si="5"/>
        <v>45.453333219699999</v>
      </c>
      <c r="AV37">
        <v>2.4</v>
      </c>
      <c r="AW37">
        <f t="shared" si="6"/>
        <v>0.31999991999999994</v>
      </c>
      <c r="AX37">
        <v>1356.4</v>
      </c>
      <c r="AY37">
        <f t="shared" si="7"/>
        <v>180.853328812</v>
      </c>
      <c r="BN37">
        <v>33</v>
      </c>
      <c r="BO37">
        <v>177.4</v>
      </c>
      <c r="BP37">
        <f t="shared" si="8"/>
        <v>23.653332742</v>
      </c>
      <c r="BQ37">
        <v>135.80000000000001</v>
      </c>
      <c r="BR37">
        <f t="shared" si="9"/>
        <v>18.106666214000001</v>
      </c>
      <c r="BS37">
        <v>-27.6</v>
      </c>
      <c r="BT37">
        <f t="shared" si="10"/>
        <v>-3.6799999080000001</v>
      </c>
      <c r="BU37">
        <v>1074.9000000000001</v>
      </c>
      <c r="BV37">
        <f t="shared" si="11"/>
        <v>143.319996417</v>
      </c>
      <c r="BW37">
        <v>1147.5999999999999</v>
      </c>
      <c r="BX37">
        <f t="shared" si="12"/>
        <v>153.013329508</v>
      </c>
      <c r="BY37">
        <v>886.3</v>
      </c>
      <c r="BZ37">
        <f t="shared" si="13"/>
        <v>118.17333037899999</v>
      </c>
    </row>
    <row r="38" spans="1:78" x14ac:dyDescent="0.35">
      <c r="A38">
        <v>34</v>
      </c>
      <c r="B38">
        <v>29.4</v>
      </c>
      <c r="C38">
        <v>-320.3</v>
      </c>
      <c r="D38">
        <v>129.4</v>
      </c>
      <c r="E38">
        <v>302.3</v>
      </c>
      <c r="F38">
        <v>116</v>
      </c>
      <c r="G38">
        <v>1383.6</v>
      </c>
      <c r="I38">
        <v>34</v>
      </c>
      <c r="J38">
        <v>155.6</v>
      </c>
      <c r="K38">
        <v>152.1</v>
      </c>
      <c r="L38">
        <v>-48.5</v>
      </c>
      <c r="M38">
        <v>1046.9000000000001</v>
      </c>
      <c r="N38">
        <v>1117.7</v>
      </c>
      <c r="O38">
        <v>872.2</v>
      </c>
      <c r="AM38">
        <v>34</v>
      </c>
      <c r="AN38">
        <v>29.4</v>
      </c>
      <c r="AO38">
        <f t="shared" si="2"/>
        <v>3.9199999019999998</v>
      </c>
      <c r="AP38">
        <v>-320.3</v>
      </c>
      <c r="AQ38">
        <f t="shared" si="3"/>
        <v>-42.706665599000004</v>
      </c>
      <c r="AR38">
        <v>129.4</v>
      </c>
      <c r="AS38">
        <f t="shared" si="4"/>
        <v>17.253332902</v>
      </c>
      <c r="AT38">
        <v>302.3</v>
      </c>
      <c r="AU38">
        <f t="shared" si="5"/>
        <v>40.306666565900002</v>
      </c>
      <c r="AV38">
        <v>116</v>
      </c>
      <c r="AW38">
        <f t="shared" si="6"/>
        <v>15.466662799999998</v>
      </c>
      <c r="AX38">
        <v>1383.6</v>
      </c>
      <c r="AY38">
        <f t="shared" si="7"/>
        <v>184.47999538799999</v>
      </c>
      <c r="BN38">
        <v>34</v>
      </c>
      <c r="BO38">
        <v>155.6</v>
      </c>
      <c r="BP38">
        <f t="shared" si="8"/>
        <v>20.746666147999999</v>
      </c>
      <c r="BQ38">
        <v>152.1</v>
      </c>
      <c r="BR38">
        <f t="shared" si="9"/>
        <v>20.279999492999998</v>
      </c>
      <c r="BS38">
        <v>-48.5</v>
      </c>
      <c r="BT38">
        <f t="shared" si="10"/>
        <v>-6.4666665050000001</v>
      </c>
      <c r="BU38">
        <v>1046.9000000000001</v>
      </c>
      <c r="BV38">
        <f t="shared" si="11"/>
        <v>139.58666317700002</v>
      </c>
      <c r="BW38">
        <v>1117.7</v>
      </c>
      <c r="BX38">
        <f t="shared" si="12"/>
        <v>149.02666294100001</v>
      </c>
      <c r="BY38">
        <v>872.2</v>
      </c>
      <c r="BZ38">
        <f t="shared" si="13"/>
        <v>116.29333042600001</v>
      </c>
    </row>
    <row r="39" spans="1:78" x14ac:dyDescent="0.35">
      <c r="A39">
        <v>35</v>
      </c>
      <c r="B39">
        <v>48.8</v>
      </c>
      <c r="C39">
        <v>-227.2</v>
      </c>
      <c r="D39">
        <v>96.8</v>
      </c>
      <c r="E39">
        <v>249.2</v>
      </c>
      <c r="F39">
        <v>553.70000000000005</v>
      </c>
      <c r="G39">
        <v>1339.5</v>
      </c>
      <c r="I39">
        <v>35</v>
      </c>
      <c r="J39">
        <v>135.69999999999999</v>
      </c>
      <c r="K39">
        <v>165.9</v>
      </c>
      <c r="L39">
        <v>-69.2</v>
      </c>
      <c r="M39">
        <v>1020.9</v>
      </c>
      <c r="N39">
        <v>1090</v>
      </c>
      <c r="O39">
        <v>858.3</v>
      </c>
      <c r="AM39">
        <v>35</v>
      </c>
      <c r="AN39">
        <v>48.8</v>
      </c>
      <c r="AO39">
        <f t="shared" si="2"/>
        <v>6.506666504</v>
      </c>
      <c r="AP39">
        <v>-227.2</v>
      </c>
      <c r="AQ39">
        <f t="shared" si="3"/>
        <v>-30.293332575999997</v>
      </c>
      <c r="AR39">
        <v>96.8</v>
      </c>
      <c r="AS39">
        <f t="shared" si="4"/>
        <v>12.906666344</v>
      </c>
      <c r="AT39">
        <v>249.2</v>
      </c>
      <c r="AU39">
        <f t="shared" si="5"/>
        <v>33.2266665836</v>
      </c>
      <c r="AV39">
        <v>553.70000000000005</v>
      </c>
      <c r="AW39">
        <f t="shared" si="6"/>
        <v>73.826648210000002</v>
      </c>
      <c r="AX39">
        <v>1339.5</v>
      </c>
      <c r="AY39">
        <f t="shared" si="7"/>
        <v>178.59999553500001</v>
      </c>
      <c r="BN39">
        <v>35</v>
      </c>
      <c r="BO39">
        <v>135.69999999999999</v>
      </c>
      <c r="BP39">
        <f t="shared" si="8"/>
        <v>18.093332880999998</v>
      </c>
      <c r="BQ39">
        <v>165.9</v>
      </c>
      <c r="BR39">
        <f t="shared" si="9"/>
        <v>22.119999447000001</v>
      </c>
      <c r="BS39">
        <v>-69.2</v>
      </c>
      <c r="BT39">
        <f t="shared" si="10"/>
        <v>-9.2266664360000004</v>
      </c>
      <c r="BU39">
        <v>1020.9</v>
      </c>
      <c r="BV39">
        <f t="shared" si="11"/>
        <v>136.11999659700001</v>
      </c>
      <c r="BW39">
        <v>1090</v>
      </c>
      <c r="BX39">
        <f t="shared" si="12"/>
        <v>145.33332970000001</v>
      </c>
      <c r="BY39">
        <v>858.3</v>
      </c>
      <c r="BZ39">
        <f t="shared" si="13"/>
        <v>114.439997139</v>
      </c>
    </row>
    <row r="40" spans="1:78" x14ac:dyDescent="0.35">
      <c r="A40">
        <v>36</v>
      </c>
      <c r="B40">
        <v>53.8</v>
      </c>
      <c r="C40">
        <v>-159.30000000000001</v>
      </c>
      <c r="D40">
        <v>63.3</v>
      </c>
      <c r="E40">
        <v>204.7</v>
      </c>
      <c r="F40">
        <v>980.8</v>
      </c>
      <c r="G40">
        <v>1244.5</v>
      </c>
      <c r="I40">
        <v>36</v>
      </c>
      <c r="J40">
        <v>117.6</v>
      </c>
      <c r="K40">
        <v>174.8</v>
      </c>
      <c r="L40">
        <v>-89.8</v>
      </c>
      <c r="M40">
        <v>997.4</v>
      </c>
      <c r="N40">
        <v>1064.3</v>
      </c>
      <c r="O40">
        <v>844.5</v>
      </c>
      <c r="AM40">
        <v>36</v>
      </c>
      <c r="AN40">
        <v>53.8</v>
      </c>
      <c r="AO40">
        <f t="shared" si="2"/>
        <v>7.1733331539999998</v>
      </c>
      <c r="AP40">
        <v>-159.30000000000001</v>
      </c>
      <c r="AQ40">
        <f t="shared" si="3"/>
        <v>-21.239999469000001</v>
      </c>
      <c r="AR40">
        <v>63.3</v>
      </c>
      <c r="AS40">
        <f t="shared" si="4"/>
        <v>8.4399997889999998</v>
      </c>
      <c r="AT40">
        <v>204.7</v>
      </c>
      <c r="AU40">
        <f t="shared" si="5"/>
        <v>27.293333265099999</v>
      </c>
      <c r="AV40">
        <v>980.8</v>
      </c>
      <c r="AW40">
        <f t="shared" si="6"/>
        <v>130.77330063999997</v>
      </c>
      <c r="AX40">
        <v>1244.5</v>
      </c>
      <c r="AY40">
        <f t="shared" si="7"/>
        <v>165.93332918499999</v>
      </c>
      <c r="BN40">
        <v>36</v>
      </c>
      <c r="BO40">
        <v>117.6</v>
      </c>
      <c r="BP40">
        <f t="shared" si="8"/>
        <v>15.679999607999999</v>
      </c>
      <c r="BQ40">
        <v>174.8</v>
      </c>
      <c r="BR40">
        <f t="shared" si="9"/>
        <v>23.306666084</v>
      </c>
      <c r="BS40">
        <v>-89.8</v>
      </c>
      <c r="BT40">
        <f t="shared" si="10"/>
        <v>-11.973333033999999</v>
      </c>
      <c r="BU40">
        <v>997.4</v>
      </c>
      <c r="BV40">
        <f t="shared" si="11"/>
        <v>132.98666334199999</v>
      </c>
      <c r="BW40">
        <v>1064.3</v>
      </c>
      <c r="BX40">
        <f t="shared" si="12"/>
        <v>141.906663119</v>
      </c>
      <c r="BY40">
        <v>844.5</v>
      </c>
      <c r="BZ40">
        <f t="shared" si="13"/>
        <v>112.59999718500001</v>
      </c>
    </row>
    <row r="41" spans="1:78" x14ac:dyDescent="0.35">
      <c r="A41">
        <v>37</v>
      </c>
      <c r="B41">
        <v>68.5</v>
      </c>
      <c r="C41">
        <v>-109</v>
      </c>
      <c r="D41">
        <v>27.6</v>
      </c>
      <c r="E41">
        <v>165.7</v>
      </c>
      <c r="F41">
        <v>1055.0999999999999</v>
      </c>
      <c r="G41">
        <v>1164.7</v>
      </c>
      <c r="I41">
        <v>37</v>
      </c>
      <c r="J41">
        <v>101</v>
      </c>
      <c r="K41">
        <v>158</v>
      </c>
      <c r="L41">
        <v>-110.4</v>
      </c>
      <c r="M41">
        <v>979.1</v>
      </c>
      <c r="N41">
        <v>1040.5</v>
      </c>
      <c r="O41">
        <v>831.4</v>
      </c>
      <c r="AM41">
        <v>37</v>
      </c>
      <c r="AN41">
        <v>68.5</v>
      </c>
      <c r="AO41">
        <f t="shared" si="2"/>
        <v>9.1333331050000002</v>
      </c>
      <c r="AP41">
        <v>-109</v>
      </c>
      <c r="AQ41">
        <f t="shared" si="3"/>
        <v>-14.53333297</v>
      </c>
      <c r="AR41">
        <v>27.6</v>
      </c>
      <c r="AS41">
        <f t="shared" si="4"/>
        <v>3.6799999080000001</v>
      </c>
      <c r="AT41">
        <v>165.7</v>
      </c>
      <c r="AU41">
        <f t="shared" si="5"/>
        <v>22.093333278099998</v>
      </c>
      <c r="AV41">
        <v>1055.0999999999999</v>
      </c>
      <c r="AW41">
        <f t="shared" si="6"/>
        <v>140.67996482999999</v>
      </c>
      <c r="AX41">
        <v>1164.7</v>
      </c>
      <c r="AY41">
        <f t="shared" si="7"/>
        <v>155.29332945100001</v>
      </c>
      <c r="BN41">
        <v>37</v>
      </c>
      <c r="BO41">
        <v>101</v>
      </c>
      <c r="BP41">
        <f t="shared" si="8"/>
        <v>13.466666330000001</v>
      </c>
      <c r="BQ41">
        <v>158</v>
      </c>
      <c r="BR41">
        <f t="shared" si="9"/>
        <v>21.066666139999999</v>
      </c>
      <c r="BS41">
        <v>-110.4</v>
      </c>
      <c r="BT41">
        <f t="shared" si="10"/>
        <v>-14.719999632</v>
      </c>
      <c r="BU41">
        <v>979.1</v>
      </c>
      <c r="BV41">
        <f t="shared" si="11"/>
        <v>130.546663403</v>
      </c>
      <c r="BW41">
        <v>1040.5</v>
      </c>
      <c r="BX41">
        <f t="shared" si="12"/>
        <v>138.733329865</v>
      </c>
      <c r="BY41">
        <v>831.4</v>
      </c>
      <c r="BZ41">
        <f t="shared" si="13"/>
        <v>110.853330562</v>
      </c>
    </row>
    <row r="42" spans="1:78" x14ac:dyDescent="0.35">
      <c r="A42">
        <v>38</v>
      </c>
      <c r="B42">
        <v>70.099999999999994</v>
      </c>
      <c r="C42">
        <v>-71.3</v>
      </c>
      <c r="D42">
        <v>-11</v>
      </c>
      <c r="E42">
        <v>130.1</v>
      </c>
      <c r="F42">
        <v>682.1</v>
      </c>
      <c r="G42">
        <v>1098.5999999999999</v>
      </c>
      <c r="I42">
        <v>38</v>
      </c>
      <c r="J42">
        <v>85.8</v>
      </c>
      <c r="K42">
        <v>121.7</v>
      </c>
      <c r="L42">
        <v>-120.6</v>
      </c>
      <c r="M42">
        <v>958.2</v>
      </c>
      <c r="N42">
        <v>1021</v>
      </c>
      <c r="O42">
        <v>818.4</v>
      </c>
      <c r="AM42">
        <v>38</v>
      </c>
      <c r="AN42">
        <v>70.099999999999994</v>
      </c>
      <c r="AO42">
        <f t="shared" si="2"/>
        <v>9.3466664329999993</v>
      </c>
      <c r="AP42">
        <v>-71.3</v>
      </c>
      <c r="AQ42">
        <f t="shared" si="3"/>
        <v>-9.5066664289999991</v>
      </c>
      <c r="AR42">
        <v>-11</v>
      </c>
      <c r="AS42">
        <f t="shared" si="4"/>
        <v>-1.46666663</v>
      </c>
      <c r="AT42">
        <v>130.1</v>
      </c>
      <c r="AU42">
        <f t="shared" si="5"/>
        <v>17.346666623299999</v>
      </c>
      <c r="AV42">
        <v>682.1</v>
      </c>
      <c r="AW42">
        <f t="shared" si="6"/>
        <v>90.946643929999993</v>
      </c>
      <c r="AX42">
        <v>1098.5999999999999</v>
      </c>
      <c r="AY42">
        <f t="shared" si="7"/>
        <v>146.47999633799998</v>
      </c>
      <c r="BN42">
        <v>38</v>
      </c>
      <c r="BO42">
        <v>85.8</v>
      </c>
      <c r="BP42">
        <f t="shared" si="8"/>
        <v>11.439999713999999</v>
      </c>
      <c r="BQ42">
        <v>121.7</v>
      </c>
      <c r="BR42">
        <f t="shared" si="9"/>
        <v>16.226666261000002</v>
      </c>
      <c r="BS42">
        <v>-120.6</v>
      </c>
      <c r="BT42">
        <f t="shared" si="10"/>
        <v>-16.079999598000001</v>
      </c>
      <c r="BU42">
        <v>958.2</v>
      </c>
      <c r="BV42">
        <f t="shared" si="11"/>
        <v>127.759996806</v>
      </c>
      <c r="BW42">
        <v>1021</v>
      </c>
      <c r="BX42">
        <f t="shared" si="12"/>
        <v>136.13332993</v>
      </c>
      <c r="BY42">
        <v>818.4</v>
      </c>
      <c r="BZ42">
        <f t="shared" si="13"/>
        <v>109.11999727199999</v>
      </c>
    </row>
    <row r="43" spans="1:78" x14ac:dyDescent="0.35">
      <c r="A43">
        <v>39</v>
      </c>
      <c r="B43">
        <v>78.599999999999994</v>
      </c>
      <c r="C43">
        <v>-42.3</v>
      </c>
      <c r="D43">
        <v>-52.9</v>
      </c>
      <c r="E43">
        <v>96.9</v>
      </c>
      <c r="F43">
        <v>234.5</v>
      </c>
      <c r="G43">
        <v>1042.3</v>
      </c>
      <c r="I43">
        <v>39</v>
      </c>
      <c r="J43">
        <v>72</v>
      </c>
      <c r="K43">
        <v>86.1</v>
      </c>
      <c r="L43">
        <v>-88.1</v>
      </c>
      <c r="M43">
        <v>936.7</v>
      </c>
      <c r="N43">
        <v>1029</v>
      </c>
      <c r="O43">
        <v>805.6</v>
      </c>
      <c r="AM43">
        <v>39</v>
      </c>
      <c r="AN43">
        <v>78.599999999999994</v>
      </c>
      <c r="AO43">
        <f t="shared" si="2"/>
        <v>10.479999738</v>
      </c>
      <c r="AP43">
        <v>-42.3</v>
      </c>
      <c r="AQ43">
        <f t="shared" si="3"/>
        <v>-5.6399998589999996</v>
      </c>
      <c r="AR43">
        <v>-52.9</v>
      </c>
      <c r="AS43">
        <f t="shared" si="4"/>
        <v>-7.053333157</v>
      </c>
      <c r="AT43">
        <v>96.9</v>
      </c>
      <c r="AU43">
        <f t="shared" si="5"/>
        <v>12.919999967700001</v>
      </c>
      <c r="AV43">
        <v>234.5</v>
      </c>
      <c r="AW43">
        <f t="shared" si="6"/>
        <v>31.266658849999999</v>
      </c>
      <c r="AX43">
        <v>1042.3</v>
      </c>
      <c r="AY43">
        <f t="shared" si="7"/>
        <v>138.97332985899999</v>
      </c>
      <c r="BN43">
        <v>39</v>
      </c>
      <c r="BO43">
        <v>72</v>
      </c>
      <c r="BP43">
        <f t="shared" si="8"/>
        <v>9.5999997599999993</v>
      </c>
      <c r="BQ43">
        <v>86.1</v>
      </c>
      <c r="BR43">
        <f t="shared" si="9"/>
        <v>11.479999713</v>
      </c>
      <c r="BS43">
        <v>-88.1</v>
      </c>
      <c r="BT43">
        <f t="shared" si="10"/>
        <v>-11.746666373</v>
      </c>
      <c r="BU43">
        <v>936.7</v>
      </c>
      <c r="BV43">
        <f t="shared" si="11"/>
        <v>124.89333021100001</v>
      </c>
      <c r="BW43">
        <v>1029</v>
      </c>
      <c r="BX43">
        <f t="shared" si="12"/>
        <v>137.19999657</v>
      </c>
      <c r="BY43">
        <v>805.6</v>
      </c>
      <c r="BZ43">
        <f t="shared" si="13"/>
        <v>107.413330648</v>
      </c>
    </row>
    <row r="44" spans="1:78" x14ac:dyDescent="0.35">
      <c r="A44">
        <v>40</v>
      </c>
      <c r="B44">
        <v>45.7</v>
      </c>
      <c r="C44">
        <v>-19.600000000000001</v>
      </c>
      <c r="D44">
        <v>-96.7</v>
      </c>
      <c r="E44">
        <v>65</v>
      </c>
      <c r="F44">
        <v>345</v>
      </c>
      <c r="G44">
        <v>993.5</v>
      </c>
      <c r="I44">
        <v>40</v>
      </c>
      <c r="J44">
        <v>59.7</v>
      </c>
      <c r="K44">
        <v>51</v>
      </c>
      <c r="L44">
        <v>-38.799999999999997</v>
      </c>
      <c r="M44">
        <v>916.4</v>
      </c>
      <c r="N44">
        <v>1076.9000000000001</v>
      </c>
      <c r="O44">
        <v>792.8</v>
      </c>
      <c r="AM44">
        <v>40</v>
      </c>
      <c r="AN44">
        <v>45.7</v>
      </c>
      <c r="AO44">
        <f t="shared" si="2"/>
        <v>6.0933331810000002</v>
      </c>
      <c r="AP44">
        <v>-19.600000000000001</v>
      </c>
      <c r="AQ44">
        <f t="shared" si="3"/>
        <v>-2.6133332680000003</v>
      </c>
      <c r="AR44">
        <v>-96.7</v>
      </c>
      <c r="AS44">
        <f t="shared" si="4"/>
        <v>-12.893333011000001</v>
      </c>
      <c r="AT44">
        <v>65</v>
      </c>
      <c r="AU44">
        <f t="shared" si="5"/>
        <v>8.6666666449999994</v>
      </c>
      <c r="AV44">
        <v>345</v>
      </c>
      <c r="AW44">
        <f t="shared" si="6"/>
        <v>45.999988499999994</v>
      </c>
      <c r="AX44">
        <v>993.5</v>
      </c>
      <c r="AY44">
        <f t="shared" si="7"/>
        <v>132.46666335500001</v>
      </c>
      <c r="BN44">
        <v>40</v>
      </c>
      <c r="BO44">
        <v>59.7</v>
      </c>
      <c r="BP44">
        <f t="shared" si="8"/>
        <v>7.9599998010000004</v>
      </c>
      <c r="BQ44">
        <v>51</v>
      </c>
      <c r="BR44">
        <f t="shared" si="9"/>
        <v>6.79999983</v>
      </c>
      <c r="BS44">
        <v>-38.799999999999997</v>
      </c>
      <c r="BT44">
        <f t="shared" si="10"/>
        <v>-5.1733332039999995</v>
      </c>
      <c r="BU44">
        <v>916.4</v>
      </c>
      <c r="BV44">
        <f t="shared" si="11"/>
        <v>122.186663612</v>
      </c>
      <c r="BW44">
        <v>1076.9000000000001</v>
      </c>
      <c r="BX44">
        <f t="shared" si="12"/>
        <v>143.58666307700003</v>
      </c>
      <c r="BY44">
        <v>792.8</v>
      </c>
      <c r="BZ44">
        <f t="shared" si="13"/>
        <v>105.70666402399999</v>
      </c>
    </row>
    <row r="45" spans="1:78" x14ac:dyDescent="0.35">
      <c r="A45">
        <v>41</v>
      </c>
      <c r="B45">
        <v>6.7</v>
      </c>
      <c r="C45">
        <v>-1.5</v>
      </c>
      <c r="D45">
        <v>-138.5</v>
      </c>
      <c r="E45">
        <v>33.200000000000003</v>
      </c>
      <c r="F45">
        <v>222.5</v>
      </c>
      <c r="G45">
        <v>950.1</v>
      </c>
      <c r="I45">
        <v>41</v>
      </c>
      <c r="J45">
        <v>63.6</v>
      </c>
      <c r="K45">
        <v>15.6</v>
      </c>
      <c r="L45">
        <v>-1.8</v>
      </c>
      <c r="M45">
        <v>896.9</v>
      </c>
      <c r="N45">
        <v>1149.0999999999999</v>
      </c>
      <c r="O45">
        <v>779.8</v>
      </c>
      <c r="AM45">
        <v>41</v>
      </c>
      <c r="AN45">
        <v>6.7</v>
      </c>
      <c r="AO45">
        <f t="shared" si="2"/>
        <v>0.89333331100000002</v>
      </c>
      <c r="AP45">
        <v>-1.5</v>
      </c>
      <c r="AQ45">
        <f t="shared" si="3"/>
        <v>-0.19999999499999999</v>
      </c>
      <c r="AR45">
        <v>-138.5</v>
      </c>
      <c r="AS45">
        <f t="shared" si="4"/>
        <v>-18.466666204999999</v>
      </c>
      <c r="AT45">
        <v>33.200000000000003</v>
      </c>
      <c r="AU45">
        <f t="shared" si="5"/>
        <v>4.4266666556000001</v>
      </c>
      <c r="AV45">
        <v>222.5</v>
      </c>
      <c r="AW45">
        <f t="shared" si="6"/>
        <v>29.666659249999999</v>
      </c>
      <c r="AX45">
        <v>950.1</v>
      </c>
      <c r="AY45">
        <f t="shared" si="7"/>
        <v>126.679996833</v>
      </c>
      <c r="BN45">
        <v>41</v>
      </c>
      <c r="BO45">
        <v>63.6</v>
      </c>
      <c r="BP45">
        <f t="shared" si="8"/>
        <v>8.4799997880000006</v>
      </c>
      <c r="BQ45">
        <v>15.6</v>
      </c>
      <c r="BR45">
        <f t="shared" si="9"/>
        <v>2.0799999479999998</v>
      </c>
      <c r="BS45">
        <v>-1.8</v>
      </c>
      <c r="BT45">
        <f t="shared" si="10"/>
        <v>-0.23999999399999999</v>
      </c>
      <c r="BU45">
        <v>896.9</v>
      </c>
      <c r="BV45">
        <f t="shared" si="11"/>
        <v>119.58666367699999</v>
      </c>
      <c r="BW45">
        <v>1149.0999999999999</v>
      </c>
      <c r="BX45">
        <f t="shared" si="12"/>
        <v>153.21332950299998</v>
      </c>
      <c r="BY45">
        <v>779.8</v>
      </c>
      <c r="BZ45">
        <f t="shared" si="13"/>
        <v>103.97333073399999</v>
      </c>
    </row>
    <row r="46" spans="1:78" x14ac:dyDescent="0.35">
      <c r="A46">
        <v>42</v>
      </c>
      <c r="B46">
        <v>-26.6</v>
      </c>
      <c r="C46">
        <v>13.1</v>
      </c>
      <c r="D46">
        <v>-140.1</v>
      </c>
      <c r="E46">
        <v>1.2</v>
      </c>
      <c r="F46">
        <v>20.100000000000001</v>
      </c>
      <c r="G46">
        <v>910.6</v>
      </c>
      <c r="I46">
        <v>42</v>
      </c>
      <c r="J46">
        <v>96.3</v>
      </c>
      <c r="K46">
        <v>-20.100000000000001</v>
      </c>
      <c r="L46">
        <v>28.5</v>
      </c>
      <c r="M46">
        <v>878.1</v>
      </c>
      <c r="N46">
        <v>1221.5</v>
      </c>
      <c r="O46">
        <v>766.7</v>
      </c>
      <c r="AM46">
        <v>42</v>
      </c>
      <c r="AN46">
        <v>-26.6</v>
      </c>
      <c r="AO46">
        <f t="shared" si="2"/>
        <v>-3.5466665780000004</v>
      </c>
      <c r="AP46">
        <v>13.1</v>
      </c>
      <c r="AQ46">
        <f t="shared" si="3"/>
        <v>1.7466666229999999</v>
      </c>
      <c r="AR46">
        <v>-140.1</v>
      </c>
      <c r="AS46">
        <f t="shared" si="4"/>
        <v>-18.679999533</v>
      </c>
      <c r="AT46">
        <v>1.2</v>
      </c>
      <c r="AU46">
        <f t="shared" si="5"/>
        <v>0.1599999996</v>
      </c>
      <c r="AV46">
        <v>20.100000000000001</v>
      </c>
      <c r="AW46">
        <f t="shared" si="6"/>
        <v>2.6799993299999998</v>
      </c>
      <c r="AX46">
        <v>910.6</v>
      </c>
      <c r="AY46">
        <f t="shared" si="7"/>
        <v>121.41333029800001</v>
      </c>
      <c r="BN46">
        <v>42</v>
      </c>
      <c r="BO46">
        <v>96.3</v>
      </c>
      <c r="BP46">
        <f t="shared" si="8"/>
        <v>12.839999679</v>
      </c>
      <c r="BQ46">
        <v>-20.100000000000001</v>
      </c>
      <c r="BR46">
        <f t="shared" si="9"/>
        <v>-2.6799999330000004</v>
      </c>
      <c r="BS46">
        <v>28.5</v>
      </c>
      <c r="BT46">
        <f t="shared" si="10"/>
        <v>3.799999905</v>
      </c>
      <c r="BU46">
        <v>878.1</v>
      </c>
      <c r="BV46">
        <f t="shared" si="11"/>
        <v>117.079997073</v>
      </c>
      <c r="BW46">
        <v>1221.5</v>
      </c>
      <c r="BX46">
        <f t="shared" si="12"/>
        <v>162.86666259500001</v>
      </c>
      <c r="BY46">
        <v>766.7</v>
      </c>
      <c r="BZ46">
        <f t="shared" si="13"/>
        <v>102.22666411100001</v>
      </c>
    </row>
    <row r="47" spans="1:78" x14ac:dyDescent="0.35">
      <c r="A47">
        <v>43</v>
      </c>
      <c r="B47">
        <v>-55.1</v>
      </c>
      <c r="C47">
        <v>24.8</v>
      </c>
      <c r="D47">
        <v>-54</v>
      </c>
      <c r="E47">
        <v>-31.6</v>
      </c>
      <c r="F47">
        <v>0.3</v>
      </c>
      <c r="G47">
        <v>873.8</v>
      </c>
      <c r="I47">
        <v>43</v>
      </c>
      <c r="J47">
        <v>131.9</v>
      </c>
      <c r="K47">
        <v>-56.2</v>
      </c>
      <c r="L47">
        <v>54.9</v>
      </c>
      <c r="M47">
        <v>859.8</v>
      </c>
      <c r="N47">
        <v>1287.5</v>
      </c>
      <c r="O47">
        <v>753.2</v>
      </c>
      <c r="AM47">
        <v>43</v>
      </c>
      <c r="AN47">
        <v>-55.1</v>
      </c>
      <c r="AO47">
        <f t="shared" si="2"/>
        <v>-7.3466664829999999</v>
      </c>
      <c r="AP47">
        <v>24.8</v>
      </c>
      <c r="AQ47">
        <f t="shared" si="3"/>
        <v>3.3066665840000002</v>
      </c>
      <c r="AR47">
        <v>-54</v>
      </c>
      <c r="AS47">
        <f t="shared" si="4"/>
        <v>-7.1999998200000004</v>
      </c>
      <c r="AT47">
        <v>-31.6</v>
      </c>
      <c r="AU47">
        <f t="shared" si="5"/>
        <v>-4.2133333228000005</v>
      </c>
      <c r="AV47">
        <v>0.3</v>
      </c>
      <c r="AW47">
        <f t="shared" si="6"/>
        <v>3.9999989999999992E-2</v>
      </c>
      <c r="AX47">
        <v>873.8</v>
      </c>
      <c r="AY47">
        <f t="shared" si="7"/>
        <v>116.50666375399999</v>
      </c>
      <c r="BN47">
        <v>43</v>
      </c>
      <c r="BO47">
        <v>131.9</v>
      </c>
      <c r="BP47">
        <f t="shared" si="8"/>
        <v>17.586666227000002</v>
      </c>
      <c r="BQ47">
        <v>-56.2</v>
      </c>
      <c r="BR47">
        <f t="shared" si="9"/>
        <v>-7.4933331460000003</v>
      </c>
      <c r="BS47">
        <v>54.9</v>
      </c>
      <c r="BT47">
        <f t="shared" si="10"/>
        <v>7.3199998170000002</v>
      </c>
      <c r="BU47">
        <v>859.8</v>
      </c>
      <c r="BV47">
        <f t="shared" si="11"/>
        <v>114.639997134</v>
      </c>
      <c r="BW47">
        <v>1287.5</v>
      </c>
      <c r="BX47">
        <f t="shared" si="12"/>
        <v>171.66666237499999</v>
      </c>
      <c r="BY47">
        <v>753.2</v>
      </c>
      <c r="BZ47">
        <f t="shared" si="13"/>
        <v>100.426664156</v>
      </c>
    </row>
    <row r="48" spans="1:78" x14ac:dyDescent="0.35">
      <c r="A48">
        <v>44</v>
      </c>
      <c r="B48">
        <v>-79.400000000000006</v>
      </c>
      <c r="C48">
        <v>33.4</v>
      </c>
      <c r="D48">
        <v>43.5</v>
      </c>
      <c r="E48">
        <v>-65.2</v>
      </c>
      <c r="F48">
        <v>1.5</v>
      </c>
      <c r="G48">
        <v>838.9</v>
      </c>
      <c r="I48">
        <v>44</v>
      </c>
      <c r="J48">
        <v>165.4</v>
      </c>
      <c r="K48">
        <v>-92.1</v>
      </c>
      <c r="L48">
        <v>78.7</v>
      </c>
      <c r="M48">
        <v>842</v>
      </c>
      <c r="N48">
        <v>1348.7</v>
      </c>
      <c r="O48">
        <v>739.3</v>
      </c>
      <c r="AM48">
        <v>44</v>
      </c>
      <c r="AN48">
        <v>-79.400000000000006</v>
      </c>
      <c r="AO48">
        <f t="shared" si="2"/>
        <v>-10.586666402000001</v>
      </c>
      <c r="AP48">
        <v>33.4</v>
      </c>
      <c r="AQ48">
        <f t="shared" si="3"/>
        <v>4.4533332219999995</v>
      </c>
      <c r="AR48">
        <v>43.5</v>
      </c>
      <c r="AS48">
        <f t="shared" si="4"/>
        <v>5.7999998550000003</v>
      </c>
      <c r="AT48">
        <v>-65.2</v>
      </c>
      <c r="AU48">
        <f t="shared" si="5"/>
        <v>-8.6933333116</v>
      </c>
      <c r="AV48">
        <v>1.5</v>
      </c>
      <c r="AW48">
        <f t="shared" si="6"/>
        <v>0.19999994999999998</v>
      </c>
      <c r="AX48">
        <v>838.9</v>
      </c>
      <c r="AY48">
        <f t="shared" si="7"/>
        <v>111.85333053699999</v>
      </c>
      <c r="BN48">
        <v>44</v>
      </c>
      <c r="BO48">
        <v>165.4</v>
      </c>
      <c r="BP48">
        <f t="shared" si="8"/>
        <v>22.053332782000002</v>
      </c>
      <c r="BQ48">
        <v>-92.1</v>
      </c>
      <c r="BR48">
        <f t="shared" si="9"/>
        <v>-12.279999692999999</v>
      </c>
      <c r="BS48">
        <v>78.7</v>
      </c>
      <c r="BT48">
        <f t="shared" si="10"/>
        <v>10.493333071</v>
      </c>
      <c r="BU48">
        <v>842</v>
      </c>
      <c r="BV48">
        <f t="shared" si="11"/>
        <v>112.26666385999999</v>
      </c>
      <c r="BW48">
        <v>1348.7</v>
      </c>
      <c r="BX48">
        <f t="shared" si="12"/>
        <v>179.82666217100001</v>
      </c>
      <c r="BY48">
        <v>739.3</v>
      </c>
      <c r="BZ48">
        <f t="shared" si="13"/>
        <v>98.573330868999989</v>
      </c>
    </row>
    <row r="49" spans="1:78" x14ac:dyDescent="0.35">
      <c r="A49">
        <v>45</v>
      </c>
      <c r="B49">
        <v>-100.4</v>
      </c>
      <c r="C49">
        <v>22.7</v>
      </c>
      <c r="D49">
        <v>109.3</v>
      </c>
      <c r="E49">
        <v>-80.2</v>
      </c>
      <c r="F49">
        <v>1.4</v>
      </c>
      <c r="G49">
        <v>806</v>
      </c>
      <c r="I49">
        <v>45</v>
      </c>
      <c r="J49">
        <v>195</v>
      </c>
      <c r="K49">
        <v>-127.8</v>
      </c>
      <c r="L49">
        <v>100.7</v>
      </c>
      <c r="M49">
        <v>825.3</v>
      </c>
      <c r="N49">
        <v>1405.9</v>
      </c>
      <c r="O49">
        <v>724.9</v>
      </c>
      <c r="AM49">
        <v>45</v>
      </c>
      <c r="AN49">
        <v>-100.4</v>
      </c>
      <c r="AO49">
        <f t="shared" si="2"/>
        <v>-13.386666332000001</v>
      </c>
      <c r="AP49">
        <v>22.7</v>
      </c>
      <c r="AQ49">
        <f t="shared" si="3"/>
        <v>3.0266665909999997</v>
      </c>
      <c r="AR49">
        <v>109.3</v>
      </c>
      <c r="AS49">
        <f t="shared" si="4"/>
        <v>14.573332968999999</v>
      </c>
      <c r="AT49">
        <v>-80.2</v>
      </c>
      <c r="AU49">
        <f t="shared" si="5"/>
        <v>-10.6933333066</v>
      </c>
      <c r="AV49">
        <v>1.4</v>
      </c>
      <c r="AW49">
        <f t="shared" si="6"/>
        <v>0.18666661999999998</v>
      </c>
      <c r="AX49">
        <v>806</v>
      </c>
      <c r="AY49">
        <f t="shared" si="7"/>
        <v>107.46666398000001</v>
      </c>
      <c r="BN49">
        <v>45</v>
      </c>
      <c r="BO49">
        <v>195</v>
      </c>
      <c r="BP49">
        <f t="shared" si="8"/>
        <v>25.99999935</v>
      </c>
      <c r="BQ49">
        <v>-127.8</v>
      </c>
      <c r="BR49">
        <f t="shared" si="9"/>
        <v>-17.039999573999999</v>
      </c>
      <c r="BS49">
        <v>100.7</v>
      </c>
      <c r="BT49">
        <f t="shared" si="10"/>
        <v>13.426666331</v>
      </c>
      <c r="BU49">
        <v>825.3</v>
      </c>
      <c r="BV49">
        <f t="shared" si="11"/>
        <v>110.039997249</v>
      </c>
      <c r="BW49">
        <v>1405.9</v>
      </c>
      <c r="BX49">
        <f t="shared" si="12"/>
        <v>187.45332864700001</v>
      </c>
      <c r="BY49">
        <v>724.9</v>
      </c>
      <c r="BZ49">
        <f t="shared" si="13"/>
        <v>96.653330916999991</v>
      </c>
    </row>
    <row r="50" spans="1:78" x14ac:dyDescent="0.35">
      <c r="A50">
        <v>46</v>
      </c>
      <c r="B50">
        <v>-118.4</v>
      </c>
      <c r="C50">
        <v>-23.8</v>
      </c>
      <c r="D50">
        <v>153.19999999999999</v>
      </c>
      <c r="E50">
        <v>-30.5</v>
      </c>
      <c r="F50">
        <v>1.2</v>
      </c>
      <c r="G50">
        <v>788.3</v>
      </c>
      <c r="I50">
        <v>46</v>
      </c>
      <c r="J50">
        <v>214.2</v>
      </c>
      <c r="K50">
        <v>-162.9</v>
      </c>
      <c r="L50">
        <v>121.3</v>
      </c>
      <c r="M50">
        <v>808.6</v>
      </c>
      <c r="N50">
        <v>1457.9</v>
      </c>
      <c r="O50">
        <v>709.8</v>
      </c>
      <c r="AM50">
        <v>46</v>
      </c>
      <c r="AN50">
        <v>-118.4</v>
      </c>
      <c r="AO50">
        <f t="shared" si="2"/>
        <v>-15.786666272000001</v>
      </c>
      <c r="AP50">
        <v>-23.8</v>
      </c>
      <c r="AQ50">
        <f t="shared" si="3"/>
        <v>-3.1733332540000001</v>
      </c>
      <c r="AR50">
        <v>153.19999999999999</v>
      </c>
      <c r="AS50">
        <f t="shared" si="4"/>
        <v>20.426666156</v>
      </c>
      <c r="AT50">
        <v>-30.5</v>
      </c>
      <c r="AU50">
        <f t="shared" si="5"/>
        <v>-4.0666666564999998</v>
      </c>
      <c r="AV50">
        <v>1.2</v>
      </c>
      <c r="AW50">
        <f t="shared" si="6"/>
        <v>0.15999995999999997</v>
      </c>
      <c r="AX50">
        <v>788.3</v>
      </c>
      <c r="AY50">
        <f t="shared" si="7"/>
        <v>105.10666403899999</v>
      </c>
      <c r="BN50">
        <v>46</v>
      </c>
      <c r="BO50">
        <v>214.2</v>
      </c>
      <c r="BP50">
        <f t="shared" si="8"/>
        <v>28.559999286</v>
      </c>
      <c r="BQ50">
        <v>-162.9</v>
      </c>
      <c r="BR50">
        <f t="shared" si="9"/>
        <v>-21.719999457</v>
      </c>
      <c r="BS50">
        <v>121.3</v>
      </c>
      <c r="BT50">
        <f t="shared" si="10"/>
        <v>16.173332929000001</v>
      </c>
      <c r="BU50">
        <v>808.6</v>
      </c>
      <c r="BV50">
        <f t="shared" si="11"/>
        <v>107.813330638</v>
      </c>
      <c r="BW50">
        <v>1457.9</v>
      </c>
      <c r="BX50">
        <f t="shared" si="12"/>
        <v>194.38666180700002</v>
      </c>
      <c r="BY50">
        <v>709.8</v>
      </c>
      <c r="BZ50">
        <f t="shared" si="13"/>
        <v>94.639997633999997</v>
      </c>
    </row>
    <row r="51" spans="1:78" x14ac:dyDescent="0.35">
      <c r="A51">
        <v>47</v>
      </c>
      <c r="B51">
        <v>-134.1</v>
      </c>
      <c r="C51">
        <v>-76</v>
      </c>
      <c r="D51">
        <v>184</v>
      </c>
      <c r="E51">
        <v>55.7</v>
      </c>
      <c r="F51">
        <v>6.7</v>
      </c>
      <c r="G51">
        <v>816.2</v>
      </c>
      <c r="I51">
        <v>47</v>
      </c>
      <c r="J51">
        <v>237.5</v>
      </c>
      <c r="K51">
        <v>-196.7</v>
      </c>
      <c r="L51">
        <v>140.9</v>
      </c>
      <c r="M51">
        <v>791.9</v>
      </c>
      <c r="N51">
        <v>1502.9</v>
      </c>
      <c r="O51">
        <v>706.4</v>
      </c>
      <c r="AM51">
        <v>47</v>
      </c>
      <c r="AN51">
        <v>-134.1</v>
      </c>
      <c r="AO51">
        <f t="shared" si="2"/>
        <v>-17.879999552999998</v>
      </c>
      <c r="AP51">
        <v>-76</v>
      </c>
      <c r="AQ51">
        <f t="shared" si="3"/>
        <v>-10.13333308</v>
      </c>
      <c r="AR51">
        <v>184</v>
      </c>
      <c r="AS51">
        <f t="shared" si="4"/>
        <v>24.533332720000001</v>
      </c>
      <c r="AT51">
        <v>55.7</v>
      </c>
      <c r="AU51">
        <f t="shared" si="5"/>
        <v>7.4266666481000003</v>
      </c>
      <c r="AV51">
        <v>6.7</v>
      </c>
      <c r="AW51">
        <f t="shared" si="6"/>
        <v>0.89333310999999993</v>
      </c>
      <c r="AX51">
        <v>816.2</v>
      </c>
      <c r="AY51">
        <f t="shared" si="7"/>
        <v>108.82666394600001</v>
      </c>
      <c r="BN51">
        <v>47</v>
      </c>
      <c r="BO51">
        <v>237.5</v>
      </c>
      <c r="BP51">
        <f t="shared" si="8"/>
        <v>31.666665875</v>
      </c>
      <c r="BQ51">
        <v>-196.7</v>
      </c>
      <c r="BR51">
        <f t="shared" si="9"/>
        <v>-26.226666010999999</v>
      </c>
      <c r="BS51">
        <v>140.9</v>
      </c>
      <c r="BT51">
        <f t="shared" si="10"/>
        <v>18.786666197000002</v>
      </c>
      <c r="BU51">
        <v>791.9</v>
      </c>
      <c r="BV51">
        <f t="shared" si="11"/>
        <v>105.586664027</v>
      </c>
      <c r="BW51">
        <v>1502.9</v>
      </c>
      <c r="BX51">
        <f t="shared" si="12"/>
        <v>200.38666165700002</v>
      </c>
      <c r="BY51">
        <v>706.4</v>
      </c>
      <c r="BZ51">
        <f t="shared" si="13"/>
        <v>94.186664311999991</v>
      </c>
    </row>
    <row r="52" spans="1:78" x14ac:dyDescent="0.35">
      <c r="A52">
        <v>48</v>
      </c>
      <c r="B52">
        <v>-147.69999999999999</v>
      </c>
      <c r="C52">
        <v>-126</v>
      </c>
      <c r="D52">
        <v>207.3</v>
      </c>
      <c r="E52">
        <v>117.7</v>
      </c>
      <c r="F52">
        <v>142.69999999999999</v>
      </c>
      <c r="G52">
        <v>886.3</v>
      </c>
      <c r="I52">
        <v>48</v>
      </c>
      <c r="J52">
        <v>247.5</v>
      </c>
      <c r="K52">
        <v>-211.7</v>
      </c>
      <c r="L52">
        <v>159.30000000000001</v>
      </c>
      <c r="M52">
        <v>774.6</v>
      </c>
      <c r="N52">
        <v>1539.4</v>
      </c>
      <c r="O52">
        <v>767.3</v>
      </c>
      <c r="AM52">
        <v>48</v>
      </c>
      <c r="AN52">
        <v>-147.69999999999999</v>
      </c>
      <c r="AO52">
        <f t="shared" si="2"/>
        <v>-19.693332841</v>
      </c>
      <c r="AP52">
        <v>-126</v>
      </c>
      <c r="AQ52">
        <f t="shared" si="3"/>
        <v>-16.799999580000001</v>
      </c>
      <c r="AR52">
        <v>207.3</v>
      </c>
      <c r="AS52">
        <f t="shared" si="4"/>
        <v>27.639999309</v>
      </c>
      <c r="AT52">
        <v>117.7</v>
      </c>
      <c r="AU52">
        <f t="shared" si="5"/>
        <v>15.6933332941</v>
      </c>
      <c r="AV52">
        <v>142.69999999999999</v>
      </c>
      <c r="AW52">
        <f t="shared" si="6"/>
        <v>19.026661909999998</v>
      </c>
      <c r="AX52">
        <v>886.3</v>
      </c>
      <c r="AY52">
        <f t="shared" si="7"/>
        <v>118.17333037899999</v>
      </c>
      <c r="BN52">
        <v>48</v>
      </c>
      <c r="BO52">
        <v>247.5</v>
      </c>
      <c r="BP52">
        <f t="shared" si="8"/>
        <v>32.999999174999999</v>
      </c>
      <c r="BQ52">
        <v>-211.7</v>
      </c>
      <c r="BR52">
        <f t="shared" si="9"/>
        <v>-28.226665960999998</v>
      </c>
      <c r="BS52">
        <v>159.30000000000001</v>
      </c>
      <c r="BT52">
        <f t="shared" si="10"/>
        <v>21.239999469000001</v>
      </c>
      <c r="BU52">
        <v>774.6</v>
      </c>
      <c r="BV52">
        <f t="shared" si="11"/>
        <v>103.27999741800001</v>
      </c>
      <c r="BW52">
        <v>1539.4</v>
      </c>
      <c r="BX52">
        <f t="shared" si="12"/>
        <v>205.25332820200001</v>
      </c>
      <c r="BY52">
        <v>767.3</v>
      </c>
      <c r="BZ52">
        <f t="shared" si="13"/>
        <v>102.306664109</v>
      </c>
    </row>
    <row r="53" spans="1:78" x14ac:dyDescent="0.35">
      <c r="A53">
        <v>49</v>
      </c>
      <c r="B53">
        <v>-159.80000000000001</v>
      </c>
      <c r="C53">
        <v>-174.5</v>
      </c>
      <c r="D53">
        <v>226.1</v>
      </c>
      <c r="E53">
        <v>160.30000000000001</v>
      </c>
      <c r="F53">
        <v>392.4</v>
      </c>
      <c r="G53">
        <v>964.4</v>
      </c>
      <c r="I53">
        <v>49</v>
      </c>
      <c r="J53">
        <v>266</v>
      </c>
      <c r="K53">
        <v>-158.30000000000001</v>
      </c>
      <c r="L53">
        <v>171.2</v>
      </c>
      <c r="M53">
        <v>756.4</v>
      </c>
      <c r="N53">
        <v>1567.6</v>
      </c>
      <c r="O53">
        <v>881.7</v>
      </c>
      <c r="AM53">
        <v>49</v>
      </c>
      <c r="AN53">
        <v>-159.80000000000001</v>
      </c>
      <c r="AO53">
        <f t="shared" si="2"/>
        <v>-21.306666134</v>
      </c>
      <c r="AP53">
        <v>-174.5</v>
      </c>
      <c r="AQ53">
        <f t="shared" si="3"/>
        <v>-23.266666085000001</v>
      </c>
      <c r="AR53">
        <v>226.1</v>
      </c>
      <c r="AS53">
        <f t="shared" si="4"/>
        <v>30.146665913</v>
      </c>
      <c r="AT53">
        <v>160.30000000000001</v>
      </c>
      <c r="AU53">
        <f t="shared" si="5"/>
        <v>21.373333279900002</v>
      </c>
      <c r="AV53">
        <v>392.4</v>
      </c>
      <c r="AW53">
        <f t="shared" si="6"/>
        <v>52.319986919999991</v>
      </c>
      <c r="AX53">
        <v>964.4</v>
      </c>
      <c r="AY53">
        <f t="shared" si="7"/>
        <v>128.58666345200001</v>
      </c>
      <c r="BN53">
        <v>49</v>
      </c>
      <c r="BO53">
        <v>266</v>
      </c>
      <c r="BP53">
        <f t="shared" si="8"/>
        <v>35.46666578</v>
      </c>
      <c r="BQ53">
        <v>-158.30000000000001</v>
      </c>
      <c r="BR53">
        <f t="shared" si="9"/>
        <v>-21.106666139000001</v>
      </c>
      <c r="BS53">
        <v>171.2</v>
      </c>
      <c r="BT53">
        <f t="shared" si="10"/>
        <v>22.826666095999997</v>
      </c>
      <c r="BU53">
        <v>756.4</v>
      </c>
      <c r="BV53">
        <f t="shared" si="11"/>
        <v>100.853330812</v>
      </c>
      <c r="BW53">
        <v>1567.6</v>
      </c>
      <c r="BX53">
        <f t="shared" si="12"/>
        <v>209.013328108</v>
      </c>
      <c r="BY53">
        <v>881.7</v>
      </c>
      <c r="BZ53">
        <f t="shared" si="13"/>
        <v>117.559997061</v>
      </c>
    </row>
    <row r="54" spans="1:78" x14ac:dyDescent="0.35">
      <c r="A54">
        <v>50</v>
      </c>
      <c r="B54">
        <v>-170.5</v>
      </c>
      <c r="C54">
        <v>-221.6</v>
      </c>
      <c r="D54">
        <v>242</v>
      </c>
      <c r="E54">
        <v>193.8</v>
      </c>
      <c r="F54">
        <v>413.9</v>
      </c>
      <c r="G54">
        <v>1036.3</v>
      </c>
      <c r="I54">
        <v>50</v>
      </c>
      <c r="J54">
        <v>270.39999999999998</v>
      </c>
      <c r="K54">
        <v>-82.8</v>
      </c>
      <c r="L54">
        <v>150</v>
      </c>
      <c r="M54">
        <v>737.4</v>
      </c>
      <c r="N54">
        <v>1570.2</v>
      </c>
      <c r="O54">
        <v>981.1</v>
      </c>
      <c r="AM54">
        <v>50</v>
      </c>
      <c r="AN54">
        <v>-170.5</v>
      </c>
      <c r="AO54">
        <f t="shared" si="2"/>
        <v>-22.733332765</v>
      </c>
      <c r="AP54">
        <v>-221.6</v>
      </c>
      <c r="AQ54">
        <f t="shared" si="3"/>
        <v>-29.546665927999999</v>
      </c>
      <c r="AR54">
        <v>242</v>
      </c>
      <c r="AS54">
        <f t="shared" si="4"/>
        <v>32.266665860000003</v>
      </c>
      <c r="AT54">
        <v>193.8</v>
      </c>
      <c r="AU54">
        <f t="shared" si="5"/>
        <v>25.839999935400002</v>
      </c>
      <c r="AV54">
        <v>413.9</v>
      </c>
      <c r="AW54">
        <f t="shared" si="6"/>
        <v>55.186652869999989</v>
      </c>
      <c r="AX54">
        <v>1036.3</v>
      </c>
      <c r="AY54">
        <f t="shared" si="7"/>
        <v>138.17332987899999</v>
      </c>
      <c r="BN54">
        <v>50</v>
      </c>
      <c r="BO54">
        <v>270.39999999999998</v>
      </c>
      <c r="BP54">
        <f t="shared" si="8"/>
        <v>36.053332431999998</v>
      </c>
      <c r="BQ54">
        <v>-82.8</v>
      </c>
      <c r="BR54">
        <f t="shared" si="9"/>
        <v>-11.039999723999999</v>
      </c>
      <c r="BS54">
        <v>150</v>
      </c>
      <c r="BT54">
        <f t="shared" si="10"/>
        <v>19.999999500000001</v>
      </c>
      <c r="BU54">
        <v>737.4</v>
      </c>
      <c r="BV54">
        <f t="shared" si="11"/>
        <v>98.319997541999996</v>
      </c>
      <c r="BW54">
        <v>1570.2</v>
      </c>
      <c r="BX54">
        <f t="shared" si="12"/>
        <v>209.359994766</v>
      </c>
      <c r="BY54">
        <v>981.1</v>
      </c>
      <c r="BZ54">
        <f t="shared" si="13"/>
        <v>130.813330063</v>
      </c>
    </row>
    <row r="55" spans="1:78" x14ac:dyDescent="0.35">
      <c r="A55">
        <v>51</v>
      </c>
      <c r="B55">
        <v>-169.9</v>
      </c>
      <c r="C55">
        <v>-266.39999999999998</v>
      </c>
      <c r="D55">
        <v>255.9</v>
      </c>
      <c r="E55">
        <v>222.7</v>
      </c>
      <c r="F55">
        <v>613.20000000000005</v>
      </c>
      <c r="G55">
        <v>1099.4000000000001</v>
      </c>
      <c r="I55">
        <v>51</v>
      </c>
      <c r="J55">
        <v>285.10000000000002</v>
      </c>
      <c r="K55">
        <v>-23.6</v>
      </c>
      <c r="L55">
        <v>114.1</v>
      </c>
      <c r="M55">
        <v>717.7</v>
      </c>
      <c r="N55">
        <v>1510.2</v>
      </c>
      <c r="O55">
        <v>1059.5</v>
      </c>
      <c r="AM55">
        <v>51</v>
      </c>
      <c r="AN55">
        <v>-169.9</v>
      </c>
      <c r="AO55">
        <f t="shared" si="2"/>
        <v>-22.653332767000002</v>
      </c>
      <c r="AP55">
        <v>-266.39999999999998</v>
      </c>
      <c r="AQ55">
        <f t="shared" si="3"/>
        <v>-35.519999111999994</v>
      </c>
      <c r="AR55">
        <v>255.9</v>
      </c>
      <c r="AS55">
        <f t="shared" si="4"/>
        <v>34.119999147000001</v>
      </c>
      <c r="AT55">
        <v>222.7</v>
      </c>
      <c r="AU55">
        <f t="shared" si="5"/>
        <v>29.693333259099997</v>
      </c>
      <c r="AV55">
        <v>613.20000000000005</v>
      </c>
      <c r="AW55">
        <f t="shared" si="6"/>
        <v>81.759979560000005</v>
      </c>
      <c r="AX55">
        <v>1099.4000000000001</v>
      </c>
      <c r="AY55">
        <f t="shared" si="7"/>
        <v>146.58666300200002</v>
      </c>
      <c r="BN55">
        <v>51</v>
      </c>
      <c r="BO55">
        <v>285.10000000000002</v>
      </c>
      <c r="BP55">
        <f t="shared" si="8"/>
        <v>38.013332383000005</v>
      </c>
      <c r="BQ55">
        <v>-23.6</v>
      </c>
      <c r="BR55">
        <f t="shared" si="9"/>
        <v>-3.146666588</v>
      </c>
      <c r="BS55">
        <v>114.1</v>
      </c>
      <c r="BT55">
        <f t="shared" si="10"/>
        <v>15.213332953</v>
      </c>
      <c r="BU55">
        <v>717.7</v>
      </c>
      <c r="BV55">
        <f t="shared" si="11"/>
        <v>95.693330940999999</v>
      </c>
      <c r="BW55">
        <v>1510.2</v>
      </c>
      <c r="BX55">
        <f t="shared" si="12"/>
        <v>201.35999496600002</v>
      </c>
      <c r="BY55">
        <v>1059.5</v>
      </c>
      <c r="BZ55">
        <f t="shared" si="13"/>
        <v>141.26666313499999</v>
      </c>
    </row>
    <row r="56" spans="1:78" x14ac:dyDescent="0.35">
      <c r="A56">
        <v>52</v>
      </c>
      <c r="B56">
        <v>-126.8</v>
      </c>
      <c r="C56">
        <v>-308.5</v>
      </c>
      <c r="D56">
        <v>268.3</v>
      </c>
      <c r="E56">
        <v>248.8</v>
      </c>
      <c r="F56">
        <v>792.7</v>
      </c>
      <c r="G56">
        <v>1155.5</v>
      </c>
      <c r="I56">
        <v>52</v>
      </c>
      <c r="J56">
        <v>284.10000000000002</v>
      </c>
      <c r="K56">
        <v>22.2</v>
      </c>
      <c r="L56">
        <v>84</v>
      </c>
      <c r="M56">
        <v>696.5</v>
      </c>
      <c r="N56">
        <v>1439.1</v>
      </c>
      <c r="O56">
        <v>1125.5</v>
      </c>
      <c r="AM56">
        <v>52</v>
      </c>
      <c r="AN56">
        <v>-126.8</v>
      </c>
      <c r="AO56">
        <f t="shared" si="2"/>
        <v>-16.906666244</v>
      </c>
      <c r="AP56">
        <v>-308.5</v>
      </c>
      <c r="AQ56">
        <f t="shared" si="3"/>
        <v>-41.133332305000003</v>
      </c>
      <c r="AR56">
        <v>268.3</v>
      </c>
      <c r="AS56">
        <f t="shared" si="4"/>
        <v>35.773332439000001</v>
      </c>
      <c r="AT56">
        <v>248.8</v>
      </c>
      <c r="AU56">
        <f t="shared" si="5"/>
        <v>33.173333250399999</v>
      </c>
      <c r="AV56">
        <v>792.7</v>
      </c>
      <c r="AW56">
        <f t="shared" si="6"/>
        <v>105.69330690999999</v>
      </c>
      <c r="AX56">
        <v>1155.5</v>
      </c>
      <c r="AY56">
        <f t="shared" si="7"/>
        <v>154.066662815</v>
      </c>
      <c r="BN56">
        <v>52</v>
      </c>
      <c r="BO56">
        <v>284.10000000000002</v>
      </c>
      <c r="BP56">
        <f t="shared" si="8"/>
        <v>37.879999053000006</v>
      </c>
      <c r="BQ56">
        <v>22.2</v>
      </c>
      <c r="BR56">
        <f t="shared" si="9"/>
        <v>2.9599999260000001</v>
      </c>
      <c r="BS56">
        <v>84</v>
      </c>
      <c r="BT56">
        <f t="shared" si="10"/>
        <v>11.199999719999999</v>
      </c>
      <c r="BU56">
        <v>696.5</v>
      </c>
      <c r="BV56">
        <f t="shared" si="11"/>
        <v>92.866664345000004</v>
      </c>
      <c r="BW56">
        <v>1439.1</v>
      </c>
      <c r="BX56">
        <f t="shared" si="12"/>
        <v>191.87999520299999</v>
      </c>
      <c r="BY56">
        <v>1125.5</v>
      </c>
      <c r="BZ56">
        <f t="shared" si="13"/>
        <v>150.06666291499999</v>
      </c>
    </row>
    <row r="57" spans="1:78" x14ac:dyDescent="0.35">
      <c r="A57">
        <v>53</v>
      </c>
      <c r="B57">
        <v>-86.7</v>
      </c>
      <c r="C57">
        <v>-347.5</v>
      </c>
      <c r="D57">
        <v>279.60000000000002</v>
      </c>
      <c r="E57">
        <v>272.89999999999998</v>
      </c>
      <c r="F57">
        <v>774.8</v>
      </c>
      <c r="G57">
        <v>1208.0999999999999</v>
      </c>
      <c r="I57">
        <v>53</v>
      </c>
      <c r="J57">
        <v>273.3</v>
      </c>
      <c r="K57">
        <v>58.5</v>
      </c>
      <c r="L57">
        <v>56.8</v>
      </c>
      <c r="M57">
        <v>673.6</v>
      </c>
      <c r="N57">
        <v>1381.1</v>
      </c>
      <c r="O57">
        <v>1188.2</v>
      </c>
      <c r="AM57">
        <v>53</v>
      </c>
      <c r="AN57">
        <v>-86.7</v>
      </c>
      <c r="AO57">
        <f t="shared" si="2"/>
        <v>-11.559999711</v>
      </c>
      <c r="AP57">
        <v>-347.5</v>
      </c>
      <c r="AQ57">
        <f t="shared" si="3"/>
        <v>-46.333332175000002</v>
      </c>
      <c r="AR57">
        <v>279.60000000000002</v>
      </c>
      <c r="AS57">
        <f t="shared" si="4"/>
        <v>37.279999068000002</v>
      </c>
      <c r="AT57">
        <v>272.89999999999998</v>
      </c>
      <c r="AU57">
        <f t="shared" si="5"/>
        <v>36.386666575699998</v>
      </c>
      <c r="AV57">
        <v>774.8</v>
      </c>
      <c r="AW57">
        <f t="shared" si="6"/>
        <v>103.30664083999999</v>
      </c>
      <c r="AX57">
        <v>1208.0999999999999</v>
      </c>
      <c r="AY57">
        <f t="shared" si="7"/>
        <v>161.079995973</v>
      </c>
      <c r="BN57">
        <v>53</v>
      </c>
      <c r="BO57">
        <v>273.3</v>
      </c>
      <c r="BP57">
        <f t="shared" si="8"/>
        <v>36.439999089000004</v>
      </c>
      <c r="BQ57">
        <v>58.5</v>
      </c>
      <c r="BR57">
        <f t="shared" si="9"/>
        <v>7.7999998049999997</v>
      </c>
      <c r="BS57">
        <v>56.8</v>
      </c>
      <c r="BT57">
        <f t="shared" si="10"/>
        <v>7.5733331439999994</v>
      </c>
      <c r="BU57">
        <v>673.6</v>
      </c>
      <c r="BV57">
        <f t="shared" si="11"/>
        <v>89.813331087999998</v>
      </c>
      <c r="BW57">
        <v>1381.1</v>
      </c>
      <c r="BX57">
        <f t="shared" si="12"/>
        <v>184.14666206299998</v>
      </c>
      <c r="BY57">
        <v>1188.2</v>
      </c>
      <c r="BZ57">
        <f t="shared" si="13"/>
        <v>158.426662706</v>
      </c>
    </row>
    <row r="58" spans="1:78" x14ac:dyDescent="0.35">
      <c r="A58">
        <v>54</v>
      </c>
      <c r="B58">
        <v>-48.3</v>
      </c>
      <c r="C58">
        <v>-383.2</v>
      </c>
      <c r="D58">
        <v>280.2</v>
      </c>
      <c r="E58">
        <v>295.39999999999998</v>
      </c>
      <c r="F58">
        <v>745.5</v>
      </c>
      <c r="G58">
        <v>1258.4000000000001</v>
      </c>
      <c r="I58">
        <v>54</v>
      </c>
      <c r="J58">
        <v>249.6</v>
      </c>
      <c r="K58">
        <v>87.5</v>
      </c>
      <c r="L58">
        <v>32</v>
      </c>
      <c r="M58">
        <v>648.9</v>
      </c>
      <c r="N58">
        <v>1330.5</v>
      </c>
      <c r="O58">
        <v>1250.3</v>
      </c>
      <c r="AM58">
        <v>54</v>
      </c>
      <c r="AN58">
        <v>-48.3</v>
      </c>
      <c r="AO58">
        <f t="shared" si="2"/>
        <v>-6.4399998389999995</v>
      </c>
      <c r="AP58">
        <v>-383.2</v>
      </c>
      <c r="AQ58">
        <f t="shared" si="3"/>
        <v>-51.093332056000001</v>
      </c>
      <c r="AR58">
        <v>280.2</v>
      </c>
      <c r="AS58">
        <f t="shared" si="4"/>
        <v>37.359999066</v>
      </c>
      <c r="AT58">
        <v>295.39999999999998</v>
      </c>
      <c r="AU58">
        <f t="shared" si="5"/>
        <v>39.386666568199999</v>
      </c>
      <c r="AV58">
        <v>745.5</v>
      </c>
      <c r="AW58">
        <f t="shared" si="6"/>
        <v>99.399975149999989</v>
      </c>
      <c r="AX58">
        <v>1258.4000000000001</v>
      </c>
      <c r="AY58">
        <f t="shared" si="7"/>
        <v>167.78666247200002</v>
      </c>
      <c r="BN58">
        <v>54</v>
      </c>
      <c r="BO58">
        <v>249.6</v>
      </c>
      <c r="BP58">
        <f t="shared" si="8"/>
        <v>33.279999167999996</v>
      </c>
      <c r="BQ58">
        <v>87.5</v>
      </c>
      <c r="BR58">
        <f t="shared" si="9"/>
        <v>11.666666375</v>
      </c>
      <c r="BS58">
        <v>32</v>
      </c>
      <c r="BT58">
        <f t="shared" si="10"/>
        <v>4.26666656</v>
      </c>
      <c r="BU58">
        <v>648.9</v>
      </c>
      <c r="BV58">
        <f t="shared" si="11"/>
        <v>86.519997836999991</v>
      </c>
      <c r="BW58">
        <v>1330.5</v>
      </c>
      <c r="BX58">
        <f t="shared" si="12"/>
        <v>177.39999556500001</v>
      </c>
      <c r="BY58">
        <v>1250.3</v>
      </c>
      <c r="BZ58">
        <f t="shared" si="13"/>
        <v>166.706662499</v>
      </c>
    </row>
    <row r="59" spans="1:78" x14ac:dyDescent="0.35">
      <c r="A59">
        <v>55</v>
      </c>
      <c r="B59">
        <v>-19.7</v>
      </c>
      <c r="C59">
        <v>-415.7</v>
      </c>
      <c r="D59">
        <v>248.2</v>
      </c>
      <c r="E59">
        <v>316.60000000000002</v>
      </c>
      <c r="F59">
        <v>761.3</v>
      </c>
      <c r="G59">
        <v>1305.7</v>
      </c>
      <c r="I59">
        <v>55</v>
      </c>
      <c r="J59">
        <v>221.9</v>
      </c>
      <c r="K59">
        <v>111</v>
      </c>
      <c r="L59">
        <v>8.8000000000000007</v>
      </c>
      <c r="M59">
        <v>621.79999999999995</v>
      </c>
      <c r="N59">
        <v>1285.4000000000001</v>
      </c>
      <c r="O59">
        <v>1311.4</v>
      </c>
      <c r="AM59">
        <v>55</v>
      </c>
      <c r="AN59">
        <v>-19.7</v>
      </c>
      <c r="AO59">
        <f t="shared" si="2"/>
        <v>-2.6266666009999997</v>
      </c>
      <c r="AP59">
        <v>-415.7</v>
      </c>
      <c r="AQ59">
        <f t="shared" si="3"/>
        <v>-55.426665280999998</v>
      </c>
      <c r="AR59">
        <v>248.2</v>
      </c>
      <c r="AS59">
        <f t="shared" si="4"/>
        <v>33.093332505999996</v>
      </c>
      <c r="AT59">
        <v>316.60000000000002</v>
      </c>
      <c r="AU59">
        <f t="shared" si="5"/>
        <v>42.2133332278</v>
      </c>
      <c r="AV59">
        <v>761.3</v>
      </c>
      <c r="AW59">
        <f t="shared" si="6"/>
        <v>101.50664128999999</v>
      </c>
      <c r="AX59">
        <v>1305.7</v>
      </c>
      <c r="AY59">
        <f t="shared" si="7"/>
        <v>174.09332898100001</v>
      </c>
      <c r="BN59">
        <v>55</v>
      </c>
      <c r="BO59">
        <v>221.9</v>
      </c>
      <c r="BP59">
        <f t="shared" si="8"/>
        <v>29.586665927000002</v>
      </c>
      <c r="BQ59">
        <v>111</v>
      </c>
      <c r="BR59">
        <f t="shared" si="9"/>
        <v>14.79999963</v>
      </c>
      <c r="BS59">
        <v>8.8000000000000007</v>
      </c>
      <c r="BT59">
        <f t="shared" si="10"/>
        <v>1.173333304</v>
      </c>
      <c r="BU59">
        <v>621.79999999999995</v>
      </c>
      <c r="BV59">
        <f t="shared" si="11"/>
        <v>82.906664593999992</v>
      </c>
      <c r="BW59">
        <v>1285.4000000000001</v>
      </c>
      <c r="BX59">
        <f t="shared" si="12"/>
        <v>171.38666238200003</v>
      </c>
      <c r="BY59">
        <v>1311.4</v>
      </c>
      <c r="BZ59">
        <f t="shared" si="13"/>
        <v>174.85332896200001</v>
      </c>
    </row>
    <row r="60" spans="1:78" x14ac:dyDescent="0.35">
      <c r="A60">
        <v>56</v>
      </c>
      <c r="B60">
        <v>3.5</v>
      </c>
      <c r="C60">
        <v>-440</v>
      </c>
      <c r="D60">
        <v>206</v>
      </c>
      <c r="E60">
        <v>331.7</v>
      </c>
      <c r="F60">
        <v>835.7</v>
      </c>
      <c r="G60">
        <v>1349.6</v>
      </c>
      <c r="I60">
        <v>56</v>
      </c>
      <c r="J60">
        <v>196.4</v>
      </c>
      <c r="K60">
        <v>130.30000000000001</v>
      </c>
      <c r="L60">
        <v>-13.3</v>
      </c>
      <c r="M60">
        <v>592.4</v>
      </c>
      <c r="N60">
        <v>1244.8</v>
      </c>
      <c r="O60">
        <v>1371.4</v>
      </c>
      <c r="AM60">
        <v>56</v>
      </c>
      <c r="AN60">
        <v>3.5</v>
      </c>
      <c r="AO60">
        <f t="shared" si="2"/>
        <v>0.46666665499999999</v>
      </c>
      <c r="AP60">
        <v>-440</v>
      </c>
      <c r="AQ60">
        <f t="shared" si="3"/>
        <v>-58.666665199999997</v>
      </c>
      <c r="AR60">
        <v>206</v>
      </c>
      <c r="AS60">
        <f t="shared" si="4"/>
        <v>27.466665979999998</v>
      </c>
      <c r="AT60">
        <v>331.7</v>
      </c>
      <c r="AU60">
        <f t="shared" si="5"/>
        <v>44.2266665561</v>
      </c>
      <c r="AV60">
        <v>835.7</v>
      </c>
      <c r="AW60">
        <f t="shared" si="6"/>
        <v>111.42663881</v>
      </c>
      <c r="AX60">
        <v>1349.6</v>
      </c>
      <c r="AY60">
        <f t="shared" si="7"/>
        <v>179.94666216799999</v>
      </c>
      <c r="BN60">
        <v>56</v>
      </c>
      <c r="BO60">
        <v>196.4</v>
      </c>
      <c r="BP60">
        <f t="shared" si="8"/>
        <v>26.186666012</v>
      </c>
      <c r="BQ60">
        <v>130.30000000000001</v>
      </c>
      <c r="BR60">
        <f t="shared" si="9"/>
        <v>17.373332899000001</v>
      </c>
      <c r="BS60">
        <v>-13.3</v>
      </c>
      <c r="BT60">
        <f t="shared" si="10"/>
        <v>-1.7733332890000002</v>
      </c>
      <c r="BU60">
        <v>592.4</v>
      </c>
      <c r="BV60">
        <f t="shared" si="11"/>
        <v>78.986664691999991</v>
      </c>
      <c r="BW60">
        <v>1244.8</v>
      </c>
      <c r="BX60">
        <f t="shared" si="12"/>
        <v>165.97332918399999</v>
      </c>
      <c r="BY60">
        <v>1371.4</v>
      </c>
      <c r="BZ60">
        <f t="shared" si="13"/>
        <v>182.85332876200002</v>
      </c>
    </row>
    <row r="61" spans="1:78" x14ac:dyDescent="0.35">
      <c r="A61">
        <v>57</v>
      </c>
      <c r="B61">
        <v>25.9</v>
      </c>
      <c r="C61">
        <v>-402.5</v>
      </c>
      <c r="D61">
        <v>168.5</v>
      </c>
      <c r="E61">
        <v>306.39999999999998</v>
      </c>
      <c r="F61">
        <v>831.4</v>
      </c>
      <c r="G61">
        <v>1383.5</v>
      </c>
      <c r="I61">
        <v>57</v>
      </c>
      <c r="J61">
        <v>173</v>
      </c>
      <c r="K61">
        <v>146.30000000000001</v>
      </c>
      <c r="L61">
        <v>-34.5</v>
      </c>
      <c r="M61">
        <v>561.20000000000005</v>
      </c>
      <c r="N61">
        <v>1207.8</v>
      </c>
      <c r="O61">
        <v>1429.1</v>
      </c>
      <c r="AM61">
        <v>57</v>
      </c>
      <c r="AN61">
        <v>25.9</v>
      </c>
      <c r="AO61">
        <f t="shared" si="2"/>
        <v>3.4533332469999998</v>
      </c>
      <c r="AP61">
        <v>-402.5</v>
      </c>
      <c r="AQ61">
        <f t="shared" si="3"/>
        <v>-53.666665324999997</v>
      </c>
      <c r="AR61">
        <v>168.5</v>
      </c>
      <c r="AS61">
        <f t="shared" si="4"/>
        <v>22.466666105000002</v>
      </c>
      <c r="AT61">
        <v>306.39999999999998</v>
      </c>
      <c r="AU61">
        <f t="shared" si="5"/>
        <v>40.853333231199997</v>
      </c>
      <c r="AV61">
        <v>831.4</v>
      </c>
      <c r="AW61">
        <f t="shared" si="6"/>
        <v>110.85330561999999</v>
      </c>
      <c r="AX61">
        <v>1383.5</v>
      </c>
      <c r="AY61">
        <f t="shared" si="7"/>
        <v>184.466662055</v>
      </c>
      <c r="BN61">
        <v>57</v>
      </c>
      <c r="BO61">
        <v>173</v>
      </c>
      <c r="BP61">
        <f t="shared" si="8"/>
        <v>23.066666089999998</v>
      </c>
      <c r="BQ61">
        <v>146.30000000000001</v>
      </c>
      <c r="BR61">
        <f t="shared" si="9"/>
        <v>19.506666179</v>
      </c>
      <c r="BS61">
        <v>-34.5</v>
      </c>
      <c r="BT61">
        <f t="shared" si="10"/>
        <v>-4.5999998849999999</v>
      </c>
      <c r="BU61">
        <v>561.20000000000005</v>
      </c>
      <c r="BV61">
        <f t="shared" si="11"/>
        <v>74.826664796000003</v>
      </c>
      <c r="BW61">
        <v>1207.8</v>
      </c>
      <c r="BX61">
        <f t="shared" si="12"/>
        <v>161.03999597399999</v>
      </c>
      <c r="BY61">
        <v>1429.1</v>
      </c>
      <c r="BZ61">
        <f t="shared" si="13"/>
        <v>190.546661903</v>
      </c>
    </row>
    <row r="62" spans="1:78" x14ac:dyDescent="0.35">
      <c r="A62">
        <v>58</v>
      </c>
      <c r="B62">
        <v>37.5</v>
      </c>
      <c r="C62">
        <v>-301.60000000000002</v>
      </c>
      <c r="D62">
        <v>134.30000000000001</v>
      </c>
      <c r="E62">
        <v>251.4</v>
      </c>
      <c r="F62">
        <v>354</v>
      </c>
      <c r="G62">
        <v>1355.3</v>
      </c>
      <c r="I62">
        <v>58</v>
      </c>
      <c r="J62">
        <v>151.5</v>
      </c>
      <c r="K62">
        <v>159.80000000000001</v>
      </c>
      <c r="L62">
        <v>-55.4</v>
      </c>
      <c r="M62">
        <v>528.6</v>
      </c>
      <c r="N62">
        <v>1174.2</v>
      </c>
      <c r="O62">
        <v>1478.6</v>
      </c>
      <c r="AM62">
        <v>58</v>
      </c>
      <c r="AN62">
        <v>37.5</v>
      </c>
      <c r="AO62">
        <f t="shared" si="2"/>
        <v>4.9999998750000003</v>
      </c>
      <c r="AP62">
        <v>-301.60000000000002</v>
      </c>
      <c r="AQ62">
        <f t="shared" si="3"/>
        <v>-40.213332328</v>
      </c>
      <c r="AR62">
        <v>134.30000000000001</v>
      </c>
      <c r="AS62">
        <f t="shared" si="4"/>
        <v>17.906666219000002</v>
      </c>
      <c r="AT62">
        <v>251.4</v>
      </c>
      <c r="AU62">
        <f t="shared" si="5"/>
        <v>33.5199999162</v>
      </c>
      <c r="AV62">
        <v>354</v>
      </c>
      <c r="AW62">
        <f t="shared" si="6"/>
        <v>47.199988199999993</v>
      </c>
      <c r="AX62">
        <v>1355.3</v>
      </c>
      <c r="AY62">
        <f t="shared" si="7"/>
        <v>180.70666214899998</v>
      </c>
      <c r="BN62">
        <v>58</v>
      </c>
      <c r="BO62">
        <v>151.5</v>
      </c>
      <c r="BP62">
        <f t="shared" si="8"/>
        <v>20.199999495</v>
      </c>
      <c r="BQ62">
        <v>159.80000000000001</v>
      </c>
      <c r="BR62">
        <f t="shared" si="9"/>
        <v>21.306666134</v>
      </c>
      <c r="BS62">
        <v>-55.4</v>
      </c>
      <c r="BT62">
        <f t="shared" si="10"/>
        <v>-7.3866664819999999</v>
      </c>
      <c r="BU62">
        <v>528.6</v>
      </c>
      <c r="BV62">
        <f t="shared" si="11"/>
        <v>70.479998238000007</v>
      </c>
      <c r="BW62">
        <v>1174.2</v>
      </c>
      <c r="BX62">
        <f t="shared" si="12"/>
        <v>156.55999608600001</v>
      </c>
      <c r="BY62">
        <v>1478.6</v>
      </c>
      <c r="BZ62">
        <f t="shared" si="13"/>
        <v>197.14666173799998</v>
      </c>
    </row>
    <row r="63" spans="1:78" x14ac:dyDescent="0.35">
      <c r="A63">
        <v>59</v>
      </c>
      <c r="B63">
        <v>55.7</v>
      </c>
      <c r="C63">
        <v>-214.9</v>
      </c>
      <c r="D63">
        <v>101.4</v>
      </c>
      <c r="E63">
        <v>205.3</v>
      </c>
      <c r="F63">
        <v>19.100000000000001</v>
      </c>
      <c r="G63">
        <v>1262</v>
      </c>
      <c r="I63">
        <v>59</v>
      </c>
      <c r="J63">
        <v>132</v>
      </c>
      <c r="K63">
        <v>171.3</v>
      </c>
      <c r="L63">
        <v>-76.099999999999994</v>
      </c>
      <c r="M63">
        <v>495</v>
      </c>
      <c r="N63">
        <v>1143.3</v>
      </c>
      <c r="O63">
        <v>1475.8</v>
      </c>
      <c r="AM63">
        <v>59</v>
      </c>
      <c r="AN63">
        <v>55.7</v>
      </c>
      <c r="AO63">
        <f t="shared" si="2"/>
        <v>7.4266664810000007</v>
      </c>
      <c r="AP63">
        <v>-214.9</v>
      </c>
      <c r="AQ63">
        <f t="shared" si="3"/>
        <v>-28.653332617</v>
      </c>
      <c r="AR63">
        <v>101.4</v>
      </c>
      <c r="AS63">
        <f t="shared" si="4"/>
        <v>13.519999662</v>
      </c>
      <c r="AT63">
        <v>205.3</v>
      </c>
      <c r="AU63">
        <f t="shared" si="5"/>
        <v>27.373333264900001</v>
      </c>
      <c r="AV63">
        <v>19.100000000000001</v>
      </c>
      <c r="AW63">
        <f t="shared" si="6"/>
        <v>2.5466660299999999</v>
      </c>
      <c r="AX63">
        <v>1262</v>
      </c>
      <c r="AY63">
        <f t="shared" si="7"/>
        <v>168.26666245999999</v>
      </c>
      <c r="BN63">
        <v>59</v>
      </c>
      <c r="BO63">
        <v>132</v>
      </c>
      <c r="BP63">
        <f t="shared" si="8"/>
        <v>17.599999560000001</v>
      </c>
      <c r="BQ63">
        <v>171.3</v>
      </c>
      <c r="BR63">
        <f t="shared" si="9"/>
        <v>22.839999429000002</v>
      </c>
      <c r="BS63">
        <v>-76.099999999999994</v>
      </c>
      <c r="BT63">
        <f t="shared" si="10"/>
        <v>-10.146666412999998</v>
      </c>
      <c r="BU63">
        <v>495</v>
      </c>
      <c r="BV63">
        <f t="shared" si="11"/>
        <v>65.999998349999998</v>
      </c>
      <c r="BW63">
        <v>1143.3</v>
      </c>
      <c r="BX63">
        <f t="shared" si="12"/>
        <v>152.439996189</v>
      </c>
      <c r="BY63">
        <v>1475.8</v>
      </c>
      <c r="BZ63">
        <f t="shared" si="13"/>
        <v>196.77332841399999</v>
      </c>
    </row>
    <row r="64" spans="1:78" x14ac:dyDescent="0.35">
      <c r="A64">
        <v>60</v>
      </c>
      <c r="B64">
        <v>59.8</v>
      </c>
      <c r="C64">
        <v>-151.1</v>
      </c>
      <c r="D64">
        <v>67.8</v>
      </c>
      <c r="E64">
        <v>165.5</v>
      </c>
      <c r="F64">
        <v>0.5</v>
      </c>
      <c r="G64">
        <v>1178.8</v>
      </c>
      <c r="I64">
        <v>60</v>
      </c>
      <c r="J64">
        <v>114.1</v>
      </c>
      <c r="K64">
        <v>177.5</v>
      </c>
      <c r="L64">
        <v>-96.6</v>
      </c>
      <c r="M64">
        <v>465</v>
      </c>
      <c r="N64">
        <v>1114.9000000000001</v>
      </c>
      <c r="O64">
        <v>1408.7</v>
      </c>
      <c r="AM64">
        <v>60</v>
      </c>
      <c r="AN64">
        <v>59.8</v>
      </c>
      <c r="AO64">
        <f t="shared" si="2"/>
        <v>7.9733331339999998</v>
      </c>
      <c r="AP64">
        <v>-151.1</v>
      </c>
      <c r="AQ64">
        <f t="shared" si="3"/>
        <v>-20.146666162999999</v>
      </c>
      <c r="AR64">
        <v>67.8</v>
      </c>
      <c r="AS64">
        <f t="shared" si="4"/>
        <v>9.039999774</v>
      </c>
      <c r="AT64">
        <v>165.5</v>
      </c>
      <c r="AU64">
        <f t="shared" si="5"/>
        <v>22.066666611500001</v>
      </c>
      <c r="AV64">
        <v>0.5</v>
      </c>
      <c r="AW64">
        <f t="shared" si="6"/>
        <v>6.6666649999999994E-2</v>
      </c>
      <c r="AX64">
        <v>1178.8</v>
      </c>
      <c r="AY64">
        <f t="shared" si="7"/>
        <v>157.17332940399999</v>
      </c>
      <c r="BN64">
        <v>60</v>
      </c>
      <c r="BO64">
        <v>114.1</v>
      </c>
      <c r="BP64">
        <f t="shared" si="8"/>
        <v>15.213332953</v>
      </c>
      <c r="BQ64">
        <v>177.5</v>
      </c>
      <c r="BR64">
        <f t="shared" si="9"/>
        <v>23.666666074999998</v>
      </c>
      <c r="BS64">
        <v>-96.6</v>
      </c>
      <c r="BT64">
        <f t="shared" si="10"/>
        <v>-12.879999677999999</v>
      </c>
      <c r="BU64">
        <v>465</v>
      </c>
      <c r="BV64">
        <f t="shared" si="11"/>
        <v>61.99999845</v>
      </c>
      <c r="BW64">
        <v>1114.9000000000001</v>
      </c>
      <c r="BX64">
        <f t="shared" si="12"/>
        <v>148.65332961700003</v>
      </c>
      <c r="BY64">
        <v>1408.7</v>
      </c>
      <c r="BZ64">
        <f t="shared" si="13"/>
        <v>187.82666197099999</v>
      </c>
    </row>
    <row r="65" spans="1:78" x14ac:dyDescent="0.35">
      <c r="A65">
        <v>61</v>
      </c>
      <c r="B65">
        <v>73.900000000000006</v>
      </c>
      <c r="C65">
        <v>-103.9</v>
      </c>
      <c r="D65">
        <v>32</v>
      </c>
      <c r="E65">
        <v>129.30000000000001</v>
      </c>
      <c r="F65">
        <v>0.5</v>
      </c>
      <c r="G65">
        <v>1110.5999999999999</v>
      </c>
      <c r="I65">
        <v>61</v>
      </c>
      <c r="J65">
        <v>97.9</v>
      </c>
      <c r="K65">
        <v>161.9</v>
      </c>
      <c r="L65">
        <v>-107.2</v>
      </c>
      <c r="M65">
        <v>491.7</v>
      </c>
      <c r="N65">
        <v>1088.8</v>
      </c>
      <c r="O65">
        <v>1348.6</v>
      </c>
      <c r="AM65">
        <v>61</v>
      </c>
      <c r="AN65">
        <v>73.900000000000006</v>
      </c>
      <c r="AO65">
        <f t="shared" si="2"/>
        <v>9.8533330870000011</v>
      </c>
      <c r="AP65">
        <v>-103.9</v>
      </c>
      <c r="AQ65">
        <f t="shared" si="3"/>
        <v>-13.853332987</v>
      </c>
      <c r="AR65">
        <v>32</v>
      </c>
      <c r="AS65">
        <f t="shared" si="4"/>
        <v>4.26666656</v>
      </c>
      <c r="AT65">
        <v>129.30000000000001</v>
      </c>
      <c r="AU65">
        <f t="shared" si="5"/>
        <v>17.2399999569</v>
      </c>
      <c r="AV65">
        <v>0.5</v>
      </c>
      <c r="AW65">
        <f t="shared" si="6"/>
        <v>6.6666649999999994E-2</v>
      </c>
      <c r="AX65">
        <v>1110.5999999999999</v>
      </c>
      <c r="AY65">
        <f t="shared" si="7"/>
        <v>148.079996298</v>
      </c>
      <c r="BN65">
        <v>61</v>
      </c>
      <c r="BO65">
        <v>97.9</v>
      </c>
      <c r="BP65">
        <f t="shared" si="8"/>
        <v>13.053333007000001</v>
      </c>
      <c r="BQ65">
        <v>161.9</v>
      </c>
      <c r="BR65">
        <f t="shared" si="9"/>
        <v>21.586666127000001</v>
      </c>
      <c r="BS65">
        <v>-107.2</v>
      </c>
      <c r="BT65">
        <f t="shared" si="10"/>
        <v>-14.293332976</v>
      </c>
      <c r="BU65">
        <v>491.7</v>
      </c>
      <c r="BV65">
        <f t="shared" si="11"/>
        <v>65.559998360999998</v>
      </c>
      <c r="BW65">
        <v>1088.8</v>
      </c>
      <c r="BX65">
        <f t="shared" si="12"/>
        <v>145.173329704</v>
      </c>
      <c r="BY65">
        <v>1348.6</v>
      </c>
      <c r="BZ65">
        <f t="shared" si="13"/>
        <v>179.81332883799999</v>
      </c>
    </row>
    <row r="66" spans="1:78" x14ac:dyDescent="0.35">
      <c r="A66">
        <v>62</v>
      </c>
      <c r="B66">
        <v>54.8</v>
      </c>
      <c r="C66">
        <v>-68.2</v>
      </c>
      <c r="D66">
        <v>-6.8</v>
      </c>
      <c r="E66">
        <v>95.7</v>
      </c>
      <c r="F66">
        <v>4.5999999999999996</v>
      </c>
      <c r="G66">
        <v>1052.4000000000001</v>
      </c>
      <c r="I66">
        <v>62</v>
      </c>
      <c r="J66">
        <v>83</v>
      </c>
      <c r="K66">
        <v>127.7</v>
      </c>
      <c r="L66">
        <v>-81.400000000000006</v>
      </c>
      <c r="M66">
        <v>634.4</v>
      </c>
      <c r="N66">
        <v>1068.0999999999999</v>
      </c>
      <c r="O66">
        <v>1298.7</v>
      </c>
      <c r="AM66">
        <v>62</v>
      </c>
      <c r="AN66">
        <v>54.8</v>
      </c>
      <c r="AO66">
        <f t="shared" si="2"/>
        <v>7.306666484</v>
      </c>
      <c r="AP66">
        <v>-68.2</v>
      </c>
      <c r="AQ66">
        <f t="shared" si="3"/>
        <v>-9.0933331060000011</v>
      </c>
      <c r="AR66">
        <v>-6.8</v>
      </c>
      <c r="AS66">
        <f t="shared" si="4"/>
        <v>-0.90666664399999997</v>
      </c>
      <c r="AT66">
        <v>95.7</v>
      </c>
      <c r="AU66">
        <f t="shared" si="5"/>
        <v>12.759999968100001</v>
      </c>
      <c r="AV66">
        <v>4.5999999999999996</v>
      </c>
      <c r="AW66">
        <f t="shared" si="6"/>
        <v>0.61333317999999992</v>
      </c>
      <c r="AX66">
        <v>1052.4000000000001</v>
      </c>
      <c r="AY66">
        <f t="shared" si="7"/>
        <v>140.319996492</v>
      </c>
      <c r="BN66">
        <v>62</v>
      </c>
      <c r="BO66">
        <v>83</v>
      </c>
      <c r="BP66">
        <f t="shared" si="8"/>
        <v>11.06666639</v>
      </c>
      <c r="BQ66">
        <v>127.7</v>
      </c>
      <c r="BR66">
        <f t="shared" si="9"/>
        <v>17.026666241000001</v>
      </c>
      <c r="BS66">
        <v>-81.400000000000006</v>
      </c>
      <c r="BT66">
        <f t="shared" si="10"/>
        <v>-10.853333062000001</v>
      </c>
      <c r="BU66">
        <v>634.4</v>
      </c>
      <c r="BV66">
        <f t="shared" si="11"/>
        <v>84.586664552000002</v>
      </c>
      <c r="BW66">
        <v>1068.0999999999999</v>
      </c>
      <c r="BX66">
        <f t="shared" si="12"/>
        <v>142.41332977299999</v>
      </c>
      <c r="BY66">
        <v>1298.7</v>
      </c>
      <c r="BZ66">
        <f t="shared" si="13"/>
        <v>173.15999567100002</v>
      </c>
    </row>
    <row r="67" spans="1:78" x14ac:dyDescent="0.35">
      <c r="A67">
        <v>63</v>
      </c>
      <c r="B67">
        <v>21.7</v>
      </c>
      <c r="C67">
        <v>-40.6</v>
      </c>
      <c r="D67">
        <v>-48.8</v>
      </c>
      <c r="E67">
        <v>63.1</v>
      </c>
      <c r="F67">
        <v>259.10000000000002</v>
      </c>
      <c r="G67">
        <v>1001.9</v>
      </c>
      <c r="I67">
        <v>63</v>
      </c>
      <c r="J67">
        <v>69.400000000000006</v>
      </c>
      <c r="K67">
        <v>92</v>
      </c>
      <c r="L67">
        <v>-36.200000000000003</v>
      </c>
      <c r="M67">
        <v>787.6</v>
      </c>
      <c r="N67">
        <v>1046.7</v>
      </c>
      <c r="O67">
        <v>1255</v>
      </c>
      <c r="AM67">
        <v>63</v>
      </c>
      <c r="AN67">
        <v>21.7</v>
      </c>
      <c r="AO67">
        <f t="shared" si="2"/>
        <v>2.893333261</v>
      </c>
      <c r="AP67">
        <v>-40.6</v>
      </c>
      <c r="AQ67">
        <f t="shared" si="3"/>
        <v>-5.4133331980000001</v>
      </c>
      <c r="AR67">
        <v>-48.8</v>
      </c>
      <c r="AS67">
        <f t="shared" si="4"/>
        <v>-6.506666504</v>
      </c>
      <c r="AT67">
        <v>63.1</v>
      </c>
      <c r="AU67">
        <f t="shared" si="5"/>
        <v>8.4133333123000007</v>
      </c>
      <c r="AV67">
        <v>259.10000000000002</v>
      </c>
      <c r="AW67">
        <f t="shared" si="6"/>
        <v>34.546658030000003</v>
      </c>
      <c r="AX67">
        <v>1001.9</v>
      </c>
      <c r="AY67">
        <f t="shared" si="7"/>
        <v>133.586663327</v>
      </c>
      <c r="BN67">
        <v>63</v>
      </c>
      <c r="BO67">
        <v>69.400000000000006</v>
      </c>
      <c r="BP67">
        <f t="shared" si="8"/>
        <v>9.2533331020000009</v>
      </c>
      <c r="BQ67">
        <v>92</v>
      </c>
      <c r="BR67">
        <f t="shared" si="9"/>
        <v>12.26666636</v>
      </c>
      <c r="BS67">
        <v>-36.200000000000003</v>
      </c>
      <c r="BT67">
        <f t="shared" si="10"/>
        <v>-4.8266665460000002</v>
      </c>
      <c r="BU67">
        <v>787.6</v>
      </c>
      <c r="BV67">
        <f t="shared" si="11"/>
        <v>105.013330708</v>
      </c>
      <c r="BW67">
        <v>1046.7</v>
      </c>
      <c r="BX67">
        <f t="shared" si="12"/>
        <v>139.55999651100001</v>
      </c>
      <c r="BY67">
        <v>1255</v>
      </c>
      <c r="BZ67">
        <f t="shared" si="13"/>
        <v>167.33332915</v>
      </c>
    </row>
    <row r="68" spans="1:78" x14ac:dyDescent="0.35">
      <c r="A68">
        <v>64</v>
      </c>
      <c r="B68">
        <v>-13.5</v>
      </c>
      <c r="C68">
        <v>-18.8</v>
      </c>
      <c r="D68">
        <v>-92.6</v>
      </c>
      <c r="E68">
        <v>30.8</v>
      </c>
      <c r="F68">
        <v>992.7</v>
      </c>
      <c r="G68">
        <v>957.3</v>
      </c>
      <c r="I68">
        <v>64</v>
      </c>
      <c r="J68">
        <v>63.8</v>
      </c>
      <c r="K68">
        <v>56.8</v>
      </c>
      <c r="L68">
        <v>1.1000000000000001</v>
      </c>
      <c r="M68">
        <v>881.6</v>
      </c>
      <c r="N68">
        <v>1023.9</v>
      </c>
      <c r="O68">
        <v>1215.8</v>
      </c>
      <c r="AM68">
        <v>64</v>
      </c>
      <c r="AN68">
        <v>-13.5</v>
      </c>
      <c r="AO68">
        <f t="shared" si="2"/>
        <v>-1.7999999550000001</v>
      </c>
      <c r="AP68">
        <v>-18.8</v>
      </c>
      <c r="AQ68">
        <f t="shared" si="3"/>
        <v>-2.5066666040000003</v>
      </c>
      <c r="AR68">
        <v>-92.6</v>
      </c>
      <c r="AS68">
        <f t="shared" si="4"/>
        <v>-12.346666357999998</v>
      </c>
      <c r="AT68">
        <v>30.8</v>
      </c>
      <c r="AU68">
        <f t="shared" si="5"/>
        <v>4.1066666563999998</v>
      </c>
      <c r="AV68">
        <v>992.7</v>
      </c>
      <c r="AW68">
        <f t="shared" si="6"/>
        <v>132.35996691</v>
      </c>
      <c r="AX68">
        <v>957.3</v>
      </c>
      <c r="AY68">
        <f t="shared" si="7"/>
        <v>127.639996809</v>
      </c>
      <c r="BN68">
        <v>64</v>
      </c>
      <c r="BO68">
        <v>63.8</v>
      </c>
      <c r="BP68">
        <f t="shared" si="8"/>
        <v>8.5066664539999994</v>
      </c>
      <c r="BQ68">
        <v>56.8</v>
      </c>
      <c r="BR68">
        <f t="shared" si="9"/>
        <v>7.5733331439999994</v>
      </c>
      <c r="BS68">
        <v>1.1000000000000001</v>
      </c>
      <c r="BT68">
        <f t="shared" si="10"/>
        <v>0.146666663</v>
      </c>
      <c r="BU68">
        <v>881.6</v>
      </c>
      <c r="BV68">
        <f t="shared" si="11"/>
        <v>117.546663728</v>
      </c>
      <c r="BW68">
        <v>1023.9</v>
      </c>
      <c r="BX68">
        <f t="shared" si="12"/>
        <v>136.51999658700001</v>
      </c>
      <c r="BY68">
        <v>1215.8</v>
      </c>
      <c r="BZ68">
        <f t="shared" si="13"/>
        <v>162.10666261399999</v>
      </c>
    </row>
    <row r="69" spans="1:78" x14ac:dyDescent="0.35">
      <c r="A69">
        <v>65</v>
      </c>
      <c r="B69">
        <v>-44.3</v>
      </c>
      <c r="C69">
        <v>-1.4</v>
      </c>
      <c r="D69">
        <v>-134.9</v>
      </c>
      <c r="E69">
        <v>-1.8</v>
      </c>
      <c r="F69">
        <v>1247.9000000000001</v>
      </c>
      <c r="G69">
        <v>917</v>
      </c>
      <c r="I69">
        <v>65</v>
      </c>
      <c r="J69">
        <v>78.5</v>
      </c>
      <c r="K69">
        <v>21.4</v>
      </c>
      <c r="L69">
        <v>31.2</v>
      </c>
      <c r="M69">
        <v>940.3</v>
      </c>
      <c r="N69">
        <v>1002.7</v>
      </c>
      <c r="O69">
        <v>1180.7</v>
      </c>
      <c r="AM69">
        <v>65</v>
      </c>
      <c r="AN69">
        <v>-44.3</v>
      </c>
      <c r="AO69">
        <f t="shared" ref="AO69:AO132" si="14">AN69*0.13333333</f>
        <v>-5.9066665189999998</v>
      </c>
      <c r="AP69">
        <v>-1.4</v>
      </c>
      <c r="AQ69">
        <f t="shared" ref="AQ69:AQ132" si="15">AP69*0.13333333</f>
        <v>-0.18666666199999998</v>
      </c>
      <c r="AR69">
        <v>-134.9</v>
      </c>
      <c r="AS69">
        <f t="shared" ref="AS69:AS132" si="16" xml:space="preserve"> AR69*0.13333333</f>
        <v>-17.986666217</v>
      </c>
      <c r="AT69">
        <v>-1.8</v>
      </c>
      <c r="AU69">
        <f t="shared" ref="AU69:AU132" si="17">AT69*0.133333333</f>
        <v>-0.2399999994</v>
      </c>
      <c r="AV69">
        <v>1247.9000000000001</v>
      </c>
      <c r="AW69">
        <f t="shared" ref="AW69:AW132" si="18">AV69*0.1333333</f>
        <v>166.38662507000001</v>
      </c>
      <c r="AX69">
        <v>917</v>
      </c>
      <c r="AY69">
        <f t="shared" ref="AY69:AY132" si="19">AX69*0.13333333</f>
        <v>122.26666360999999</v>
      </c>
      <c r="BN69">
        <v>65</v>
      </c>
      <c r="BO69">
        <v>78.5</v>
      </c>
      <c r="BP69">
        <f t="shared" ref="BP69:BP132" si="20">BO69*0.13333333</f>
        <v>10.466666405</v>
      </c>
      <c r="BQ69">
        <v>21.4</v>
      </c>
      <c r="BR69">
        <f t="shared" ref="BR69:BR132" si="21">BQ69*0.13333333</f>
        <v>2.8533332619999996</v>
      </c>
      <c r="BS69">
        <v>31.2</v>
      </c>
      <c r="BT69">
        <f t="shared" ref="BT69:BT132" si="22">BS69*0.13333333</f>
        <v>4.1599998959999995</v>
      </c>
      <c r="BU69">
        <v>940.3</v>
      </c>
      <c r="BV69">
        <f t="shared" ref="BV69:BV132" si="23">BU69*0.13333333</f>
        <v>125.37333019899999</v>
      </c>
      <c r="BW69">
        <v>1002.7</v>
      </c>
      <c r="BX69">
        <f t="shared" ref="BX69:BX132" si="24">BW69*0.13333333</f>
        <v>133.69332999100001</v>
      </c>
      <c r="BY69">
        <v>1180.7</v>
      </c>
      <c r="BZ69">
        <f t="shared" ref="BZ69:BZ132" si="25">BY69*0.13333333</f>
        <v>157.42666273099999</v>
      </c>
    </row>
    <row r="70" spans="1:78" x14ac:dyDescent="0.35">
      <c r="A70">
        <v>66</v>
      </c>
      <c r="B70">
        <v>-70.599999999999994</v>
      </c>
      <c r="C70">
        <v>12.5</v>
      </c>
      <c r="D70">
        <v>-143.30000000000001</v>
      </c>
      <c r="E70">
        <v>-35.1</v>
      </c>
      <c r="F70">
        <v>1280</v>
      </c>
      <c r="G70">
        <v>879.8</v>
      </c>
      <c r="I70">
        <v>66</v>
      </c>
      <c r="J70">
        <v>109.6</v>
      </c>
      <c r="K70">
        <v>-14.4</v>
      </c>
      <c r="L70">
        <v>57.4</v>
      </c>
      <c r="M70">
        <v>982.7</v>
      </c>
      <c r="N70">
        <v>982.5</v>
      </c>
      <c r="O70">
        <v>1148.5999999999999</v>
      </c>
      <c r="AM70">
        <v>66</v>
      </c>
      <c r="AN70">
        <v>-70.599999999999994</v>
      </c>
      <c r="AO70">
        <f t="shared" si="14"/>
        <v>-9.413333097999999</v>
      </c>
      <c r="AP70">
        <v>12.5</v>
      </c>
      <c r="AQ70">
        <f t="shared" si="15"/>
        <v>1.666666625</v>
      </c>
      <c r="AR70">
        <v>-143.30000000000001</v>
      </c>
      <c r="AS70">
        <f t="shared" si="16"/>
        <v>-19.106666189000002</v>
      </c>
      <c r="AT70">
        <v>-35.1</v>
      </c>
      <c r="AU70">
        <f t="shared" si="17"/>
        <v>-4.6799999883000005</v>
      </c>
      <c r="AV70">
        <v>1280</v>
      </c>
      <c r="AW70">
        <f t="shared" si="18"/>
        <v>170.66662399999998</v>
      </c>
      <c r="AX70">
        <v>879.8</v>
      </c>
      <c r="AY70">
        <f t="shared" si="19"/>
        <v>117.306663734</v>
      </c>
      <c r="BN70">
        <v>66</v>
      </c>
      <c r="BO70">
        <v>109.6</v>
      </c>
      <c r="BP70">
        <f t="shared" si="20"/>
        <v>14.613332968</v>
      </c>
      <c r="BQ70">
        <v>-14.4</v>
      </c>
      <c r="BR70">
        <f t="shared" si="21"/>
        <v>-1.919999952</v>
      </c>
      <c r="BS70">
        <v>57.4</v>
      </c>
      <c r="BT70">
        <f t="shared" si="22"/>
        <v>7.6533331420000001</v>
      </c>
      <c r="BU70">
        <v>982.7</v>
      </c>
      <c r="BV70">
        <f t="shared" si="23"/>
        <v>131.026663391</v>
      </c>
      <c r="BW70">
        <v>982.5</v>
      </c>
      <c r="BX70">
        <f t="shared" si="24"/>
        <v>130.99999672499999</v>
      </c>
      <c r="BY70">
        <v>1148.5999999999999</v>
      </c>
      <c r="BZ70">
        <f t="shared" si="25"/>
        <v>153.146662838</v>
      </c>
    </row>
    <row r="71" spans="1:78" x14ac:dyDescent="0.35">
      <c r="A71">
        <v>67</v>
      </c>
      <c r="B71">
        <v>-93.1</v>
      </c>
      <c r="C71">
        <v>23.3</v>
      </c>
      <c r="D71">
        <v>-64.400000000000006</v>
      </c>
      <c r="E71">
        <v>-70.3</v>
      </c>
      <c r="F71">
        <v>1275.5999999999999</v>
      </c>
      <c r="G71">
        <v>844.5</v>
      </c>
      <c r="I71">
        <v>67</v>
      </c>
      <c r="J71">
        <v>146.1</v>
      </c>
      <c r="K71">
        <v>-50.6</v>
      </c>
      <c r="L71">
        <v>81.2</v>
      </c>
      <c r="M71">
        <v>1018.4</v>
      </c>
      <c r="N71">
        <v>963.3</v>
      </c>
      <c r="O71">
        <v>1119.0999999999999</v>
      </c>
      <c r="AM71">
        <v>67</v>
      </c>
      <c r="AN71">
        <v>-93.1</v>
      </c>
      <c r="AO71">
        <f t="shared" si="14"/>
        <v>-12.413333023</v>
      </c>
      <c r="AP71">
        <v>23.3</v>
      </c>
      <c r="AQ71">
        <f t="shared" si="15"/>
        <v>3.106666589</v>
      </c>
      <c r="AR71">
        <v>-64.400000000000006</v>
      </c>
      <c r="AS71">
        <f t="shared" si="16"/>
        <v>-8.5866664520000011</v>
      </c>
      <c r="AT71">
        <v>-70.3</v>
      </c>
      <c r="AU71">
        <f t="shared" si="17"/>
        <v>-9.3733333098999996</v>
      </c>
      <c r="AV71">
        <v>1275.5999999999999</v>
      </c>
      <c r="AW71">
        <f t="shared" si="18"/>
        <v>170.07995747999996</v>
      </c>
      <c r="AX71">
        <v>844.5</v>
      </c>
      <c r="AY71">
        <f t="shared" si="19"/>
        <v>112.59999718500001</v>
      </c>
      <c r="BN71">
        <v>67</v>
      </c>
      <c r="BO71">
        <v>146.1</v>
      </c>
      <c r="BP71">
        <f t="shared" si="20"/>
        <v>19.479999512999999</v>
      </c>
      <c r="BQ71">
        <v>-50.6</v>
      </c>
      <c r="BR71">
        <f t="shared" si="21"/>
        <v>-6.7466664980000006</v>
      </c>
      <c r="BS71">
        <v>81.2</v>
      </c>
      <c r="BT71">
        <f t="shared" si="22"/>
        <v>10.826666396</v>
      </c>
      <c r="BU71">
        <v>1018.4</v>
      </c>
      <c r="BV71">
        <f t="shared" si="23"/>
        <v>135.786663272</v>
      </c>
      <c r="BW71">
        <v>963.3</v>
      </c>
      <c r="BX71">
        <f t="shared" si="24"/>
        <v>128.43999678899999</v>
      </c>
      <c r="BY71">
        <v>1119.0999999999999</v>
      </c>
      <c r="BZ71">
        <f t="shared" si="25"/>
        <v>149.21332960299998</v>
      </c>
    </row>
    <row r="72" spans="1:78" x14ac:dyDescent="0.35">
      <c r="A72">
        <v>68</v>
      </c>
      <c r="B72">
        <v>-112.4</v>
      </c>
      <c r="C72">
        <v>31.3</v>
      </c>
      <c r="D72">
        <v>37.200000000000003</v>
      </c>
      <c r="E72">
        <v>-95</v>
      </c>
      <c r="F72">
        <v>1203.7</v>
      </c>
      <c r="G72">
        <v>810.6</v>
      </c>
      <c r="I72">
        <v>68</v>
      </c>
      <c r="J72">
        <v>175.6</v>
      </c>
      <c r="K72">
        <v>-86.7</v>
      </c>
      <c r="L72">
        <v>103.1</v>
      </c>
      <c r="M72">
        <v>1051.5</v>
      </c>
      <c r="N72">
        <v>945.1</v>
      </c>
      <c r="O72">
        <v>1092.3</v>
      </c>
      <c r="AM72">
        <v>68</v>
      </c>
      <c r="AN72">
        <v>-112.4</v>
      </c>
      <c r="AO72">
        <f t="shared" si="14"/>
        <v>-14.986666292000001</v>
      </c>
      <c r="AP72">
        <v>31.3</v>
      </c>
      <c r="AQ72">
        <f t="shared" si="15"/>
        <v>4.1733332289999998</v>
      </c>
      <c r="AR72">
        <v>37.200000000000003</v>
      </c>
      <c r="AS72">
        <f t="shared" si="16"/>
        <v>4.9599998760000004</v>
      </c>
      <c r="AT72">
        <v>-95</v>
      </c>
      <c r="AU72">
        <f t="shared" si="17"/>
        <v>-12.666666635</v>
      </c>
      <c r="AV72">
        <v>1203.7</v>
      </c>
      <c r="AW72">
        <f t="shared" si="18"/>
        <v>160.49329320999999</v>
      </c>
      <c r="AX72">
        <v>810.6</v>
      </c>
      <c r="AY72">
        <f t="shared" si="19"/>
        <v>108.07999729800001</v>
      </c>
      <c r="BN72">
        <v>68</v>
      </c>
      <c r="BO72">
        <v>175.6</v>
      </c>
      <c r="BP72">
        <f t="shared" si="20"/>
        <v>23.413332747999998</v>
      </c>
      <c r="BQ72">
        <v>-86.7</v>
      </c>
      <c r="BR72">
        <f t="shared" si="21"/>
        <v>-11.559999711</v>
      </c>
      <c r="BS72">
        <v>103.1</v>
      </c>
      <c r="BT72">
        <f t="shared" si="22"/>
        <v>13.746666322999999</v>
      </c>
      <c r="BU72">
        <v>1051.5</v>
      </c>
      <c r="BV72">
        <f t="shared" si="23"/>
        <v>140.19999649499999</v>
      </c>
      <c r="BW72">
        <v>945.1</v>
      </c>
      <c r="BX72">
        <f t="shared" si="24"/>
        <v>126.01333018300001</v>
      </c>
      <c r="BY72">
        <v>1092.3</v>
      </c>
      <c r="BZ72">
        <f t="shared" si="25"/>
        <v>145.63999635899998</v>
      </c>
    </row>
    <row r="73" spans="1:78" x14ac:dyDescent="0.35">
      <c r="A73">
        <v>69</v>
      </c>
      <c r="B73">
        <v>-129.1</v>
      </c>
      <c r="C73">
        <v>25.1</v>
      </c>
      <c r="D73">
        <v>106.7</v>
      </c>
      <c r="E73">
        <v>-44.7</v>
      </c>
      <c r="F73">
        <v>1128.2</v>
      </c>
      <c r="G73">
        <v>788.4</v>
      </c>
      <c r="I73">
        <v>69</v>
      </c>
      <c r="J73">
        <v>197.2</v>
      </c>
      <c r="K73">
        <v>-122.7</v>
      </c>
      <c r="L73">
        <v>123.5</v>
      </c>
      <c r="M73">
        <v>1082.9000000000001</v>
      </c>
      <c r="N73">
        <v>927.5</v>
      </c>
      <c r="O73">
        <v>1067.8</v>
      </c>
      <c r="AM73">
        <v>69</v>
      </c>
      <c r="AN73">
        <v>-129.1</v>
      </c>
      <c r="AO73">
        <f t="shared" si="14"/>
        <v>-17.213332902999998</v>
      </c>
      <c r="AP73">
        <v>25.1</v>
      </c>
      <c r="AQ73">
        <f t="shared" si="15"/>
        <v>3.3466665830000002</v>
      </c>
      <c r="AR73">
        <v>106.7</v>
      </c>
      <c r="AS73">
        <f t="shared" si="16"/>
        <v>14.226666311000001</v>
      </c>
      <c r="AT73">
        <v>-44.7</v>
      </c>
      <c r="AU73">
        <f t="shared" si="17"/>
        <v>-5.9599999851000005</v>
      </c>
      <c r="AV73">
        <v>1128.2</v>
      </c>
      <c r="AW73">
        <f t="shared" si="18"/>
        <v>150.42662905999998</v>
      </c>
      <c r="AX73">
        <v>788.4</v>
      </c>
      <c r="AY73">
        <f t="shared" si="19"/>
        <v>105.119997372</v>
      </c>
      <c r="BN73">
        <v>69</v>
      </c>
      <c r="BO73">
        <v>197.2</v>
      </c>
      <c r="BP73">
        <f t="shared" si="20"/>
        <v>26.293332675999999</v>
      </c>
      <c r="BQ73">
        <v>-122.7</v>
      </c>
      <c r="BR73">
        <f t="shared" si="21"/>
        <v>-16.359999591000001</v>
      </c>
      <c r="BS73">
        <v>123.5</v>
      </c>
      <c r="BT73">
        <f t="shared" si="22"/>
        <v>16.466666255</v>
      </c>
      <c r="BU73">
        <v>1082.9000000000001</v>
      </c>
      <c r="BV73">
        <f t="shared" si="23"/>
        <v>144.38666305700002</v>
      </c>
      <c r="BW73">
        <v>927.5</v>
      </c>
      <c r="BX73">
        <f t="shared" si="24"/>
        <v>123.666663575</v>
      </c>
      <c r="BY73">
        <v>1067.8</v>
      </c>
      <c r="BZ73">
        <f t="shared" si="25"/>
        <v>142.37332977399998</v>
      </c>
    </row>
    <row r="74" spans="1:78" x14ac:dyDescent="0.35">
      <c r="A74">
        <v>70</v>
      </c>
      <c r="B74">
        <v>-143.6</v>
      </c>
      <c r="C74">
        <v>-13.5</v>
      </c>
      <c r="D74">
        <v>152.69999999999999</v>
      </c>
      <c r="E74">
        <v>50.8</v>
      </c>
      <c r="F74">
        <v>1066.4000000000001</v>
      </c>
      <c r="G74">
        <v>814.7</v>
      </c>
      <c r="I74">
        <v>70</v>
      </c>
      <c r="J74">
        <v>219.6</v>
      </c>
      <c r="K74">
        <v>-158.1</v>
      </c>
      <c r="L74">
        <v>142.69999999999999</v>
      </c>
      <c r="M74">
        <v>1113.5</v>
      </c>
      <c r="N74">
        <v>910.3</v>
      </c>
      <c r="O74">
        <v>1050.8</v>
      </c>
      <c r="R74" t="s">
        <v>20</v>
      </c>
      <c r="S74" t="s">
        <v>19</v>
      </c>
      <c r="T74" t="s">
        <v>21</v>
      </c>
      <c r="U74" t="s">
        <v>22</v>
      </c>
      <c r="V74" t="s">
        <v>23</v>
      </c>
      <c r="W74" t="s">
        <v>24</v>
      </c>
      <c r="AM74">
        <v>70</v>
      </c>
      <c r="AN74">
        <v>-143.6</v>
      </c>
      <c r="AO74">
        <f t="shared" si="14"/>
        <v>-19.146666187999998</v>
      </c>
      <c r="AP74">
        <v>-13.5</v>
      </c>
      <c r="AQ74">
        <f t="shared" si="15"/>
        <v>-1.7999999550000001</v>
      </c>
      <c r="AR74">
        <v>152.69999999999999</v>
      </c>
      <c r="AS74">
        <f t="shared" si="16"/>
        <v>20.359999491</v>
      </c>
      <c r="AT74">
        <v>50.8</v>
      </c>
      <c r="AU74">
        <f t="shared" si="17"/>
        <v>6.7733333163999996</v>
      </c>
      <c r="AV74">
        <v>1066.4000000000001</v>
      </c>
      <c r="AW74">
        <f t="shared" si="18"/>
        <v>142.18663111999999</v>
      </c>
      <c r="AX74">
        <v>814.7</v>
      </c>
      <c r="AY74">
        <f t="shared" si="19"/>
        <v>108.62666395100001</v>
      </c>
      <c r="BN74">
        <v>70</v>
      </c>
      <c r="BO74">
        <v>219.6</v>
      </c>
      <c r="BP74">
        <f t="shared" si="20"/>
        <v>29.279999268000001</v>
      </c>
      <c r="BQ74">
        <v>-158.1</v>
      </c>
      <c r="BR74">
        <f t="shared" si="21"/>
        <v>-21.079999473000001</v>
      </c>
      <c r="BS74">
        <v>142.69999999999999</v>
      </c>
      <c r="BT74">
        <f t="shared" si="22"/>
        <v>19.026666190999997</v>
      </c>
      <c r="BU74">
        <v>1113.5</v>
      </c>
      <c r="BV74">
        <f t="shared" si="23"/>
        <v>148.466662955</v>
      </c>
      <c r="BW74">
        <v>910.3</v>
      </c>
      <c r="BX74">
        <f t="shared" si="24"/>
        <v>121.37333029899999</v>
      </c>
      <c r="BY74">
        <v>1050.8</v>
      </c>
      <c r="BZ74">
        <f t="shared" si="25"/>
        <v>140.106663164</v>
      </c>
    </row>
    <row r="75" spans="1:78" x14ac:dyDescent="0.35">
      <c r="A75">
        <v>71</v>
      </c>
      <c r="B75">
        <v>-156.19999999999999</v>
      </c>
      <c r="C75">
        <v>-65.099999999999994</v>
      </c>
      <c r="D75">
        <v>184.7</v>
      </c>
      <c r="E75">
        <v>116.2</v>
      </c>
      <c r="F75">
        <v>1013.8</v>
      </c>
      <c r="G75">
        <v>884.3</v>
      </c>
      <c r="I75">
        <v>71</v>
      </c>
      <c r="J75">
        <v>231.9</v>
      </c>
      <c r="K75">
        <v>-192.2</v>
      </c>
      <c r="L75">
        <v>160.9</v>
      </c>
      <c r="M75">
        <v>1143.2</v>
      </c>
      <c r="N75">
        <v>893.6</v>
      </c>
      <c r="O75">
        <v>1063.9000000000001</v>
      </c>
      <c r="R75" s="2">
        <f>LARGE(AO:AO,ROWS(R$75:R75))</f>
        <v>10.919999727</v>
      </c>
      <c r="S75" s="2">
        <f>LARGE(AQ:AQ,ROWS(S$75:S75))</f>
        <v>5.1466665379999998</v>
      </c>
      <c r="T75" s="2">
        <f>LARGE(AS:AS,ROWS(T$75:T75))</f>
        <v>40.733332314999998</v>
      </c>
      <c r="U75" s="2">
        <f>LARGE(AU:AU,ROWS(U$75:U75))</f>
        <v>49.426666543099998</v>
      </c>
      <c r="V75" s="2">
        <f>LARGE(AW:AW,ROWS(V$75:V75))</f>
        <v>172.43995688999999</v>
      </c>
      <c r="W75" s="2">
        <f>LARGE(AY:AY,ROWS(W$75:W75))</f>
        <v>188.83999527899999</v>
      </c>
      <c r="AM75">
        <v>71</v>
      </c>
      <c r="AN75">
        <v>-156.19999999999999</v>
      </c>
      <c r="AO75">
        <f t="shared" si="14"/>
        <v>-20.826666145999997</v>
      </c>
      <c r="AP75">
        <v>-65.099999999999994</v>
      </c>
      <c r="AQ75">
        <f t="shared" si="15"/>
        <v>-8.6799997829999995</v>
      </c>
      <c r="AR75">
        <v>184.7</v>
      </c>
      <c r="AS75">
        <f t="shared" si="16"/>
        <v>24.626666050999997</v>
      </c>
      <c r="AT75">
        <v>116.2</v>
      </c>
      <c r="AU75">
        <f t="shared" si="17"/>
        <v>15.493333294599999</v>
      </c>
      <c r="AV75">
        <v>1013.8</v>
      </c>
      <c r="AW75">
        <f t="shared" si="18"/>
        <v>135.17329953999999</v>
      </c>
      <c r="AX75">
        <v>884.3</v>
      </c>
      <c r="AY75">
        <f t="shared" si="19"/>
        <v>117.90666371899999</v>
      </c>
      <c r="BN75">
        <v>71</v>
      </c>
      <c r="BO75">
        <v>231.9</v>
      </c>
      <c r="BP75">
        <f t="shared" si="20"/>
        <v>30.919999227000002</v>
      </c>
      <c r="BQ75">
        <v>-192.2</v>
      </c>
      <c r="BR75">
        <f t="shared" si="21"/>
        <v>-25.626666025999999</v>
      </c>
      <c r="BS75">
        <v>160.9</v>
      </c>
      <c r="BT75">
        <f t="shared" si="22"/>
        <v>21.453332797000002</v>
      </c>
      <c r="BU75">
        <v>1143.2</v>
      </c>
      <c r="BV75">
        <f t="shared" si="23"/>
        <v>152.42666285600001</v>
      </c>
      <c r="BW75">
        <v>893.6</v>
      </c>
      <c r="BX75">
        <f t="shared" si="24"/>
        <v>119.146663688</v>
      </c>
      <c r="BY75">
        <v>1063.9000000000001</v>
      </c>
      <c r="BZ75">
        <f t="shared" si="25"/>
        <v>141.85332978700001</v>
      </c>
    </row>
    <row r="76" spans="1:78" x14ac:dyDescent="0.35">
      <c r="A76">
        <v>72</v>
      </c>
      <c r="B76">
        <v>-167.4</v>
      </c>
      <c r="C76">
        <v>-115.2</v>
      </c>
      <c r="D76">
        <v>208.6</v>
      </c>
      <c r="E76">
        <v>160.5</v>
      </c>
      <c r="F76">
        <v>967.5</v>
      </c>
      <c r="G76">
        <v>961.4</v>
      </c>
      <c r="I76">
        <v>72</v>
      </c>
      <c r="J76">
        <v>248.6</v>
      </c>
      <c r="K76">
        <v>-210.9</v>
      </c>
      <c r="L76">
        <v>175.7</v>
      </c>
      <c r="M76">
        <v>1157.0999999999999</v>
      </c>
      <c r="N76">
        <v>877.8</v>
      </c>
      <c r="O76">
        <v>1113.4000000000001</v>
      </c>
      <c r="R76" s="2">
        <f>LARGE(AO:AO,ROWS(R$75:R76))</f>
        <v>10.479999738</v>
      </c>
      <c r="S76" s="2">
        <f>LARGE(AQ:AQ,ROWS(S$75:S76))</f>
        <v>4.5333332200000003</v>
      </c>
      <c r="T76" s="2">
        <f>LARGE(AS:AS,ROWS(T$75:T76))</f>
        <v>40.439998989000003</v>
      </c>
      <c r="U76" s="2">
        <f>LARGE(AU:AU,ROWS(U$75:U76))</f>
        <v>49.373333209900004</v>
      </c>
      <c r="V76" s="2">
        <f>LARGE(AW:AW,ROWS(V$75:V76))</f>
        <v>170.66662399999998</v>
      </c>
      <c r="W76" s="2">
        <f>LARGE(AY:AY,ROWS(W$75:W76))</f>
        <v>186.093328681</v>
      </c>
      <c r="AM76">
        <v>72</v>
      </c>
      <c r="AN76">
        <v>-167.4</v>
      </c>
      <c r="AO76">
        <f t="shared" si="14"/>
        <v>-22.319999442</v>
      </c>
      <c r="AP76">
        <v>-115.2</v>
      </c>
      <c r="AQ76">
        <f t="shared" si="15"/>
        <v>-15.359999616</v>
      </c>
      <c r="AR76">
        <v>208.6</v>
      </c>
      <c r="AS76">
        <f t="shared" si="16"/>
        <v>27.813332637999999</v>
      </c>
      <c r="AT76">
        <v>160.5</v>
      </c>
      <c r="AU76">
        <f t="shared" si="17"/>
        <v>21.399999946499999</v>
      </c>
      <c r="AV76">
        <v>967.5</v>
      </c>
      <c r="AW76">
        <f t="shared" si="18"/>
        <v>128.99996775</v>
      </c>
      <c r="AX76">
        <v>961.4</v>
      </c>
      <c r="AY76">
        <f t="shared" si="19"/>
        <v>128.18666346199998</v>
      </c>
      <c r="BN76">
        <v>72</v>
      </c>
      <c r="BO76">
        <v>248.6</v>
      </c>
      <c r="BP76">
        <f t="shared" si="20"/>
        <v>33.146665837999997</v>
      </c>
      <c r="BQ76">
        <v>-210.9</v>
      </c>
      <c r="BR76">
        <f t="shared" si="21"/>
        <v>-28.119999297</v>
      </c>
      <c r="BS76">
        <v>175.7</v>
      </c>
      <c r="BT76">
        <f t="shared" si="22"/>
        <v>23.426666080999997</v>
      </c>
      <c r="BU76">
        <v>1157.0999999999999</v>
      </c>
      <c r="BV76">
        <f t="shared" si="23"/>
        <v>154.27999614299998</v>
      </c>
      <c r="BW76">
        <v>877.8</v>
      </c>
      <c r="BX76">
        <f t="shared" si="24"/>
        <v>117.039997074</v>
      </c>
      <c r="BY76">
        <v>1113.4000000000001</v>
      </c>
      <c r="BZ76">
        <f t="shared" si="25"/>
        <v>148.45332962200001</v>
      </c>
    </row>
    <row r="77" spans="1:78" x14ac:dyDescent="0.35">
      <c r="A77">
        <v>73</v>
      </c>
      <c r="B77">
        <v>-174.9</v>
      </c>
      <c r="C77">
        <v>-163.80000000000001</v>
      </c>
      <c r="D77">
        <v>227.8</v>
      </c>
      <c r="E77">
        <v>195</v>
      </c>
      <c r="F77">
        <v>925.9</v>
      </c>
      <c r="G77">
        <v>1033.2</v>
      </c>
      <c r="I77">
        <v>73</v>
      </c>
      <c r="J77">
        <v>256.39999999999998</v>
      </c>
      <c r="K77">
        <v>-170.3</v>
      </c>
      <c r="L77">
        <v>165</v>
      </c>
      <c r="M77">
        <v>1119.3</v>
      </c>
      <c r="N77">
        <v>862.7</v>
      </c>
      <c r="O77">
        <v>1181.4000000000001</v>
      </c>
      <c r="R77" s="2">
        <f>LARGE(AO:AO,ROWS(R$75:R77))</f>
        <v>10.319999742</v>
      </c>
      <c r="S77" s="2">
        <f>LARGE(AQ:AQ,ROWS(S$75:S77))</f>
        <v>4.4533332219999995</v>
      </c>
      <c r="T77" s="2">
        <f>LARGE(AS:AS,ROWS(T$75:T77))</f>
        <v>39.773332339</v>
      </c>
      <c r="U77" s="2">
        <f>LARGE(AU:AU,ROWS(U$75:U77))</f>
        <v>49.239999876900001</v>
      </c>
      <c r="V77" s="2">
        <f>LARGE(AW:AW,ROWS(V$75:V77))</f>
        <v>170.07995747999996</v>
      </c>
      <c r="W77" s="2">
        <f>LARGE(AY:AY,ROWS(W$75:W77))</f>
        <v>184.733328715</v>
      </c>
      <c r="AM77">
        <v>73</v>
      </c>
      <c r="AN77">
        <v>-174.9</v>
      </c>
      <c r="AO77">
        <f t="shared" si="14"/>
        <v>-23.319999417000002</v>
      </c>
      <c r="AP77">
        <v>-163.80000000000001</v>
      </c>
      <c r="AQ77">
        <f t="shared" si="15"/>
        <v>-21.839999454000001</v>
      </c>
      <c r="AR77">
        <v>227.8</v>
      </c>
      <c r="AS77">
        <f t="shared" si="16"/>
        <v>30.373332574000003</v>
      </c>
      <c r="AT77">
        <v>195</v>
      </c>
      <c r="AU77">
        <f t="shared" si="17"/>
        <v>25.999999934999998</v>
      </c>
      <c r="AV77">
        <v>925.9</v>
      </c>
      <c r="AW77">
        <f t="shared" si="18"/>
        <v>123.45330246999998</v>
      </c>
      <c r="AX77">
        <v>1033.2</v>
      </c>
      <c r="AY77">
        <f t="shared" si="19"/>
        <v>137.759996556</v>
      </c>
      <c r="BN77">
        <v>73</v>
      </c>
      <c r="BO77">
        <v>256.39999999999998</v>
      </c>
      <c r="BP77">
        <f t="shared" si="20"/>
        <v>34.186665811999994</v>
      </c>
      <c r="BQ77">
        <v>-170.3</v>
      </c>
      <c r="BR77">
        <f t="shared" si="21"/>
        <v>-22.706666099000003</v>
      </c>
      <c r="BS77">
        <v>165</v>
      </c>
      <c r="BT77">
        <f t="shared" si="22"/>
        <v>21.999999450000001</v>
      </c>
      <c r="BU77">
        <v>1119.3</v>
      </c>
      <c r="BV77">
        <f t="shared" si="23"/>
        <v>149.23999626899999</v>
      </c>
      <c r="BW77">
        <v>862.7</v>
      </c>
      <c r="BX77">
        <f t="shared" si="24"/>
        <v>115.026663791</v>
      </c>
      <c r="BY77">
        <v>1181.4000000000001</v>
      </c>
      <c r="BZ77">
        <f t="shared" si="25"/>
        <v>157.51999606200002</v>
      </c>
    </row>
    <row r="78" spans="1:78" x14ac:dyDescent="0.35">
      <c r="A78">
        <v>74</v>
      </c>
      <c r="B78">
        <v>-154.80000000000001</v>
      </c>
      <c r="C78">
        <v>-211.1</v>
      </c>
      <c r="D78">
        <v>244</v>
      </c>
      <c r="E78">
        <v>224.5</v>
      </c>
      <c r="F78">
        <v>887.6</v>
      </c>
      <c r="G78">
        <v>1096.0999999999999</v>
      </c>
      <c r="I78">
        <v>74</v>
      </c>
      <c r="J78">
        <v>267.39999999999998</v>
      </c>
      <c r="K78">
        <v>-94.6</v>
      </c>
      <c r="L78">
        <v>129.9</v>
      </c>
      <c r="M78">
        <v>1073</v>
      </c>
      <c r="N78">
        <v>847.9</v>
      </c>
      <c r="O78">
        <v>1250.0999999999999</v>
      </c>
      <c r="R78" s="2">
        <f>LARGE(AO:AO,ROWS(R$75:R78))</f>
        <v>9.8533330870000011</v>
      </c>
      <c r="S78" s="2">
        <f>LARGE(AQ:AQ,ROWS(S$75:S78))</f>
        <v>4.1733332289999998</v>
      </c>
      <c r="T78" s="2">
        <f>LARGE(AS:AS,ROWS(T$75:T78))</f>
        <v>39.666665674999997</v>
      </c>
      <c r="U78" s="2">
        <f>LARGE(AU:AU,ROWS(U$75:U78))</f>
        <v>48.986666544199998</v>
      </c>
      <c r="V78" s="2">
        <f>LARGE(AW:AW,ROWS(V$75:V78))</f>
        <v>169.33329099999997</v>
      </c>
      <c r="W78" s="2">
        <f>LARGE(AY:AY,ROWS(W$75:W78))</f>
        <v>184.47999538799999</v>
      </c>
      <c r="AM78">
        <v>74</v>
      </c>
      <c r="AN78">
        <v>-154.80000000000001</v>
      </c>
      <c r="AO78">
        <f t="shared" si="14"/>
        <v>-20.639999484000001</v>
      </c>
      <c r="AP78">
        <v>-211.1</v>
      </c>
      <c r="AQ78">
        <f t="shared" si="15"/>
        <v>-28.146665963</v>
      </c>
      <c r="AR78">
        <v>244</v>
      </c>
      <c r="AS78">
        <f t="shared" si="16"/>
        <v>32.533332520000002</v>
      </c>
      <c r="AT78">
        <v>224.5</v>
      </c>
      <c r="AU78">
        <f t="shared" si="17"/>
        <v>29.933333258499999</v>
      </c>
      <c r="AV78">
        <v>887.6</v>
      </c>
      <c r="AW78">
        <f t="shared" si="18"/>
        <v>118.34663707999999</v>
      </c>
      <c r="AX78">
        <v>1096.0999999999999</v>
      </c>
      <c r="AY78">
        <f t="shared" si="19"/>
        <v>146.14666301299999</v>
      </c>
      <c r="BN78">
        <v>74</v>
      </c>
      <c r="BO78">
        <v>267.39999999999998</v>
      </c>
      <c r="BP78">
        <f t="shared" si="20"/>
        <v>35.653332442</v>
      </c>
      <c r="BQ78">
        <v>-94.6</v>
      </c>
      <c r="BR78">
        <f t="shared" si="21"/>
        <v>-12.613333017999999</v>
      </c>
      <c r="BS78">
        <v>129.9</v>
      </c>
      <c r="BT78">
        <f t="shared" si="22"/>
        <v>17.319999567</v>
      </c>
      <c r="BU78">
        <v>1073</v>
      </c>
      <c r="BV78">
        <f t="shared" si="23"/>
        <v>143.06666308999999</v>
      </c>
      <c r="BW78">
        <v>847.9</v>
      </c>
      <c r="BX78">
        <f t="shared" si="24"/>
        <v>113.053330507</v>
      </c>
      <c r="BY78">
        <v>1250.0999999999999</v>
      </c>
      <c r="BZ78">
        <f t="shared" si="25"/>
        <v>166.67999583299999</v>
      </c>
    </row>
    <row r="79" spans="1:78" x14ac:dyDescent="0.35">
      <c r="A79">
        <v>75</v>
      </c>
      <c r="B79">
        <v>-118.6</v>
      </c>
      <c r="C79">
        <v>-256.39999999999998</v>
      </c>
      <c r="D79">
        <v>258</v>
      </c>
      <c r="E79">
        <v>251.1</v>
      </c>
      <c r="F79">
        <v>851.6</v>
      </c>
      <c r="G79">
        <v>1152.2</v>
      </c>
      <c r="I79">
        <v>75</v>
      </c>
      <c r="J79">
        <v>273.10000000000002</v>
      </c>
      <c r="K79">
        <v>-32</v>
      </c>
      <c r="L79">
        <v>97.7</v>
      </c>
      <c r="M79">
        <v>1037.0999999999999</v>
      </c>
      <c r="N79">
        <v>833.5</v>
      </c>
      <c r="O79">
        <v>1317.9</v>
      </c>
      <c r="R79" s="2">
        <f>LARGE(AO:AO,ROWS(R$75:R79))</f>
        <v>9.3466664329999993</v>
      </c>
      <c r="S79" s="2">
        <f>LARGE(AQ:AQ,ROWS(S$75:S79))</f>
        <v>3.9199999019999998</v>
      </c>
      <c r="T79" s="2">
        <f>LARGE(AS:AS,ROWS(T$75:T79))</f>
        <v>39.613332343000003</v>
      </c>
      <c r="U79" s="2">
        <f>LARGE(AU:AU,ROWS(U$75:U79))</f>
        <v>48.479999878800001</v>
      </c>
      <c r="V79" s="2">
        <f>LARGE(AW:AW,ROWS(V$75:V79))</f>
        <v>168.82662446000001</v>
      </c>
      <c r="W79" s="2">
        <f>LARGE(AY:AY,ROWS(W$75:W79))</f>
        <v>184.466662055</v>
      </c>
      <c r="AM79">
        <v>75</v>
      </c>
      <c r="AN79">
        <v>-118.6</v>
      </c>
      <c r="AO79">
        <f t="shared" si="14"/>
        <v>-15.813332937999999</v>
      </c>
      <c r="AP79">
        <v>-256.39999999999998</v>
      </c>
      <c r="AQ79">
        <f t="shared" si="15"/>
        <v>-34.186665811999994</v>
      </c>
      <c r="AR79">
        <v>258</v>
      </c>
      <c r="AS79">
        <f t="shared" si="16"/>
        <v>34.399999139999998</v>
      </c>
      <c r="AT79">
        <v>251.1</v>
      </c>
      <c r="AU79">
        <f t="shared" si="17"/>
        <v>33.479999916299995</v>
      </c>
      <c r="AV79">
        <v>851.6</v>
      </c>
      <c r="AW79">
        <f t="shared" si="18"/>
        <v>113.54663828</v>
      </c>
      <c r="AX79">
        <v>1152.2</v>
      </c>
      <c r="AY79">
        <f t="shared" si="19"/>
        <v>153.626662826</v>
      </c>
      <c r="BN79">
        <v>75</v>
      </c>
      <c r="BO79">
        <v>273.10000000000002</v>
      </c>
      <c r="BP79">
        <f t="shared" si="20"/>
        <v>36.413332423</v>
      </c>
      <c r="BQ79">
        <v>-32</v>
      </c>
      <c r="BR79">
        <f t="shared" si="21"/>
        <v>-4.26666656</v>
      </c>
      <c r="BS79">
        <v>97.7</v>
      </c>
      <c r="BT79">
        <f t="shared" si="22"/>
        <v>13.026666341</v>
      </c>
      <c r="BU79">
        <v>1037.0999999999999</v>
      </c>
      <c r="BV79">
        <f t="shared" si="23"/>
        <v>138.27999654299998</v>
      </c>
      <c r="BW79">
        <v>833.5</v>
      </c>
      <c r="BX79">
        <f t="shared" si="24"/>
        <v>111.133330555</v>
      </c>
      <c r="BY79">
        <v>1317.9</v>
      </c>
      <c r="BZ79">
        <f t="shared" si="25"/>
        <v>175.71999560700002</v>
      </c>
    </row>
    <row r="80" spans="1:78" x14ac:dyDescent="0.35">
      <c r="A80">
        <v>76</v>
      </c>
      <c r="B80">
        <v>-75.5</v>
      </c>
      <c r="C80">
        <v>-299.2</v>
      </c>
      <c r="D80">
        <v>270.7</v>
      </c>
      <c r="E80">
        <v>275.60000000000002</v>
      </c>
      <c r="F80">
        <v>817.1</v>
      </c>
      <c r="G80">
        <v>1204.8</v>
      </c>
      <c r="I80">
        <v>76</v>
      </c>
      <c r="J80">
        <v>257.3</v>
      </c>
      <c r="K80">
        <v>16.2</v>
      </c>
      <c r="L80">
        <v>69.3</v>
      </c>
      <c r="M80">
        <v>1005.8</v>
      </c>
      <c r="N80">
        <v>819.3</v>
      </c>
      <c r="O80">
        <v>1383.5</v>
      </c>
      <c r="R80" s="2">
        <f>LARGE(AO:AO,ROWS(R$75:R80))</f>
        <v>9.3333331000000008</v>
      </c>
      <c r="S80" s="2">
        <f>LARGE(AQ:AQ,ROWS(S$75:S80))</f>
        <v>3.4533332469999998</v>
      </c>
      <c r="T80" s="2">
        <f>LARGE(AS:AS,ROWS(T$75:T80))</f>
        <v>39.413332348000004</v>
      </c>
      <c r="U80" s="2">
        <f>LARGE(AU:AU,ROWS(U$75:U80))</f>
        <v>47.906666546899999</v>
      </c>
      <c r="V80" s="2">
        <f>LARGE(AW:AW,ROWS(V$75:V80))</f>
        <v>167.51995811999998</v>
      </c>
      <c r="W80" s="2">
        <f>LARGE(AY:AY,ROWS(W$75:W80))</f>
        <v>184.13332872999999</v>
      </c>
      <c r="AM80">
        <v>76</v>
      </c>
      <c r="AN80">
        <v>-75.5</v>
      </c>
      <c r="AO80">
        <f t="shared" si="14"/>
        <v>-10.066666415</v>
      </c>
      <c r="AP80">
        <v>-299.2</v>
      </c>
      <c r="AQ80">
        <f t="shared" si="15"/>
        <v>-39.893332336</v>
      </c>
      <c r="AR80">
        <v>270.7</v>
      </c>
      <c r="AS80">
        <f t="shared" si="16"/>
        <v>36.093332431</v>
      </c>
      <c r="AT80">
        <v>275.60000000000002</v>
      </c>
      <c r="AU80">
        <f t="shared" si="17"/>
        <v>36.746666574800003</v>
      </c>
      <c r="AV80">
        <v>817.1</v>
      </c>
      <c r="AW80">
        <f t="shared" si="18"/>
        <v>108.94663942999999</v>
      </c>
      <c r="AX80">
        <v>1204.8</v>
      </c>
      <c r="AY80">
        <f t="shared" si="19"/>
        <v>160.639995984</v>
      </c>
      <c r="BN80">
        <v>76</v>
      </c>
      <c r="BO80">
        <v>257.3</v>
      </c>
      <c r="BP80">
        <f t="shared" si="20"/>
        <v>34.306665809000002</v>
      </c>
      <c r="BQ80">
        <v>16.2</v>
      </c>
      <c r="BR80">
        <f t="shared" si="21"/>
        <v>2.1599999460000001</v>
      </c>
      <c r="BS80">
        <v>69.3</v>
      </c>
      <c r="BT80">
        <f t="shared" si="22"/>
        <v>9.2399997689999989</v>
      </c>
      <c r="BU80">
        <v>1005.8</v>
      </c>
      <c r="BV80">
        <f t="shared" si="23"/>
        <v>134.106663314</v>
      </c>
      <c r="BW80">
        <v>819.3</v>
      </c>
      <c r="BX80">
        <f t="shared" si="24"/>
        <v>109.239997269</v>
      </c>
      <c r="BY80">
        <v>1383.5</v>
      </c>
      <c r="BZ80">
        <f t="shared" si="25"/>
        <v>184.466662055</v>
      </c>
    </row>
    <row r="81" spans="1:78" x14ac:dyDescent="0.35">
      <c r="A81">
        <v>77</v>
      </c>
      <c r="B81">
        <v>-44</v>
      </c>
      <c r="C81">
        <v>-338.9</v>
      </c>
      <c r="D81">
        <v>282.10000000000002</v>
      </c>
      <c r="E81">
        <v>298.39999999999998</v>
      </c>
      <c r="F81">
        <v>783.3</v>
      </c>
      <c r="G81">
        <v>1254.8</v>
      </c>
      <c r="I81">
        <v>77</v>
      </c>
      <c r="J81">
        <v>234.5</v>
      </c>
      <c r="K81">
        <v>54.1</v>
      </c>
      <c r="L81">
        <v>43.4</v>
      </c>
      <c r="M81">
        <v>977.8</v>
      </c>
      <c r="N81">
        <v>805.1</v>
      </c>
      <c r="O81">
        <v>1444.4</v>
      </c>
      <c r="R81" s="2">
        <f>LARGE(AO:AO,ROWS(R$75:R81))</f>
        <v>9.2266664360000004</v>
      </c>
      <c r="S81" s="2">
        <f>LARGE(AQ:AQ,ROWS(S$75:S81))</f>
        <v>3.4399999139999999</v>
      </c>
      <c r="T81" s="2">
        <f>LARGE(AS:AS,ROWS(T$75:T81))</f>
        <v>38.906665694000004</v>
      </c>
      <c r="U81" s="2">
        <f>LARGE(AU:AU,ROWS(U$75:U81))</f>
        <v>47.866666547000001</v>
      </c>
      <c r="V81" s="2">
        <f>LARGE(AW:AW,ROWS(V$75:V81))</f>
        <v>166.38662507000001</v>
      </c>
      <c r="W81" s="2">
        <f>LARGE(AY:AY,ROWS(W$75:W81))</f>
        <v>183.83999540400001</v>
      </c>
      <c r="AM81">
        <v>77</v>
      </c>
      <c r="AN81">
        <v>-44</v>
      </c>
      <c r="AO81">
        <f t="shared" si="14"/>
        <v>-5.8666665199999999</v>
      </c>
      <c r="AP81">
        <v>-338.9</v>
      </c>
      <c r="AQ81">
        <f t="shared" si="15"/>
        <v>-45.186665536999996</v>
      </c>
      <c r="AR81">
        <v>282.10000000000002</v>
      </c>
      <c r="AS81">
        <f t="shared" si="16"/>
        <v>37.613332393</v>
      </c>
      <c r="AT81">
        <v>298.39999999999998</v>
      </c>
      <c r="AU81">
        <f t="shared" si="17"/>
        <v>39.786666567199994</v>
      </c>
      <c r="AV81">
        <v>783.3</v>
      </c>
      <c r="AW81">
        <f t="shared" si="18"/>
        <v>104.43997388999999</v>
      </c>
      <c r="AX81">
        <v>1254.8</v>
      </c>
      <c r="AY81">
        <f t="shared" si="19"/>
        <v>167.30666248399999</v>
      </c>
      <c r="BN81">
        <v>77</v>
      </c>
      <c r="BO81">
        <v>234.5</v>
      </c>
      <c r="BP81">
        <f t="shared" si="20"/>
        <v>31.266665884999998</v>
      </c>
      <c r="BQ81">
        <v>54.1</v>
      </c>
      <c r="BR81">
        <f t="shared" si="21"/>
        <v>7.2133331529999998</v>
      </c>
      <c r="BS81">
        <v>43.4</v>
      </c>
      <c r="BT81">
        <f t="shared" si="22"/>
        <v>5.786666522</v>
      </c>
      <c r="BU81">
        <v>977.8</v>
      </c>
      <c r="BV81">
        <f t="shared" si="23"/>
        <v>130.37333007399999</v>
      </c>
      <c r="BW81">
        <v>805.1</v>
      </c>
      <c r="BX81">
        <f t="shared" si="24"/>
        <v>107.346663983</v>
      </c>
      <c r="BY81">
        <v>1444.4</v>
      </c>
      <c r="BZ81">
        <f t="shared" si="25"/>
        <v>192.58666185200002</v>
      </c>
    </row>
    <row r="82" spans="1:78" x14ac:dyDescent="0.35">
      <c r="A82">
        <v>78</v>
      </c>
      <c r="B82">
        <v>-13.6</v>
      </c>
      <c r="C82">
        <v>-375.3</v>
      </c>
      <c r="D82">
        <v>285.7</v>
      </c>
      <c r="E82">
        <v>320.10000000000002</v>
      </c>
      <c r="F82">
        <v>753.1</v>
      </c>
      <c r="G82">
        <v>1301.8</v>
      </c>
      <c r="I82">
        <v>78</v>
      </c>
      <c r="J82">
        <v>208.1</v>
      </c>
      <c r="K82">
        <v>84.2</v>
      </c>
      <c r="L82">
        <v>19.399999999999999</v>
      </c>
      <c r="M82">
        <v>952</v>
      </c>
      <c r="N82">
        <v>790.9</v>
      </c>
      <c r="O82">
        <v>1498.4</v>
      </c>
      <c r="R82" s="2">
        <f>LARGE(AO:AO,ROWS(R$75:R82))</f>
        <v>9.1999997699999998</v>
      </c>
      <c r="S82" s="2">
        <f>LARGE(AQ:AQ,ROWS(S$75:S82))</f>
        <v>3.3466665830000002</v>
      </c>
      <c r="T82" s="2">
        <f>LARGE(AS:AS,ROWS(T$75:T82))</f>
        <v>38.906665694000004</v>
      </c>
      <c r="U82" s="2">
        <f>LARGE(AU:AU,ROWS(U$75:U82))</f>
        <v>47.159999882099996</v>
      </c>
      <c r="V82" s="2">
        <f>LARGE(AW:AW,ROWS(V$75:V82))</f>
        <v>164.63995883999999</v>
      </c>
      <c r="W82" s="2">
        <f>LARGE(AY:AY,ROWS(W$75:W82))</f>
        <v>183.47999541299998</v>
      </c>
      <c r="AM82">
        <v>78</v>
      </c>
      <c r="AN82">
        <v>-13.6</v>
      </c>
      <c r="AO82">
        <f t="shared" si="14"/>
        <v>-1.8133332879999999</v>
      </c>
      <c r="AP82">
        <v>-375.3</v>
      </c>
      <c r="AQ82">
        <f t="shared" si="15"/>
        <v>-50.039998748999999</v>
      </c>
      <c r="AR82">
        <v>285.7</v>
      </c>
      <c r="AS82">
        <f t="shared" si="16"/>
        <v>38.093332380999996</v>
      </c>
      <c r="AT82">
        <v>320.10000000000002</v>
      </c>
      <c r="AU82">
        <f t="shared" si="17"/>
        <v>42.6799998933</v>
      </c>
      <c r="AV82">
        <v>753.1</v>
      </c>
      <c r="AW82">
        <f t="shared" si="18"/>
        <v>100.41330823</v>
      </c>
      <c r="AX82">
        <v>1301.8</v>
      </c>
      <c r="AY82">
        <f t="shared" si="19"/>
        <v>173.57332899400001</v>
      </c>
      <c r="BN82">
        <v>78</v>
      </c>
      <c r="BO82">
        <v>208.1</v>
      </c>
      <c r="BP82">
        <f t="shared" si="20"/>
        <v>27.746665972999999</v>
      </c>
      <c r="BQ82">
        <v>84.2</v>
      </c>
      <c r="BR82">
        <f t="shared" si="21"/>
        <v>11.226666386</v>
      </c>
      <c r="BS82">
        <v>19.399999999999999</v>
      </c>
      <c r="BT82">
        <f t="shared" si="22"/>
        <v>2.5866666019999998</v>
      </c>
      <c r="BU82">
        <v>952</v>
      </c>
      <c r="BV82">
        <f t="shared" si="23"/>
        <v>126.93333016</v>
      </c>
      <c r="BW82">
        <v>790.9</v>
      </c>
      <c r="BX82">
        <f t="shared" si="24"/>
        <v>105.453330697</v>
      </c>
      <c r="BY82">
        <v>1498.4</v>
      </c>
      <c r="BZ82">
        <f t="shared" si="25"/>
        <v>199.78666167200001</v>
      </c>
    </row>
    <row r="83" spans="1:78" x14ac:dyDescent="0.35">
      <c r="A83">
        <v>79</v>
      </c>
      <c r="B83">
        <v>9.5</v>
      </c>
      <c r="C83">
        <v>-408.5</v>
      </c>
      <c r="D83">
        <v>257.39999999999998</v>
      </c>
      <c r="E83">
        <v>340.8</v>
      </c>
      <c r="F83">
        <v>758.9</v>
      </c>
      <c r="G83">
        <v>1345.6</v>
      </c>
      <c r="I83">
        <v>79</v>
      </c>
      <c r="J83">
        <v>183.6</v>
      </c>
      <c r="K83">
        <v>108.7</v>
      </c>
      <c r="L83">
        <v>-3.4</v>
      </c>
      <c r="M83">
        <v>928</v>
      </c>
      <c r="N83">
        <v>776.4</v>
      </c>
      <c r="O83">
        <v>1542.4</v>
      </c>
      <c r="R83" s="2">
        <f>LARGE(AO:AO,ROWS(R$75:R83))</f>
        <v>9.1333331050000002</v>
      </c>
      <c r="S83" s="2">
        <f>LARGE(AQ:AQ,ROWS(S$75:S83))</f>
        <v>3.3066665840000002</v>
      </c>
      <c r="T83" s="2">
        <f>LARGE(AS:AS,ROWS(T$75:T83))</f>
        <v>38.733332365000003</v>
      </c>
      <c r="U83" s="2">
        <f>LARGE(AU:AU,ROWS(U$75:U83))</f>
        <v>46.666666550000002</v>
      </c>
      <c r="V83" s="2">
        <f>LARGE(AW:AW,ROWS(V$75:V83))</f>
        <v>164.39995889999997</v>
      </c>
      <c r="W83" s="2">
        <f>LARGE(AY:AY,ROWS(W$75:W83))</f>
        <v>181.06666214000001</v>
      </c>
      <c r="AM83">
        <v>79</v>
      </c>
      <c r="AN83">
        <v>9.5</v>
      </c>
      <c r="AO83">
        <f t="shared" si="14"/>
        <v>1.266666635</v>
      </c>
      <c r="AP83">
        <v>-408.5</v>
      </c>
      <c r="AQ83">
        <f t="shared" si="15"/>
        <v>-54.466665304999999</v>
      </c>
      <c r="AR83">
        <v>257.39999999999998</v>
      </c>
      <c r="AS83">
        <f t="shared" si="16"/>
        <v>34.319999142</v>
      </c>
      <c r="AT83">
        <v>340.8</v>
      </c>
      <c r="AU83">
        <f t="shared" si="17"/>
        <v>45.439999886400003</v>
      </c>
      <c r="AV83">
        <v>758.9</v>
      </c>
      <c r="AW83">
        <f t="shared" si="18"/>
        <v>101.18664136999999</v>
      </c>
      <c r="AX83">
        <v>1345.6</v>
      </c>
      <c r="AY83">
        <f t="shared" si="19"/>
        <v>179.41332884799999</v>
      </c>
      <c r="BN83">
        <v>79</v>
      </c>
      <c r="BO83">
        <v>183.6</v>
      </c>
      <c r="BP83">
        <f t="shared" si="20"/>
        <v>24.479999388</v>
      </c>
      <c r="BQ83">
        <v>108.7</v>
      </c>
      <c r="BR83">
        <f t="shared" si="21"/>
        <v>14.493332971000001</v>
      </c>
      <c r="BS83">
        <v>-3.4</v>
      </c>
      <c r="BT83">
        <f t="shared" si="22"/>
        <v>-0.45333332199999998</v>
      </c>
      <c r="BU83">
        <v>928</v>
      </c>
      <c r="BV83">
        <f t="shared" si="23"/>
        <v>123.73333024</v>
      </c>
      <c r="BW83">
        <v>776.4</v>
      </c>
      <c r="BX83">
        <f t="shared" si="24"/>
        <v>103.519997412</v>
      </c>
      <c r="BY83">
        <v>1542.4</v>
      </c>
      <c r="BZ83">
        <f t="shared" si="25"/>
        <v>205.653328192</v>
      </c>
    </row>
    <row r="84" spans="1:78" x14ac:dyDescent="0.35">
      <c r="A84">
        <v>80</v>
      </c>
      <c r="B84">
        <v>26.7</v>
      </c>
      <c r="C84">
        <v>-435.7</v>
      </c>
      <c r="D84">
        <v>213.9</v>
      </c>
      <c r="E84">
        <v>353.7</v>
      </c>
      <c r="F84">
        <v>822.3</v>
      </c>
      <c r="G84">
        <v>1385.5</v>
      </c>
      <c r="I84">
        <v>80</v>
      </c>
      <c r="J84">
        <v>161.1</v>
      </c>
      <c r="K84">
        <v>128.80000000000001</v>
      </c>
      <c r="L84">
        <v>-25.2</v>
      </c>
      <c r="M84">
        <v>905.5</v>
      </c>
      <c r="N84">
        <v>761.7</v>
      </c>
      <c r="O84">
        <v>1575.3</v>
      </c>
      <c r="R84" s="2">
        <f>LARGE(AO:AO,ROWS(R$75:R84))</f>
        <v>9.1199997719999999</v>
      </c>
      <c r="S84" s="2">
        <f>LARGE(AQ:AQ,ROWS(S$75:S84))</f>
        <v>3.106666589</v>
      </c>
      <c r="T84" s="2">
        <f>LARGE(AS:AS,ROWS(T$75:T84))</f>
        <v>38.666665700000003</v>
      </c>
      <c r="U84" s="2">
        <f>LARGE(AU:AU,ROWS(U$75:U84))</f>
        <v>46.599999883499997</v>
      </c>
      <c r="V84" s="2">
        <f>LARGE(AW:AW,ROWS(V$75:V84))</f>
        <v>162.21329277999996</v>
      </c>
      <c r="W84" s="2">
        <f>LARGE(AY:AY,ROWS(W$75:W84))</f>
        <v>180.853328812</v>
      </c>
      <c r="AM84">
        <v>80</v>
      </c>
      <c r="AN84">
        <v>26.7</v>
      </c>
      <c r="AO84">
        <f t="shared" si="14"/>
        <v>3.5599999109999998</v>
      </c>
      <c r="AP84">
        <v>-435.7</v>
      </c>
      <c r="AQ84">
        <f t="shared" si="15"/>
        <v>-58.093331880999997</v>
      </c>
      <c r="AR84">
        <v>213.9</v>
      </c>
      <c r="AS84">
        <f t="shared" si="16"/>
        <v>28.519999287000001</v>
      </c>
      <c r="AT84">
        <v>353.7</v>
      </c>
      <c r="AU84">
        <f t="shared" si="17"/>
        <v>47.159999882099996</v>
      </c>
      <c r="AV84">
        <v>822.3</v>
      </c>
      <c r="AW84">
        <f t="shared" si="18"/>
        <v>109.63997258999999</v>
      </c>
      <c r="AX84">
        <v>1385.5</v>
      </c>
      <c r="AY84">
        <f t="shared" si="19"/>
        <v>184.733328715</v>
      </c>
      <c r="BN84">
        <v>80</v>
      </c>
      <c r="BO84">
        <v>161.1</v>
      </c>
      <c r="BP84">
        <f t="shared" si="20"/>
        <v>21.479999462999999</v>
      </c>
      <c r="BQ84">
        <v>128.80000000000001</v>
      </c>
      <c r="BR84">
        <f t="shared" si="21"/>
        <v>17.173332904000002</v>
      </c>
      <c r="BS84">
        <v>-25.2</v>
      </c>
      <c r="BT84">
        <f t="shared" si="22"/>
        <v>-3.359999916</v>
      </c>
      <c r="BU84">
        <v>905.5</v>
      </c>
      <c r="BV84">
        <f t="shared" si="23"/>
        <v>120.733330315</v>
      </c>
      <c r="BW84">
        <v>761.7</v>
      </c>
      <c r="BX84">
        <f t="shared" si="24"/>
        <v>101.55999746100001</v>
      </c>
      <c r="BY84">
        <v>1575.3</v>
      </c>
      <c r="BZ84">
        <f t="shared" si="25"/>
        <v>210.03999474899999</v>
      </c>
    </row>
    <row r="85" spans="1:78" x14ac:dyDescent="0.35">
      <c r="A85">
        <v>81</v>
      </c>
      <c r="B85">
        <v>45.3</v>
      </c>
      <c r="C85">
        <v>-419.7</v>
      </c>
      <c r="D85">
        <v>175.5</v>
      </c>
      <c r="E85">
        <v>322</v>
      </c>
      <c r="F85">
        <v>905.3</v>
      </c>
      <c r="G85">
        <v>1416.3</v>
      </c>
      <c r="I85">
        <v>81</v>
      </c>
      <c r="J85">
        <v>140.6</v>
      </c>
      <c r="K85">
        <v>145.5</v>
      </c>
      <c r="L85">
        <v>-46.5</v>
      </c>
      <c r="M85">
        <v>884.3</v>
      </c>
      <c r="N85">
        <v>746.5</v>
      </c>
      <c r="O85">
        <v>1597</v>
      </c>
      <c r="R85" s="2">
        <f>LARGE(AO:AO,ROWS(R$75:R85))</f>
        <v>9.0933331060000011</v>
      </c>
      <c r="S85" s="2">
        <f>LARGE(AQ:AQ,ROWS(S$75:S85))</f>
        <v>3.0266665909999997</v>
      </c>
      <c r="T85" s="2">
        <f>LARGE(AS:AS,ROWS(T$75:T85))</f>
        <v>38.413332373000003</v>
      </c>
      <c r="U85" s="2">
        <f>LARGE(AU:AU,ROWS(U$75:U85))</f>
        <v>46.346666550800002</v>
      </c>
      <c r="V85" s="2">
        <f>LARGE(AW:AW,ROWS(V$75:V85))</f>
        <v>161.93329284999999</v>
      </c>
      <c r="W85" s="2">
        <f>LARGE(AY:AY,ROWS(W$75:W85))</f>
        <v>180.70666214899998</v>
      </c>
      <c r="AM85">
        <v>81</v>
      </c>
      <c r="AN85">
        <v>45.3</v>
      </c>
      <c r="AO85">
        <f t="shared" si="14"/>
        <v>6.039999849</v>
      </c>
      <c r="AP85">
        <v>-419.7</v>
      </c>
      <c r="AQ85">
        <f t="shared" si="15"/>
        <v>-55.959998600999995</v>
      </c>
      <c r="AR85">
        <v>175.5</v>
      </c>
      <c r="AS85">
        <f t="shared" si="16"/>
        <v>23.399999415</v>
      </c>
      <c r="AT85">
        <v>322</v>
      </c>
      <c r="AU85">
        <f t="shared" si="17"/>
        <v>42.933333226000002</v>
      </c>
      <c r="AV85">
        <v>905.3</v>
      </c>
      <c r="AW85">
        <f t="shared" si="18"/>
        <v>120.70663648999998</v>
      </c>
      <c r="AX85">
        <v>1416.3</v>
      </c>
      <c r="AY85">
        <f t="shared" si="19"/>
        <v>188.83999527899999</v>
      </c>
      <c r="BN85">
        <v>81</v>
      </c>
      <c r="BO85">
        <v>140.6</v>
      </c>
      <c r="BP85">
        <f t="shared" si="20"/>
        <v>18.746666198</v>
      </c>
      <c r="BQ85">
        <v>145.5</v>
      </c>
      <c r="BR85">
        <f t="shared" si="21"/>
        <v>19.399999515000001</v>
      </c>
      <c r="BS85">
        <v>-46.5</v>
      </c>
      <c r="BT85">
        <f t="shared" si="22"/>
        <v>-6.1999998449999998</v>
      </c>
      <c r="BU85">
        <v>884.3</v>
      </c>
      <c r="BV85">
        <f t="shared" si="23"/>
        <v>117.90666371899999</v>
      </c>
      <c r="BW85">
        <v>746.5</v>
      </c>
      <c r="BX85">
        <f t="shared" si="24"/>
        <v>99.533330844999995</v>
      </c>
      <c r="BY85">
        <v>1597</v>
      </c>
      <c r="BZ85">
        <f t="shared" si="25"/>
        <v>212.93332801</v>
      </c>
    </row>
    <row r="86" spans="1:78" x14ac:dyDescent="0.35">
      <c r="A86">
        <v>82</v>
      </c>
      <c r="B86">
        <v>52.7</v>
      </c>
      <c r="C86">
        <v>-330.4</v>
      </c>
      <c r="D86">
        <v>140.9</v>
      </c>
      <c r="E86">
        <v>266.3</v>
      </c>
      <c r="F86">
        <v>969.7</v>
      </c>
      <c r="G86">
        <v>1395.7</v>
      </c>
      <c r="I86">
        <v>82</v>
      </c>
      <c r="J86">
        <v>122</v>
      </c>
      <c r="K86">
        <v>159.6</v>
      </c>
      <c r="L86">
        <v>-67.599999999999994</v>
      </c>
      <c r="M86">
        <v>863.9</v>
      </c>
      <c r="N86">
        <v>730.5</v>
      </c>
      <c r="O86">
        <v>1579.6</v>
      </c>
      <c r="R86" s="2">
        <f>LARGE(AO:AO,ROWS(R$75:R86))</f>
        <v>9.0933331060000011</v>
      </c>
      <c r="S86" s="2">
        <f>LARGE(AQ:AQ,ROWS(S$75:S86))</f>
        <v>2.5066666040000003</v>
      </c>
      <c r="T86" s="2">
        <f>LARGE(AS:AS,ROWS(T$75:T86))</f>
        <v>38.093332380999996</v>
      </c>
      <c r="U86" s="2">
        <f>LARGE(AU:AU,ROWS(U$75:U86))</f>
        <v>46.199999884500002</v>
      </c>
      <c r="V86" s="2">
        <f>LARGE(AW:AW,ROWS(V$75:V86))</f>
        <v>160.49329320999999</v>
      </c>
      <c r="W86" s="2">
        <f>LARGE(AY:AY,ROWS(W$75:W86))</f>
        <v>179.94666216799999</v>
      </c>
      <c r="AM86">
        <v>82</v>
      </c>
      <c r="AN86">
        <v>52.7</v>
      </c>
      <c r="AO86">
        <f t="shared" si="14"/>
        <v>7.0266664910000003</v>
      </c>
      <c r="AP86">
        <v>-330.4</v>
      </c>
      <c r="AQ86">
        <f t="shared" si="15"/>
        <v>-44.053332231999995</v>
      </c>
      <c r="AR86">
        <v>140.9</v>
      </c>
      <c r="AS86">
        <f t="shared" si="16"/>
        <v>18.786666197000002</v>
      </c>
      <c r="AT86">
        <v>266.3</v>
      </c>
      <c r="AU86">
        <f t="shared" si="17"/>
        <v>35.506666577899999</v>
      </c>
      <c r="AV86">
        <v>969.7</v>
      </c>
      <c r="AW86">
        <f t="shared" si="18"/>
        <v>129.29330100999999</v>
      </c>
      <c r="AX86">
        <v>1395.7</v>
      </c>
      <c r="AY86">
        <f t="shared" si="19"/>
        <v>186.093328681</v>
      </c>
      <c r="BN86">
        <v>82</v>
      </c>
      <c r="BO86">
        <v>122</v>
      </c>
      <c r="BP86">
        <f t="shared" si="20"/>
        <v>16.266666260000001</v>
      </c>
      <c r="BQ86">
        <v>159.6</v>
      </c>
      <c r="BR86">
        <f t="shared" si="21"/>
        <v>21.279999468</v>
      </c>
      <c r="BS86">
        <v>-67.599999999999994</v>
      </c>
      <c r="BT86">
        <f t="shared" si="22"/>
        <v>-9.0133331079999994</v>
      </c>
      <c r="BU86">
        <v>863.9</v>
      </c>
      <c r="BV86">
        <f t="shared" si="23"/>
        <v>115.186663787</v>
      </c>
      <c r="BW86">
        <v>730.5</v>
      </c>
      <c r="BX86">
        <f t="shared" si="24"/>
        <v>97.399997565000007</v>
      </c>
      <c r="BY86">
        <v>1579.6</v>
      </c>
      <c r="BZ86">
        <f t="shared" si="25"/>
        <v>210.61332806799999</v>
      </c>
    </row>
    <row r="87" spans="1:78" x14ac:dyDescent="0.35">
      <c r="A87">
        <v>83</v>
      </c>
      <c r="B87">
        <v>68.400000000000006</v>
      </c>
      <c r="C87">
        <v>-236.8</v>
      </c>
      <c r="D87">
        <v>107.8</v>
      </c>
      <c r="E87">
        <v>220</v>
      </c>
      <c r="F87">
        <v>1020.7</v>
      </c>
      <c r="G87">
        <v>1304.2</v>
      </c>
      <c r="I87">
        <v>83</v>
      </c>
      <c r="J87">
        <v>105</v>
      </c>
      <c r="K87">
        <v>171.6</v>
      </c>
      <c r="L87">
        <v>-88.7</v>
      </c>
      <c r="M87">
        <v>844.9</v>
      </c>
      <c r="N87">
        <v>713.7</v>
      </c>
      <c r="O87">
        <v>1507.5</v>
      </c>
      <c r="R87" s="2">
        <f>LARGE(AO:AO,ROWS(R$75:R87))</f>
        <v>8.5866664520000011</v>
      </c>
      <c r="S87" s="2">
        <f>LARGE(AQ:AQ,ROWS(S$75:S87))</f>
        <v>2.3999999399999998</v>
      </c>
      <c r="T87" s="2">
        <f>LARGE(AS:AS,ROWS(T$75:T87))</f>
        <v>38.039999049000002</v>
      </c>
      <c r="U87" s="2">
        <f>LARGE(AU:AU,ROWS(U$75:U87))</f>
        <v>45.879999885300002</v>
      </c>
      <c r="V87" s="2">
        <f>LARGE(AW:AW,ROWS(V$75:V87))</f>
        <v>160.10662663999997</v>
      </c>
      <c r="W87" s="2">
        <f>LARGE(AY:AY,ROWS(W$75:W87))</f>
        <v>179.41332884799999</v>
      </c>
      <c r="AM87">
        <v>83</v>
      </c>
      <c r="AN87">
        <v>68.400000000000006</v>
      </c>
      <c r="AO87">
        <f t="shared" si="14"/>
        <v>9.1199997719999999</v>
      </c>
      <c r="AP87">
        <v>-236.8</v>
      </c>
      <c r="AQ87">
        <f t="shared" si="15"/>
        <v>-31.573332544000003</v>
      </c>
      <c r="AR87">
        <v>107.8</v>
      </c>
      <c r="AS87">
        <f t="shared" si="16"/>
        <v>14.373332974</v>
      </c>
      <c r="AT87">
        <v>220</v>
      </c>
      <c r="AU87">
        <f t="shared" si="17"/>
        <v>29.33333326</v>
      </c>
      <c r="AV87">
        <v>1020.7</v>
      </c>
      <c r="AW87">
        <f t="shared" si="18"/>
        <v>136.09329930999999</v>
      </c>
      <c r="AX87">
        <v>1304.2</v>
      </c>
      <c r="AY87">
        <f t="shared" si="19"/>
        <v>173.893328986</v>
      </c>
      <c r="BN87">
        <v>83</v>
      </c>
      <c r="BO87">
        <v>105</v>
      </c>
      <c r="BP87">
        <f t="shared" si="20"/>
        <v>13.999999649999999</v>
      </c>
      <c r="BQ87">
        <v>171.6</v>
      </c>
      <c r="BR87">
        <f t="shared" si="21"/>
        <v>22.879999427999998</v>
      </c>
      <c r="BS87">
        <v>-88.7</v>
      </c>
      <c r="BT87">
        <f t="shared" si="22"/>
        <v>-11.826666371</v>
      </c>
      <c r="BU87">
        <v>844.9</v>
      </c>
      <c r="BV87">
        <f t="shared" si="23"/>
        <v>112.653330517</v>
      </c>
      <c r="BW87">
        <v>713.7</v>
      </c>
      <c r="BX87">
        <f t="shared" si="24"/>
        <v>95.159997621000002</v>
      </c>
      <c r="BY87">
        <v>1507.5</v>
      </c>
      <c r="BZ87">
        <f t="shared" si="25"/>
        <v>200.99999497499999</v>
      </c>
    </row>
    <row r="88" spans="1:78" x14ac:dyDescent="0.35">
      <c r="A88">
        <v>84</v>
      </c>
      <c r="B88">
        <v>70</v>
      </c>
      <c r="C88">
        <v>-168</v>
      </c>
      <c r="D88">
        <v>74.2</v>
      </c>
      <c r="E88">
        <v>179.7</v>
      </c>
      <c r="F88">
        <v>1065.8</v>
      </c>
      <c r="G88">
        <v>1215.2</v>
      </c>
      <c r="I88">
        <v>84</v>
      </c>
      <c r="J88">
        <v>89.5</v>
      </c>
      <c r="K88">
        <v>180.6</v>
      </c>
      <c r="L88">
        <v>-106.6</v>
      </c>
      <c r="M88">
        <v>834.8</v>
      </c>
      <c r="N88">
        <v>696.5</v>
      </c>
      <c r="O88">
        <v>1441</v>
      </c>
      <c r="R88" s="2">
        <f>LARGE(AO:AO,ROWS(R$75:R88))</f>
        <v>8.3466664579999996</v>
      </c>
      <c r="S88" s="2">
        <f>LARGE(AQ:AQ,ROWS(S$75:S88))</f>
        <v>2.3733332740000002</v>
      </c>
      <c r="T88" s="2">
        <f>LARGE(AS:AS,ROWS(T$75:T88))</f>
        <v>38.013332383000005</v>
      </c>
      <c r="U88" s="2">
        <f>LARGE(AU:AU,ROWS(U$75:U88))</f>
        <v>45.7999998855</v>
      </c>
      <c r="V88" s="2">
        <f>LARGE(AW:AW,ROWS(V$75:V88))</f>
        <v>159.73329339999998</v>
      </c>
      <c r="W88" s="2">
        <f>LARGE(AY:AY,ROWS(W$75:W88))</f>
        <v>178.93332885999999</v>
      </c>
      <c r="AM88">
        <v>84</v>
      </c>
      <c r="AN88">
        <v>70</v>
      </c>
      <c r="AO88">
        <f t="shared" si="14"/>
        <v>9.3333331000000008</v>
      </c>
      <c r="AP88">
        <v>-168</v>
      </c>
      <c r="AQ88">
        <f t="shared" si="15"/>
        <v>-22.399999439999998</v>
      </c>
      <c r="AR88">
        <v>74.2</v>
      </c>
      <c r="AS88">
        <f t="shared" si="16"/>
        <v>9.8933330860000002</v>
      </c>
      <c r="AT88">
        <v>179.7</v>
      </c>
      <c r="AU88">
        <f t="shared" si="17"/>
        <v>23.959999940099998</v>
      </c>
      <c r="AV88">
        <v>1065.8</v>
      </c>
      <c r="AW88">
        <f t="shared" si="18"/>
        <v>142.10663113999999</v>
      </c>
      <c r="AX88">
        <v>1215.2</v>
      </c>
      <c r="AY88">
        <f t="shared" si="19"/>
        <v>162.02666261600001</v>
      </c>
      <c r="BN88">
        <v>84</v>
      </c>
      <c r="BO88">
        <v>89.5</v>
      </c>
      <c r="BP88">
        <f t="shared" si="20"/>
        <v>11.933333035</v>
      </c>
      <c r="BQ88">
        <v>180.6</v>
      </c>
      <c r="BR88">
        <f t="shared" si="21"/>
        <v>24.079999397999998</v>
      </c>
      <c r="BS88">
        <v>-106.6</v>
      </c>
      <c r="BT88">
        <f t="shared" si="22"/>
        <v>-14.213332977999999</v>
      </c>
      <c r="BU88">
        <v>834.8</v>
      </c>
      <c r="BV88">
        <f t="shared" si="23"/>
        <v>111.30666388399999</v>
      </c>
      <c r="BW88">
        <v>696.5</v>
      </c>
      <c r="BX88">
        <f t="shared" si="24"/>
        <v>92.866664345000004</v>
      </c>
      <c r="BY88">
        <v>1441</v>
      </c>
      <c r="BZ88">
        <f t="shared" si="25"/>
        <v>192.13332853</v>
      </c>
    </row>
    <row r="89" spans="1:78" x14ac:dyDescent="0.35">
      <c r="A89">
        <v>85</v>
      </c>
      <c r="B89">
        <v>81.900000000000006</v>
      </c>
      <c r="C89">
        <v>-117.3</v>
      </c>
      <c r="D89">
        <v>38.5</v>
      </c>
      <c r="E89">
        <v>143.1</v>
      </c>
      <c r="F89">
        <v>1107.3</v>
      </c>
      <c r="G89">
        <v>1142.5</v>
      </c>
      <c r="I89">
        <v>85</v>
      </c>
      <c r="J89">
        <v>75.3</v>
      </c>
      <c r="K89">
        <v>168.2</v>
      </c>
      <c r="L89">
        <v>-118.1</v>
      </c>
      <c r="M89">
        <v>822.1</v>
      </c>
      <c r="N89">
        <v>697.2</v>
      </c>
      <c r="O89">
        <v>1385.6</v>
      </c>
      <c r="R89" s="2"/>
      <c r="S89" s="2"/>
      <c r="T89" s="2"/>
      <c r="U89" s="2"/>
      <c r="V89" s="2"/>
      <c r="W89" s="2"/>
      <c r="AM89">
        <v>85</v>
      </c>
      <c r="AN89">
        <v>81.900000000000006</v>
      </c>
      <c r="AO89">
        <f t="shared" si="14"/>
        <v>10.919999727</v>
      </c>
      <c r="AP89">
        <v>-117.3</v>
      </c>
      <c r="AQ89">
        <f t="shared" si="15"/>
        <v>-15.639999609</v>
      </c>
      <c r="AR89">
        <v>38.5</v>
      </c>
      <c r="AS89">
        <f t="shared" si="16"/>
        <v>5.1333332049999996</v>
      </c>
      <c r="AT89">
        <v>143.1</v>
      </c>
      <c r="AU89">
        <f t="shared" si="17"/>
        <v>19.0799999523</v>
      </c>
      <c r="AV89">
        <v>1107.3</v>
      </c>
      <c r="AW89">
        <f t="shared" si="18"/>
        <v>147.63996308999998</v>
      </c>
      <c r="AX89">
        <v>1142.5</v>
      </c>
      <c r="AY89">
        <f t="shared" si="19"/>
        <v>152.33332952500001</v>
      </c>
      <c r="BN89">
        <v>85</v>
      </c>
      <c r="BO89">
        <v>75.3</v>
      </c>
      <c r="BP89">
        <f t="shared" si="20"/>
        <v>10.039999749</v>
      </c>
      <c r="BQ89">
        <v>168.2</v>
      </c>
      <c r="BR89">
        <f t="shared" si="21"/>
        <v>22.426666105999999</v>
      </c>
      <c r="BS89">
        <v>-118.1</v>
      </c>
      <c r="BT89">
        <f t="shared" si="22"/>
        <v>-15.746666272999999</v>
      </c>
      <c r="BU89">
        <v>822.1</v>
      </c>
      <c r="BV89">
        <f t="shared" si="23"/>
        <v>109.613330593</v>
      </c>
      <c r="BW89">
        <v>697.2</v>
      </c>
      <c r="BX89">
        <f t="shared" si="24"/>
        <v>92.959997676</v>
      </c>
      <c r="BY89">
        <v>1385.6</v>
      </c>
      <c r="BZ89">
        <f t="shared" si="25"/>
        <v>184.74666204799999</v>
      </c>
    </row>
    <row r="90" spans="1:78" x14ac:dyDescent="0.35">
      <c r="A90">
        <v>86</v>
      </c>
      <c r="B90">
        <v>54.9</v>
      </c>
      <c r="C90">
        <v>-79.2</v>
      </c>
      <c r="D90">
        <v>-0.3</v>
      </c>
      <c r="E90">
        <v>109.2</v>
      </c>
      <c r="F90">
        <v>1146.2</v>
      </c>
      <c r="G90">
        <v>1081</v>
      </c>
      <c r="I90">
        <v>86</v>
      </c>
      <c r="J90">
        <v>62.4</v>
      </c>
      <c r="K90">
        <v>132.5</v>
      </c>
      <c r="L90">
        <v>-138.9</v>
      </c>
      <c r="M90">
        <v>800.4</v>
      </c>
      <c r="N90">
        <v>755</v>
      </c>
      <c r="O90">
        <v>1336.7</v>
      </c>
      <c r="R90" s="2">
        <f>LARGE(BP:BP,ROWS(R$90:R92))</f>
        <v>37.506665728999998</v>
      </c>
      <c r="S90" s="2">
        <f>LARGE(BR:BR,ROWS(S$90:S92))</f>
        <v>24.813332712999998</v>
      </c>
      <c r="T90" s="2">
        <f>LARGE(BT:BT,ROWS(T$90:T92))</f>
        <v>23.426666080999997</v>
      </c>
      <c r="U90" s="2">
        <f>LARGE(BV:BV,ROWS(U$90:U92))</f>
        <v>190.38666190700002</v>
      </c>
      <c r="V90" s="2">
        <f>LARGE(BX:BX,ROWS(V$90:V92))</f>
        <v>209.093328106</v>
      </c>
      <c r="W90" s="2">
        <f>LARGE(BZ:BZ,ROWS(W$90:W92))</f>
        <v>210.03999474899999</v>
      </c>
      <c r="AM90">
        <v>86</v>
      </c>
      <c r="AN90">
        <v>54.9</v>
      </c>
      <c r="AO90">
        <f t="shared" si="14"/>
        <v>7.3199998170000002</v>
      </c>
      <c r="AP90">
        <v>-79.2</v>
      </c>
      <c r="AQ90">
        <f t="shared" si="15"/>
        <v>-10.559999736</v>
      </c>
      <c r="AR90">
        <v>-0.3</v>
      </c>
      <c r="AS90">
        <f t="shared" si="16"/>
        <v>-3.9999999000000001E-2</v>
      </c>
      <c r="AT90">
        <v>109.2</v>
      </c>
      <c r="AU90">
        <f t="shared" si="17"/>
        <v>14.559999963600001</v>
      </c>
      <c r="AV90">
        <v>1146.2</v>
      </c>
      <c r="AW90">
        <f t="shared" si="18"/>
        <v>152.82662845999999</v>
      </c>
      <c r="AX90">
        <v>1081</v>
      </c>
      <c r="AY90">
        <f t="shared" si="19"/>
        <v>144.13332973000001</v>
      </c>
      <c r="BN90">
        <v>86</v>
      </c>
      <c r="BO90">
        <v>62.4</v>
      </c>
      <c r="BP90">
        <f t="shared" si="20"/>
        <v>8.3199997919999991</v>
      </c>
      <c r="BQ90">
        <v>132.5</v>
      </c>
      <c r="BR90">
        <f t="shared" si="21"/>
        <v>17.666666225</v>
      </c>
      <c r="BS90">
        <v>-138.9</v>
      </c>
      <c r="BT90">
        <f t="shared" si="22"/>
        <v>-18.519999537</v>
      </c>
      <c r="BU90">
        <v>800.4</v>
      </c>
      <c r="BV90">
        <f t="shared" si="23"/>
        <v>106.71999733199999</v>
      </c>
      <c r="BW90">
        <v>755</v>
      </c>
      <c r="BX90">
        <f t="shared" si="24"/>
        <v>100.66666415</v>
      </c>
      <c r="BY90">
        <v>1336.7</v>
      </c>
      <c r="BZ90">
        <f t="shared" si="25"/>
        <v>178.22666221100002</v>
      </c>
    </row>
    <row r="91" spans="1:78" x14ac:dyDescent="0.35">
      <c r="A91">
        <v>87</v>
      </c>
      <c r="B91">
        <v>13.8</v>
      </c>
      <c r="C91">
        <v>-50.3</v>
      </c>
      <c r="D91">
        <v>-42.2</v>
      </c>
      <c r="E91">
        <v>76.7</v>
      </c>
      <c r="F91">
        <v>1179.8</v>
      </c>
      <c r="G91">
        <v>1027.5999999999999</v>
      </c>
      <c r="I91">
        <v>87</v>
      </c>
      <c r="J91">
        <v>55.5</v>
      </c>
      <c r="K91">
        <v>96.6</v>
      </c>
      <c r="L91">
        <v>-162.6</v>
      </c>
      <c r="M91">
        <v>780.1</v>
      </c>
      <c r="N91">
        <v>864.3</v>
      </c>
      <c r="O91">
        <v>1293</v>
      </c>
      <c r="R91" s="2">
        <f>LARGE(BP:BP,ROWS(R$90:R93))</f>
        <v>37.186665736999998</v>
      </c>
      <c r="S91" s="2">
        <f>LARGE(BR:BR,ROWS(S$90:S93))</f>
        <v>24.773332714000002</v>
      </c>
      <c r="T91" s="2">
        <f>LARGE(BT:BT,ROWS(T$90:T93))</f>
        <v>22.959999426</v>
      </c>
      <c r="U91" s="2">
        <f>LARGE(BV:BV,ROWS(U$90:U93))</f>
        <v>187.74666197299999</v>
      </c>
      <c r="V91" s="2">
        <f>LARGE(BX:BX,ROWS(V$90:V93))</f>
        <v>209.013328108</v>
      </c>
      <c r="W91" s="2">
        <f>LARGE(BZ:BZ,ROWS(W$90:W93))</f>
        <v>205.653328192</v>
      </c>
      <c r="AM91">
        <v>87</v>
      </c>
      <c r="AN91">
        <v>13.8</v>
      </c>
      <c r="AO91">
        <f t="shared" si="14"/>
        <v>1.839999954</v>
      </c>
      <c r="AP91">
        <v>-50.3</v>
      </c>
      <c r="AQ91">
        <f t="shared" si="15"/>
        <v>-6.7066664989999998</v>
      </c>
      <c r="AR91">
        <v>-42.2</v>
      </c>
      <c r="AS91">
        <f t="shared" si="16"/>
        <v>-5.6266665260000002</v>
      </c>
      <c r="AT91">
        <v>76.7</v>
      </c>
      <c r="AU91">
        <f t="shared" si="17"/>
        <v>10.2266666411</v>
      </c>
      <c r="AV91">
        <v>1179.8</v>
      </c>
      <c r="AW91">
        <f t="shared" si="18"/>
        <v>157.30662733999998</v>
      </c>
      <c r="AX91">
        <v>1027.5999999999999</v>
      </c>
      <c r="AY91">
        <f t="shared" si="19"/>
        <v>137.01332990799997</v>
      </c>
      <c r="BN91">
        <v>87</v>
      </c>
      <c r="BO91">
        <v>55.5</v>
      </c>
      <c r="BP91">
        <f t="shared" si="20"/>
        <v>7.3999998150000001</v>
      </c>
      <c r="BQ91">
        <v>96.6</v>
      </c>
      <c r="BR91">
        <f t="shared" si="21"/>
        <v>12.879999677999999</v>
      </c>
      <c r="BS91">
        <v>-162.6</v>
      </c>
      <c r="BT91">
        <f t="shared" si="22"/>
        <v>-21.679999457999998</v>
      </c>
      <c r="BU91">
        <v>780.1</v>
      </c>
      <c r="BV91">
        <f t="shared" si="23"/>
        <v>104.013330733</v>
      </c>
      <c r="BW91">
        <v>864.3</v>
      </c>
      <c r="BX91">
        <f t="shared" si="24"/>
        <v>115.23999711899999</v>
      </c>
      <c r="BY91">
        <v>1293</v>
      </c>
      <c r="BZ91">
        <f t="shared" si="25"/>
        <v>172.39999569</v>
      </c>
    </row>
    <row r="92" spans="1:78" x14ac:dyDescent="0.35">
      <c r="A92">
        <v>88</v>
      </c>
      <c r="B92">
        <v>-19.899999999999999</v>
      </c>
      <c r="C92">
        <v>-27.6</v>
      </c>
      <c r="D92">
        <v>-85.9</v>
      </c>
      <c r="E92">
        <v>44.5</v>
      </c>
      <c r="F92">
        <v>974.4</v>
      </c>
      <c r="G92">
        <v>980.4</v>
      </c>
      <c r="I92">
        <v>88</v>
      </c>
      <c r="J92">
        <v>79.900000000000006</v>
      </c>
      <c r="K92">
        <v>61.3</v>
      </c>
      <c r="L92">
        <v>-186.8</v>
      </c>
      <c r="M92">
        <v>760.1</v>
      </c>
      <c r="N92">
        <v>958.3</v>
      </c>
      <c r="O92">
        <v>1253.4000000000001</v>
      </c>
      <c r="R92" s="2">
        <f>LARGE(BP:BP,ROWS(R$90:R94))</f>
        <v>37.186665736999998</v>
      </c>
      <c r="S92" s="2">
        <f>LARGE(BR:BR,ROWS(S$90:S94))</f>
        <v>24.359999390999999</v>
      </c>
      <c r="T92" s="2">
        <f>LARGE(BT:BT,ROWS(T$90:T94))</f>
        <v>22.826666095999997</v>
      </c>
      <c r="U92" s="2">
        <f>LARGE(BV:BV,ROWS(U$90:U94))</f>
        <v>184.94666204299998</v>
      </c>
      <c r="V92" s="2">
        <f>LARGE(BX:BX,ROWS(V$90:V94))</f>
        <v>205.75999485600002</v>
      </c>
      <c r="W92" s="2">
        <f>LARGE(BZ:BZ,ROWS(W$90:W94))</f>
        <v>200.99999497499999</v>
      </c>
      <c r="AM92">
        <v>88</v>
      </c>
      <c r="AN92">
        <v>-19.899999999999999</v>
      </c>
      <c r="AO92">
        <f t="shared" si="14"/>
        <v>-2.6533332669999998</v>
      </c>
      <c r="AP92">
        <v>-27.6</v>
      </c>
      <c r="AQ92">
        <f t="shared" si="15"/>
        <v>-3.6799999080000001</v>
      </c>
      <c r="AR92">
        <v>-85.9</v>
      </c>
      <c r="AS92">
        <f t="shared" si="16"/>
        <v>-11.453333047000001</v>
      </c>
      <c r="AT92">
        <v>44.5</v>
      </c>
      <c r="AU92">
        <f t="shared" si="17"/>
        <v>5.9333333184999999</v>
      </c>
      <c r="AV92">
        <v>974.4</v>
      </c>
      <c r="AW92">
        <f t="shared" si="18"/>
        <v>129.91996751999997</v>
      </c>
      <c r="AX92">
        <v>980.4</v>
      </c>
      <c r="AY92">
        <f t="shared" si="19"/>
        <v>130.719996732</v>
      </c>
      <c r="BN92">
        <v>88</v>
      </c>
      <c r="BO92">
        <v>79.900000000000006</v>
      </c>
      <c r="BP92">
        <f t="shared" si="20"/>
        <v>10.653333067</v>
      </c>
      <c r="BQ92">
        <v>61.3</v>
      </c>
      <c r="BR92">
        <f t="shared" si="21"/>
        <v>8.1733331289999995</v>
      </c>
      <c r="BS92">
        <v>-186.8</v>
      </c>
      <c r="BT92">
        <f t="shared" si="22"/>
        <v>-24.906666044000001</v>
      </c>
      <c r="BU92">
        <v>760.1</v>
      </c>
      <c r="BV92">
        <f t="shared" si="23"/>
        <v>101.346664133</v>
      </c>
      <c r="BW92">
        <v>958.3</v>
      </c>
      <c r="BX92">
        <f t="shared" si="24"/>
        <v>127.773330139</v>
      </c>
      <c r="BY92">
        <v>1253.4000000000001</v>
      </c>
      <c r="BZ92">
        <f t="shared" si="25"/>
        <v>167.11999582200002</v>
      </c>
    </row>
    <row r="93" spans="1:78" x14ac:dyDescent="0.35">
      <c r="A93">
        <v>89</v>
      </c>
      <c r="B93">
        <v>-48.2</v>
      </c>
      <c r="C93">
        <v>-9.4</v>
      </c>
      <c r="D93">
        <v>-128.69999999999999</v>
      </c>
      <c r="E93">
        <v>12.2</v>
      </c>
      <c r="F93">
        <v>291.39999999999998</v>
      </c>
      <c r="G93">
        <v>938.3</v>
      </c>
      <c r="I93">
        <v>89</v>
      </c>
      <c r="J93">
        <v>109.9</v>
      </c>
      <c r="K93">
        <v>25.8</v>
      </c>
      <c r="L93">
        <v>-212.4</v>
      </c>
      <c r="M93">
        <v>741.1</v>
      </c>
      <c r="N93">
        <v>1023.3</v>
      </c>
      <c r="O93">
        <v>1217.2</v>
      </c>
      <c r="R93" s="2">
        <f>LARGE(BP:BP,ROWS(R$90:R95))</f>
        <v>36.799999079999999</v>
      </c>
      <c r="S93" s="2">
        <f>LARGE(BR:BR,ROWS(S$90:S95))</f>
        <v>24.359999390999999</v>
      </c>
      <c r="T93" s="2">
        <f>LARGE(BT:BT,ROWS(T$90:T95))</f>
        <v>21.999999450000001</v>
      </c>
      <c r="U93" s="2">
        <f>LARGE(BV:BV,ROWS(U$90:U95))</f>
        <v>183.77332873899999</v>
      </c>
      <c r="V93" s="2">
        <f>LARGE(BX:BX,ROWS(V$90:V95))</f>
        <v>205.31999486700002</v>
      </c>
      <c r="W93" s="2">
        <f>LARGE(BZ:BZ,ROWS(W$90:W95))</f>
        <v>199.78666167200001</v>
      </c>
      <c r="AM93">
        <v>89</v>
      </c>
      <c r="AN93">
        <v>-48.2</v>
      </c>
      <c r="AO93">
        <f t="shared" si="14"/>
        <v>-6.4266665060000001</v>
      </c>
      <c r="AP93">
        <v>-9.4</v>
      </c>
      <c r="AQ93">
        <f t="shared" si="15"/>
        <v>-1.2533333020000001</v>
      </c>
      <c r="AR93">
        <v>-128.69999999999999</v>
      </c>
      <c r="AS93">
        <f t="shared" si="16"/>
        <v>-17.159999571</v>
      </c>
      <c r="AT93">
        <v>12.2</v>
      </c>
      <c r="AU93">
        <f t="shared" si="17"/>
        <v>1.6266666625999999</v>
      </c>
      <c r="AV93">
        <v>291.39999999999998</v>
      </c>
      <c r="AW93">
        <f t="shared" si="18"/>
        <v>38.853323619999991</v>
      </c>
      <c r="AX93">
        <v>938.3</v>
      </c>
      <c r="AY93">
        <f t="shared" si="19"/>
        <v>125.106663539</v>
      </c>
      <c r="BN93">
        <v>89</v>
      </c>
      <c r="BO93">
        <v>109.9</v>
      </c>
      <c r="BP93">
        <f t="shared" si="20"/>
        <v>14.653332967000001</v>
      </c>
      <c r="BQ93">
        <v>25.8</v>
      </c>
      <c r="BR93">
        <f t="shared" si="21"/>
        <v>3.4399999139999999</v>
      </c>
      <c r="BS93">
        <v>-212.4</v>
      </c>
      <c r="BT93">
        <f t="shared" si="22"/>
        <v>-28.319999292000002</v>
      </c>
      <c r="BU93">
        <v>741.1</v>
      </c>
      <c r="BV93">
        <f t="shared" si="23"/>
        <v>98.813330863000004</v>
      </c>
      <c r="BW93">
        <v>1023.3</v>
      </c>
      <c r="BX93">
        <f t="shared" si="24"/>
        <v>136.439996589</v>
      </c>
      <c r="BY93">
        <v>1217.2</v>
      </c>
      <c r="BZ93">
        <f t="shared" si="25"/>
        <v>162.29332927600001</v>
      </c>
    </row>
    <row r="94" spans="1:78" x14ac:dyDescent="0.35">
      <c r="A94">
        <v>90</v>
      </c>
      <c r="B94">
        <v>-72.599999999999994</v>
      </c>
      <c r="C94">
        <v>5.0999999999999996</v>
      </c>
      <c r="D94">
        <v>-144.80000000000001</v>
      </c>
      <c r="E94">
        <v>-20.7</v>
      </c>
      <c r="F94">
        <v>481.4</v>
      </c>
      <c r="G94">
        <v>899.8</v>
      </c>
      <c r="I94">
        <v>90</v>
      </c>
      <c r="J94">
        <v>148.30000000000001</v>
      </c>
      <c r="K94">
        <v>-10.1</v>
      </c>
      <c r="L94">
        <v>-233.6</v>
      </c>
      <c r="M94">
        <v>720.9</v>
      </c>
      <c r="N94">
        <v>1077.0999999999999</v>
      </c>
      <c r="O94">
        <v>1183.8</v>
      </c>
      <c r="R94" s="2">
        <f>LARGE(BP:BP,ROWS(R$90:R96))</f>
        <v>36.479999088</v>
      </c>
      <c r="S94" s="2">
        <f>LARGE(BR:BR,ROWS(S$90:S96))</f>
        <v>24.079999397999998</v>
      </c>
      <c r="T94" s="2">
        <f>LARGE(BT:BT,ROWS(T$90:T96))</f>
        <v>21.786666122</v>
      </c>
      <c r="U94" s="2">
        <f>LARGE(BV:BV,ROWS(U$90:U96))</f>
        <v>181.78666212200002</v>
      </c>
      <c r="V94" s="2">
        <f>LARGE(BX:BX,ROWS(V$90:V96))</f>
        <v>205.25332820200001</v>
      </c>
      <c r="W94" s="2">
        <f>LARGE(BZ:BZ,ROWS(W$90:W96))</f>
        <v>197.14666173799998</v>
      </c>
      <c r="AM94">
        <v>90</v>
      </c>
      <c r="AN94">
        <v>-72.599999999999994</v>
      </c>
      <c r="AO94">
        <f t="shared" si="14"/>
        <v>-9.6799997579999992</v>
      </c>
      <c r="AP94">
        <v>5.0999999999999996</v>
      </c>
      <c r="AQ94">
        <f t="shared" si="15"/>
        <v>0.67999998299999997</v>
      </c>
      <c r="AR94">
        <v>-144.80000000000001</v>
      </c>
      <c r="AS94">
        <f t="shared" si="16"/>
        <v>-19.306666184000001</v>
      </c>
      <c r="AT94">
        <v>-20.7</v>
      </c>
      <c r="AU94">
        <f t="shared" si="17"/>
        <v>-2.7599999930999997</v>
      </c>
      <c r="AV94">
        <v>481.4</v>
      </c>
      <c r="AW94">
        <f t="shared" si="18"/>
        <v>64.186650619999995</v>
      </c>
      <c r="AX94">
        <v>899.8</v>
      </c>
      <c r="AY94">
        <f t="shared" si="19"/>
        <v>119.973330334</v>
      </c>
      <c r="BN94">
        <v>90</v>
      </c>
      <c r="BO94">
        <v>148.30000000000001</v>
      </c>
      <c r="BP94">
        <f t="shared" si="20"/>
        <v>19.773332839000002</v>
      </c>
      <c r="BQ94">
        <v>-10.1</v>
      </c>
      <c r="BR94">
        <f t="shared" si="21"/>
        <v>-1.3466666329999999</v>
      </c>
      <c r="BS94">
        <v>-233.6</v>
      </c>
      <c r="BT94">
        <f t="shared" si="22"/>
        <v>-31.146665887999998</v>
      </c>
      <c r="BU94">
        <v>720.9</v>
      </c>
      <c r="BV94">
        <f t="shared" si="23"/>
        <v>96.119997596999994</v>
      </c>
      <c r="BW94">
        <v>1077.0999999999999</v>
      </c>
      <c r="BX94">
        <f t="shared" si="24"/>
        <v>143.61332974299998</v>
      </c>
      <c r="BY94">
        <v>1183.8</v>
      </c>
      <c r="BZ94">
        <f t="shared" si="25"/>
        <v>157.83999605399998</v>
      </c>
    </row>
    <row r="95" spans="1:78" x14ac:dyDescent="0.35">
      <c r="A95">
        <v>91</v>
      </c>
      <c r="B95">
        <v>-93.9</v>
      </c>
      <c r="C95">
        <v>16.600000000000001</v>
      </c>
      <c r="D95">
        <v>-70.7</v>
      </c>
      <c r="E95">
        <v>-55</v>
      </c>
      <c r="F95">
        <v>1094.9000000000001</v>
      </c>
      <c r="G95">
        <v>863.5</v>
      </c>
      <c r="I95">
        <v>91</v>
      </c>
      <c r="J95">
        <v>171.8</v>
      </c>
      <c r="K95">
        <v>-46.4</v>
      </c>
      <c r="L95">
        <v>-206.4</v>
      </c>
      <c r="M95">
        <v>697.7</v>
      </c>
      <c r="N95">
        <v>1128.0999999999999</v>
      </c>
      <c r="O95">
        <v>1153</v>
      </c>
      <c r="R95" s="2">
        <f>LARGE(BP:BP,ROWS(R$90:R97))</f>
        <v>36.466665755000001</v>
      </c>
      <c r="S95" s="2">
        <f>LARGE(BR:BR,ROWS(S$90:S97))</f>
        <v>23.813332738</v>
      </c>
      <c r="T95" s="2">
        <f>LARGE(BT:BT,ROWS(T$90:T97))</f>
        <v>21.453332797000002</v>
      </c>
      <c r="U95" s="2">
        <f>LARGE(BV:BV,ROWS(U$90:U97))</f>
        <v>178.386662207</v>
      </c>
      <c r="V95" s="2">
        <f>LARGE(BX:BX,ROWS(V$90:V97))</f>
        <v>201.35999496600002</v>
      </c>
      <c r="W95" s="2">
        <f>LARGE(BZ:BZ,ROWS(W$90:W97))</f>
        <v>196.77332841399999</v>
      </c>
      <c r="AM95">
        <v>91</v>
      </c>
      <c r="AN95">
        <v>-93.9</v>
      </c>
      <c r="AO95">
        <f t="shared" si="14"/>
        <v>-12.519999687</v>
      </c>
      <c r="AP95">
        <v>16.600000000000001</v>
      </c>
      <c r="AQ95">
        <f t="shared" si="15"/>
        <v>2.2133332780000003</v>
      </c>
      <c r="AR95">
        <v>-70.7</v>
      </c>
      <c r="AS95">
        <f t="shared" si="16"/>
        <v>-9.426666431000001</v>
      </c>
      <c r="AT95">
        <v>-55</v>
      </c>
      <c r="AU95">
        <f t="shared" si="17"/>
        <v>-7.333333315</v>
      </c>
      <c r="AV95">
        <v>1094.9000000000001</v>
      </c>
      <c r="AW95">
        <f t="shared" si="18"/>
        <v>145.98663017000001</v>
      </c>
      <c r="AX95">
        <v>863.5</v>
      </c>
      <c r="AY95">
        <f t="shared" si="19"/>
        <v>115.13333045500001</v>
      </c>
      <c r="BN95">
        <v>91</v>
      </c>
      <c r="BO95">
        <v>171.8</v>
      </c>
      <c r="BP95">
        <f t="shared" si="20"/>
        <v>22.906666094000002</v>
      </c>
      <c r="BQ95">
        <v>-46.4</v>
      </c>
      <c r="BR95">
        <f t="shared" si="21"/>
        <v>-6.1866665119999995</v>
      </c>
      <c r="BS95">
        <v>-206.4</v>
      </c>
      <c r="BT95">
        <f t="shared" si="22"/>
        <v>-27.519999311999999</v>
      </c>
      <c r="BU95">
        <v>697.7</v>
      </c>
      <c r="BV95">
        <f t="shared" si="23"/>
        <v>93.026664341</v>
      </c>
      <c r="BW95">
        <v>1128.0999999999999</v>
      </c>
      <c r="BX95">
        <f t="shared" si="24"/>
        <v>150.413329573</v>
      </c>
      <c r="BY95">
        <v>1153</v>
      </c>
      <c r="BZ95">
        <f t="shared" si="25"/>
        <v>153.73332948999999</v>
      </c>
    </row>
    <row r="96" spans="1:78" x14ac:dyDescent="0.35">
      <c r="A96">
        <v>92</v>
      </c>
      <c r="B96">
        <v>-112.4</v>
      </c>
      <c r="C96">
        <v>25.8</v>
      </c>
      <c r="D96">
        <v>34.6</v>
      </c>
      <c r="E96">
        <v>-74.099999999999994</v>
      </c>
      <c r="F96">
        <v>1124.2</v>
      </c>
      <c r="G96">
        <v>829.2</v>
      </c>
      <c r="I96">
        <v>92</v>
      </c>
      <c r="J96">
        <v>200.2</v>
      </c>
      <c r="K96">
        <v>-82.7</v>
      </c>
      <c r="L96">
        <v>-130.6</v>
      </c>
      <c r="M96">
        <v>673.4</v>
      </c>
      <c r="N96">
        <v>1178.4000000000001</v>
      </c>
      <c r="O96">
        <v>1124.5</v>
      </c>
      <c r="R96" s="2">
        <f>LARGE(BP:BP,ROWS(R$90:R98))</f>
        <v>36.439999089000004</v>
      </c>
      <c r="S96" s="2">
        <f>LARGE(BR:BR,ROWS(S$90:S98))</f>
        <v>23.773332739000001</v>
      </c>
      <c r="T96" s="2">
        <f>LARGE(BT:BT,ROWS(T$90:T98))</f>
        <v>21.239999469000001</v>
      </c>
      <c r="U96" s="2">
        <f>LARGE(BV:BV,ROWS(U$90:U98))</f>
        <v>175.306662284</v>
      </c>
      <c r="V96" s="2">
        <f>LARGE(BX:BX,ROWS(V$90:V98))</f>
        <v>200.53332832000001</v>
      </c>
      <c r="W96" s="2">
        <f>LARGE(BZ:BZ,ROWS(W$90:W98))</f>
        <v>192.58666185200002</v>
      </c>
      <c r="AM96">
        <v>92</v>
      </c>
      <c r="AN96">
        <v>-112.4</v>
      </c>
      <c r="AO96">
        <f t="shared" si="14"/>
        <v>-14.986666292000001</v>
      </c>
      <c r="AP96">
        <v>25.8</v>
      </c>
      <c r="AQ96">
        <f t="shared" si="15"/>
        <v>3.4399999139999999</v>
      </c>
      <c r="AR96">
        <v>34.6</v>
      </c>
      <c r="AS96">
        <f t="shared" si="16"/>
        <v>4.6133332180000002</v>
      </c>
      <c r="AT96">
        <v>-74.099999999999994</v>
      </c>
      <c r="AU96">
        <f t="shared" si="17"/>
        <v>-9.8799999752999987</v>
      </c>
      <c r="AV96">
        <v>1124.2</v>
      </c>
      <c r="AW96">
        <f t="shared" si="18"/>
        <v>149.89329585999999</v>
      </c>
      <c r="AX96">
        <v>829.2</v>
      </c>
      <c r="AY96">
        <f t="shared" si="19"/>
        <v>110.559997236</v>
      </c>
      <c r="BN96">
        <v>92</v>
      </c>
      <c r="BO96">
        <v>200.2</v>
      </c>
      <c r="BP96">
        <f t="shared" si="20"/>
        <v>26.693332666</v>
      </c>
      <c r="BQ96">
        <v>-82.7</v>
      </c>
      <c r="BR96">
        <f t="shared" si="21"/>
        <v>-11.026666391000001</v>
      </c>
      <c r="BS96">
        <v>-130.6</v>
      </c>
      <c r="BT96">
        <f t="shared" si="22"/>
        <v>-17.413332898</v>
      </c>
      <c r="BU96">
        <v>673.4</v>
      </c>
      <c r="BV96">
        <f t="shared" si="23"/>
        <v>89.786664422000001</v>
      </c>
      <c r="BW96">
        <v>1178.4000000000001</v>
      </c>
      <c r="BX96">
        <f t="shared" si="24"/>
        <v>157.11999607200002</v>
      </c>
      <c r="BY96">
        <v>1124.5</v>
      </c>
      <c r="BZ96">
        <f t="shared" si="25"/>
        <v>149.933329585</v>
      </c>
    </row>
    <row r="97" spans="1:78" x14ac:dyDescent="0.35">
      <c r="A97">
        <v>93</v>
      </c>
      <c r="B97">
        <v>-128.9</v>
      </c>
      <c r="C97">
        <v>25.9</v>
      </c>
      <c r="D97">
        <v>106.4</v>
      </c>
      <c r="E97">
        <v>-27.2</v>
      </c>
      <c r="F97">
        <v>1061.7</v>
      </c>
      <c r="G97">
        <v>801.1</v>
      </c>
      <c r="I97">
        <v>93</v>
      </c>
      <c r="J97">
        <v>214.2</v>
      </c>
      <c r="K97">
        <v>-118.8</v>
      </c>
      <c r="L97">
        <v>-70.8</v>
      </c>
      <c r="M97">
        <v>647.5</v>
      </c>
      <c r="N97">
        <v>1228.0999999999999</v>
      </c>
      <c r="O97">
        <v>1100.3</v>
      </c>
      <c r="R97" s="2">
        <f>LARGE(BP:BP,ROWS(R$90:R99))</f>
        <v>36.413332423</v>
      </c>
      <c r="S97" s="2">
        <f>LARGE(BR:BR,ROWS(S$90:S99))</f>
        <v>23.666666074999998</v>
      </c>
      <c r="T97" s="2">
        <f>LARGE(BT:BT,ROWS(T$90:T99))</f>
        <v>21.146666138000001</v>
      </c>
      <c r="U97" s="2">
        <f>LARGE(BV:BV,ROWS(U$90:U99))</f>
        <v>174.81332896299998</v>
      </c>
      <c r="V97" s="2">
        <f>LARGE(BX:BX,ROWS(V$90:V99))</f>
        <v>200.38666165700002</v>
      </c>
      <c r="W97" s="2">
        <f>LARGE(BZ:BZ,ROWS(W$90:W99))</f>
        <v>192.23999519399999</v>
      </c>
      <c r="AM97">
        <v>93</v>
      </c>
      <c r="AN97">
        <v>-128.9</v>
      </c>
      <c r="AO97">
        <f t="shared" si="14"/>
        <v>-17.186666237000001</v>
      </c>
      <c r="AP97">
        <v>25.9</v>
      </c>
      <c r="AQ97">
        <f t="shared" si="15"/>
        <v>3.4533332469999998</v>
      </c>
      <c r="AR97">
        <v>106.4</v>
      </c>
      <c r="AS97">
        <f t="shared" si="16"/>
        <v>14.186666312000002</v>
      </c>
      <c r="AT97">
        <v>-27.2</v>
      </c>
      <c r="AU97">
        <f t="shared" si="17"/>
        <v>-3.6266666576</v>
      </c>
      <c r="AV97">
        <v>1061.7</v>
      </c>
      <c r="AW97">
        <f t="shared" si="18"/>
        <v>141.55996460999998</v>
      </c>
      <c r="AX97">
        <v>801.1</v>
      </c>
      <c r="AY97">
        <f t="shared" si="19"/>
        <v>106.813330663</v>
      </c>
      <c r="BN97">
        <v>93</v>
      </c>
      <c r="BO97">
        <v>214.2</v>
      </c>
      <c r="BP97">
        <f t="shared" si="20"/>
        <v>28.559999286</v>
      </c>
      <c r="BQ97">
        <v>-118.8</v>
      </c>
      <c r="BR97">
        <f t="shared" si="21"/>
        <v>-15.839999603999999</v>
      </c>
      <c r="BS97">
        <v>-70.8</v>
      </c>
      <c r="BT97">
        <f t="shared" si="22"/>
        <v>-9.4399997639999995</v>
      </c>
      <c r="BU97">
        <v>647.5</v>
      </c>
      <c r="BV97">
        <f t="shared" si="23"/>
        <v>86.333331174999998</v>
      </c>
      <c r="BW97">
        <v>1228.0999999999999</v>
      </c>
      <c r="BX97">
        <f t="shared" si="24"/>
        <v>163.74666257299998</v>
      </c>
      <c r="BY97">
        <v>1100.3</v>
      </c>
      <c r="BZ97">
        <f t="shared" si="25"/>
        <v>146.706662999</v>
      </c>
    </row>
    <row r="98" spans="1:78" x14ac:dyDescent="0.35">
      <c r="A98">
        <v>94</v>
      </c>
      <c r="B98">
        <v>-144.1</v>
      </c>
      <c r="C98">
        <v>-9.8000000000000007</v>
      </c>
      <c r="D98">
        <v>153.6</v>
      </c>
      <c r="E98">
        <v>59</v>
      </c>
      <c r="F98">
        <v>1008.8</v>
      </c>
      <c r="G98">
        <v>813.5</v>
      </c>
      <c r="I98">
        <v>94</v>
      </c>
      <c r="J98">
        <v>235.1</v>
      </c>
      <c r="K98">
        <v>-154.19999999999999</v>
      </c>
      <c r="L98">
        <v>-27.6</v>
      </c>
      <c r="M98">
        <v>619.79999999999995</v>
      </c>
      <c r="N98">
        <v>1277.4000000000001</v>
      </c>
      <c r="O98">
        <v>1085</v>
      </c>
      <c r="R98" s="2">
        <f>LARGE(BP:BP,ROWS(R$90:R100))</f>
        <v>36.346665758</v>
      </c>
      <c r="S98" s="2">
        <f>LARGE(BR:BR,ROWS(S$90:S100))</f>
        <v>23.306666084</v>
      </c>
      <c r="T98" s="2">
        <f>LARGE(BT:BT,ROWS(T$90:T100))</f>
        <v>21.133332804999998</v>
      </c>
      <c r="U98" s="2">
        <f>LARGE(BV:BV,ROWS(U$90:U100))</f>
        <v>171.17332905399999</v>
      </c>
      <c r="V98" s="2">
        <f>LARGE(BX:BX,ROWS(V$90:V100))</f>
        <v>195.399995115</v>
      </c>
      <c r="W98" s="2">
        <f>LARGE(BZ:BZ,ROWS(W$90:W100))</f>
        <v>192.13332853</v>
      </c>
      <c r="AM98">
        <v>94</v>
      </c>
      <c r="AN98">
        <v>-144.1</v>
      </c>
      <c r="AO98">
        <f t="shared" si="14"/>
        <v>-19.213332853000001</v>
      </c>
      <c r="AP98">
        <v>-9.8000000000000007</v>
      </c>
      <c r="AQ98">
        <f t="shared" si="15"/>
        <v>-1.3066666340000002</v>
      </c>
      <c r="AR98">
        <v>153.6</v>
      </c>
      <c r="AS98">
        <f t="shared" si="16"/>
        <v>20.479999488000001</v>
      </c>
      <c r="AT98">
        <v>59</v>
      </c>
      <c r="AU98">
        <f t="shared" si="17"/>
        <v>7.8666666469999997</v>
      </c>
      <c r="AV98">
        <v>1008.8</v>
      </c>
      <c r="AW98">
        <f t="shared" si="18"/>
        <v>134.50663303999997</v>
      </c>
      <c r="AX98">
        <v>813.5</v>
      </c>
      <c r="AY98">
        <f t="shared" si="19"/>
        <v>108.466663955</v>
      </c>
      <c r="BN98">
        <v>94</v>
      </c>
      <c r="BO98">
        <v>235.1</v>
      </c>
      <c r="BP98">
        <f t="shared" si="20"/>
        <v>31.346665883</v>
      </c>
      <c r="BQ98">
        <v>-154.19999999999999</v>
      </c>
      <c r="BR98">
        <f t="shared" si="21"/>
        <v>-20.559999485999999</v>
      </c>
      <c r="BS98">
        <v>-27.6</v>
      </c>
      <c r="BT98">
        <f t="shared" si="22"/>
        <v>-3.6799999080000001</v>
      </c>
      <c r="BU98">
        <v>619.79999999999995</v>
      </c>
      <c r="BV98">
        <f t="shared" si="23"/>
        <v>82.639997933999993</v>
      </c>
      <c r="BW98">
        <v>1277.4000000000001</v>
      </c>
      <c r="BX98">
        <f t="shared" si="24"/>
        <v>170.319995742</v>
      </c>
      <c r="BY98">
        <v>1085</v>
      </c>
      <c r="BZ98">
        <f t="shared" si="25"/>
        <v>144.66666305000001</v>
      </c>
    </row>
    <row r="99" spans="1:78" x14ac:dyDescent="0.35">
      <c r="A99">
        <v>95</v>
      </c>
      <c r="B99">
        <v>-158.80000000000001</v>
      </c>
      <c r="C99">
        <v>-61.8</v>
      </c>
      <c r="D99">
        <v>186.3</v>
      </c>
      <c r="E99">
        <v>123.6</v>
      </c>
      <c r="F99">
        <v>962.4</v>
      </c>
      <c r="G99">
        <v>881.3</v>
      </c>
      <c r="I99">
        <v>95</v>
      </c>
      <c r="J99">
        <v>242.3</v>
      </c>
      <c r="K99">
        <v>-188.7</v>
      </c>
      <c r="L99">
        <v>4.9000000000000004</v>
      </c>
      <c r="M99">
        <v>591.1</v>
      </c>
      <c r="N99">
        <v>1326.1</v>
      </c>
      <c r="O99">
        <v>1062.4000000000001</v>
      </c>
      <c r="R99" s="2">
        <f>LARGE(BP:BP,ROWS(R$90:R101))</f>
        <v>36.306665759000005</v>
      </c>
      <c r="S99" s="2">
        <f>LARGE(BR:BR,ROWS(S$90:S101))</f>
        <v>23.306666084</v>
      </c>
      <c r="T99" s="2">
        <f>LARGE(BT:BT,ROWS(T$90:T101))</f>
        <v>20.693332815999998</v>
      </c>
      <c r="U99" s="2">
        <f>LARGE(BV:BV,ROWS(U$90:U101))</f>
        <v>170.26666241000001</v>
      </c>
      <c r="V99" s="2">
        <f>LARGE(BX:BX,ROWS(V$90:V101))</f>
        <v>194.85332846200001</v>
      </c>
      <c r="W99" s="2">
        <f>LARGE(BZ:BZ,ROWS(W$90:W101))</f>
        <v>190.546661903</v>
      </c>
      <c r="AM99">
        <v>95</v>
      </c>
      <c r="AN99">
        <v>-158.80000000000001</v>
      </c>
      <c r="AO99">
        <f t="shared" si="14"/>
        <v>-21.173332804000001</v>
      </c>
      <c r="AP99">
        <v>-61.8</v>
      </c>
      <c r="AQ99">
        <f t="shared" si="15"/>
        <v>-8.2399997939999992</v>
      </c>
      <c r="AR99">
        <v>186.3</v>
      </c>
      <c r="AS99">
        <f t="shared" si="16"/>
        <v>24.839999379000002</v>
      </c>
      <c r="AT99">
        <v>123.6</v>
      </c>
      <c r="AU99">
        <f t="shared" si="17"/>
        <v>16.479999958800001</v>
      </c>
      <c r="AV99">
        <v>962.4</v>
      </c>
      <c r="AW99">
        <f t="shared" si="18"/>
        <v>128.31996791999998</v>
      </c>
      <c r="AX99">
        <v>881.3</v>
      </c>
      <c r="AY99">
        <f t="shared" si="19"/>
        <v>117.506663729</v>
      </c>
      <c r="BN99">
        <v>95</v>
      </c>
      <c r="BO99">
        <v>242.3</v>
      </c>
      <c r="BP99">
        <f t="shared" si="20"/>
        <v>32.306665858999999</v>
      </c>
      <c r="BQ99">
        <v>-188.7</v>
      </c>
      <c r="BR99">
        <f t="shared" si="21"/>
        <v>-25.159999370999998</v>
      </c>
      <c r="BS99">
        <v>4.9000000000000004</v>
      </c>
      <c r="BT99">
        <f t="shared" si="22"/>
        <v>0.65333331700000008</v>
      </c>
      <c r="BU99">
        <v>591.1</v>
      </c>
      <c r="BV99">
        <f t="shared" si="23"/>
        <v>78.813331363000003</v>
      </c>
      <c r="BW99">
        <v>1326.1</v>
      </c>
      <c r="BX99">
        <f t="shared" si="24"/>
        <v>176.81332891299999</v>
      </c>
      <c r="BY99">
        <v>1062.4000000000001</v>
      </c>
      <c r="BZ99">
        <f t="shared" si="25"/>
        <v>141.65332979200002</v>
      </c>
    </row>
    <row r="100" spans="1:78" x14ac:dyDescent="0.35">
      <c r="A100">
        <v>96</v>
      </c>
      <c r="B100">
        <v>-174</v>
      </c>
      <c r="C100">
        <v>-112</v>
      </c>
      <c r="D100">
        <v>210.7</v>
      </c>
      <c r="E100">
        <v>167.3</v>
      </c>
      <c r="F100">
        <v>920.7</v>
      </c>
      <c r="G100">
        <v>958.1</v>
      </c>
      <c r="I100">
        <v>96</v>
      </c>
      <c r="J100">
        <v>259.39999999999998</v>
      </c>
      <c r="K100">
        <v>-212.4</v>
      </c>
      <c r="L100">
        <v>11.6</v>
      </c>
      <c r="M100">
        <v>560.1</v>
      </c>
      <c r="N100">
        <v>1374</v>
      </c>
      <c r="O100">
        <v>1038.9000000000001</v>
      </c>
      <c r="R100" s="2">
        <f>LARGE(BP:BP,ROWS(R$90:R102))</f>
        <v>36.053332431999998</v>
      </c>
      <c r="S100" s="2">
        <f>LARGE(BR:BR,ROWS(S$90:S102))</f>
        <v>23.293332750999998</v>
      </c>
      <c r="T100" s="2">
        <f>LARGE(BT:BT,ROWS(T$90:T102))</f>
        <v>20.626666150999998</v>
      </c>
      <c r="U100" s="2">
        <f>LARGE(BV:BV,ROWS(U$90:U102))</f>
        <v>168.26666245999999</v>
      </c>
      <c r="V100" s="2">
        <f>LARGE(BX:BX,ROWS(V$90:V102))</f>
        <v>194.38666180700002</v>
      </c>
      <c r="W100" s="2">
        <f>LARGE(BZ:BZ,ROWS(W$90:W102))</f>
        <v>188.45332862200002</v>
      </c>
      <c r="AM100">
        <v>96</v>
      </c>
      <c r="AN100">
        <v>-174</v>
      </c>
      <c r="AO100">
        <f t="shared" si="14"/>
        <v>-23.199999420000001</v>
      </c>
      <c r="AP100">
        <v>-112</v>
      </c>
      <c r="AQ100">
        <f t="shared" si="15"/>
        <v>-14.93333296</v>
      </c>
      <c r="AR100">
        <v>210.7</v>
      </c>
      <c r="AS100">
        <f t="shared" si="16"/>
        <v>28.093332630999999</v>
      </c>
      <c r="AT100">
        <v>167.3</v>
      </c>
      <c r="AU100">
        <f t="shared" si="17"/>
        <v>22.306666610900002</v>
      </c>
      <c r="AV100">
        <v>920.7</v>
      </c>
      <c r="AW100">
        <f t="shared" si="18"/>
        <v>122.75996930999999</v>
      </c>
      <c r="AX100">
        <v>958.1</v>
      </c>
      <c r="AY100">
        <f t="shared" si="19"/>
        <v>127.746663473</v>
      </c>
      <c r="BN100">
        <v>96</v>
      </c>
      <c r="BO100">
        <v>259.39999999999998</v>
      </c>
      <c r="BP100">
        <f t="shared" si="20"/>
        <v>34.586665801999999</v>
      </c>
      <c r="BQ100">
        <v>-212.4</v>
      </c>
      <c r="BR100">
        <f t="shared" si="21"/>
        <v>-28.319999292000002</v>
      </c>
      <c r="BS100">
        <v>11.6</v>
      </c>
      <c r="BT100">
        <f t="shared" si="22"/>
        <v>1.5466666279999999</v>
      </c>
      <c r="BU100">
        <v>560.1</v>
      </c>
      <c r="BV100">
        <f t="shared" si="23"/>
        <v>74.679998132999998</v>
      </c>
      <c r="BW100">
        <v>1374</v>
      </c>
      <c r="BX100">
        <f t="shared" si="24"/>
        <v>183.19999541999999</v>
      </c>
      <c r="BY100">
        <v>1038.9000000000001</v>
      </c>
      <c r="BZ100">
        <f t="shared" si="25"/>
        <v>138.51999653700003</v>
      </c>
    </row>
    <row r="101" spans="1:78" x14ac:dyDescent="0.35">
      <c r="A101">
        <v>97</v>
      </c>
      <c r="B101">
        <v>-186.3</v>
      </c>
      <c r="C101">
        <v>-160.9</v>
      </c>
      <c r="D101">
        <v>230.1</v>
      </c>
      <c r="E101">
        <v>201.3</v>
      </c>
      <c r="F101">
        <v>882.2</v>
      </c>
      <c r="G101">
        <v>1030</v>
      </c>
      <c r="I101">
        <v>97</v>
      </c>
      <c r="J101">
        <v>261.10000000000002</v>
      </c>
      <c r="K101">
        <v>-173.1</v>
      </c>
      <c r="L101">
        <v>-19.2</v>
      </c>
      <c r="M101">
        <v>526.4</v>
      </c>
      <c r="N101">
        <v>1413.2</v>
      </c>
      <c r="O101">
        <v>1017</v>
      </c>
      <c r="AM101">
        <v>97</v>
      </c>
      <c r="AN101">
        <v>-186.3</v>
      </c>
      <c r="AO101">
        <f t="shared" si="14"/>
        <v>-24.839999379000002</v>
      </c>
      <c r="AP101">
        <v>-160.9</v>
      </c>
      <c r="AQ101">
        <f t="shared" si="15"/>
        <v>-21.453332797000002</v>
      </c>
      <c r="AR101">
        <v>230.1</v>
      </c>
      <c r="AS101">
        <f t="shared" si="16"/>
        <v>30.679999233</v>
      </c>
      <c r="AT101">
        <v>201.3</v>
      </c>
      <c r="AU101">
        <f t="shared" si="17"/>
        <v>26.8399999329</v>
      </c>
      <c r="AV101">
        <v>882.2</v>
      </c>
      <c r="AW101">
        <f t="shared" si="18"/>
        <v>117.62663726</v>
      </c>
      <c r="AX101">
        <v>1030</v>
      </c>
      <c r="AY101">
        <f t="shared" si="19"/>
        <v>137.3333299</v>
      </c>
      <c r="BN101">
        <v>97</v>
      </c>
      <c r="BO101">
        <v>261.10000000000002</v>
      </c>
      <c r="BP101">
        <f t="shared" si="20"/>
        <v>34.813332463000002</v>
      </c>
      <c r="BQ101">
        <v>-173.1</v>
      </c>
      <c r="BR101">
        <f t="shared" si="21"/>
        <v>-23.079999423</v>
      </c>
      <c r="BS101">
        <v>-19.2</v>
      </c>
      <c r="BT101">
        <f t="shared" si="22"/>
        <v>-2.5599999360000001</v>
      </c>
      <c r="BU101">
        <v>526.4</v>
      </c>
      <c r="BV101">
        <f t="shared" si="23"/>
        <v>70.186664911999998</v>
      </c>
      <c r="BW101">
        <v>1413.2</v>
      </c>
      <c r="BX101">
        <f t="shared" si="24"/>
        <v>188.426661956</v>
      </c>
      <c r="BY101">
        <v>1017</v>
      </c>
      <c r="BZ101">
        <f t="shared" si="25"/>
        <v>135.59999661000001</v>
      </c>
    </row>
    <row r="102" spans="1:78" x14ac:dyDescent="0.35">
      <c r="A102">
        <v>98</v>
      </c>
      <c r="B102">
        <v>-158.80000000000001</v>
      </c>
      <c r="C102">
        <v>-208.4</v>
      </c>
      <c r="D102">
        <v>246.5</v>
      </c>
      <c r="E102">
        <v>230.6</v>
      </c>
      <c r="F102">
        <v>846</v>
      </c>
      <c r="G102">
        <v>1093.3</v>
      </c>
      <c r="I102">
        <v>98</v>
      </c>
      <c r="J102">
        <v>276</v>
      </c>
      <c r="K102">
        <v>-96</v>
      </c>
      <c r="L102">
        <v>-52.1</v>
      </c>
      <c r="M102">
        <v>492.1</v>
      </c>
      <c r="N102">
        <v>1392.9</v>
      </c>
      <c r="O102">
        <v>996.8</v>
      </c>
      <c r="AM102">
        <v>98</v>
      </c>
      <c r="AN102">
        <v>-158.80000000000001</v>
      </c>
      <c r="AO102">
        <f t="shared" si="14"/>
        <v>-21.173332804000001</v>
      </c>
      <c r="AP102">
        <v>-208.4</v>
      </c>
      <c r="AQ102">
        <f t="shared" si="15"/>
        <v>-27.786665972000002</v>
      </c>
      <c r="AR102">
        <v>246.5</v>
      </c>
      <c r="AS102">
        <f t="shared" si="16"/>
        <v>32.866665845</v>
      </c>
      <c r="AT102">
        <v>230.6</v>
      </c>
      <c r="AU102">
        <f t="shared" si="17"/>
        <v>30.7466665898</v>
      </c>
      <c r="AV102">
        <v>846</v>
      </c>
      <c r="AW102">
        <f t="shared" si="18"/>
        <v>112.79997179999999</v>
      </c>
      <c r="AX102">
        <v>1093.3</v>
      </c>
      <c r="AY102">
        <f t="shared" si="19"/>
        <v>145.77332968900001</v>
      </c>
      <c r="BN102">
        <v>98</v>
      </c>
      <c r="BO102">
        <v>276</v>
      </c>
      <c r="BP102">
        <f t="shared" si="20"/>
        <v>36.799999079999999</v>
      </c>
      <c r="BQ102">
        <v>-96</v>
      </c>
      <c r="BR102">
        <f t="shared" si="21"/>
        <v>-12.799999679999999</v>
      </c>
      <c r="BS102">
        <v>-52.1</v>
      </c>
      <c r="BT102">
        <f t="shared" si="22"/>
        <v>-6.9466664930000004</v>
      </c>
      <c r="BU102">
        <v>492.1</v>
      </c>
      <c r="BV102">
        <f t="shared" si="23"/>
        <v>65.613331693000006</v>
      </c>
      <c r="BW102">
        <v>1392.9</v>
      </c>
      <c r="BX102">
        <f t="shared" si="24"/>
        <v>185.71999535700002</v>
      </c>
      <c r="BY102">
        <v>996.8</v>
      </c>
      <c r="BZ102">
        <f t="shared" si="25"/>
        <v>132.90666334399998</v>
      </c>
    </row>
    <row r="103" spans="1:78" x14ac:dyDescent="0.35">
      <c r="A103">
        <v>99</v>
      </c>
      <c r="B103">
        <v>-112.4</v>
      </c>
      <c r="C103">
        <v>-253.9</v>
      </c>
      <c r="D103">
        <v>260.8</v>
      </c>
      <c r="E103">
        <v>256.89999999999998</v>
      </c>
      <c r="F103">
        <v>811.3</v>
      </c>
      <c r="G103">
        <v>1149.5</v>
      </c>
      <c r="I103">
        <v>99</v>
      </c>
      <c r="J103">
        <v>262</v>
      </c>
      <c r="K103">
        <v>-33.799999999999997</v>
      </c>
      <c r="L103">
        <v>-81.099999999999994</v>
      </c>
      <c r="M103">
        <v>457.6</v>
      </c>
      <c r="N103">
        <v>1329.8</v>
      </c>
      <c r="O103">
        <v>978.4</v>
      </c>
      <c r="AM103">
        <v>99</v>
      </c>
      <c r="AN103">
        <v>-112.4</v>
      </c>
      <c r="AO103">
        <f t="shared" si="14"/>
        <v>-14.986666292000001</v>
      </c>
      <c r="AP103">
        <v>-253.9</v>
      </c>
      <c r="AQ103">
        <f t="shared" si="15"/>
        <v>-33.853332487000003</v>
      </c>
      <c r="AR103">
        <v>260.8</v>
      </c>
      <c r="AS103">
        <f t="shared" si="16"/>
        <v>34.773332463999999</v>
      </c>
      <c r="AT103">
        <v>256.89999999999998</v>
      </c>
      <c r="AU103">
        <f t="shared" si="17"/>
        <v>34.253333247699999</v>
      </c>
      <c r="AV103">
        <v>811.3</v>
      </c>
      <c r="AW103">
        <f t="shared" si="18"/>
        <v>108.17330628999999</v>
      </c>
      <c r="AX103">
        <v>1149.5</v>
      </c>
      <c r="AY103">
        <f t="shared" si="19"/>
        <v>153.26666283500001</v>
      </c>
      <c r="BN103">
        <v>99</v>
      </c>
      <c r="BO103">
        <v>262</v>
      </c>
      <c r="BP103">
        <f t="shared" si="20"/>
        <v>34.933332460000003</v>
      </c>
      <c r="BQ103">
        <v>-33.799999999999997</v>
      </c>
      <c r="BR103">
        <f t="shared" si="21"/>
        <v>-4.5066665539999997</v>
      </c>
      <c r="BS103">
        <v>-81.099999999999994</v>
      </c>
      <c r="BT103">
        <f t="shared" si="22"/>
        <v>-10.813333063</v>
      </c>
      <c r="BU103">
        <v>457.6</v>
      </c>
      <c r="BV103">
        <f t="shared" si="23"/>
        <v>61.013331808000004</v>
      </c>
      <c r="BW103">
        <v>1329.8</v>
      </c>
      <c r="BX103">
        <f t="shared" si="24"/>
        <v>177.30666223399999</v>
      </c>
      <c r="BY103">
        <v>978.4</v>
      </c>
      <c r="BZ103">
        <f t="shared" si="25"/>
        <v>130.453330072</v>
      </c>
    </row>
    <row r="104" spans="1:78" x14ac:dyDescent="0.35">
      <c r="A104">
        <v>100</v>
      </c>
      <c r="B104">
        <v>-69.900000000000006</v>
      </c>
      <c r="C104">
        <v>-296.8</v>
      </c>
      <c r="D104">
        <v>273.5</v>
      </c>
      <c r="E104">
        <v>281.2</v>
      </c>
      <c r="F104">
        <v>777</v>
      </c>
      <c r="G104">
        <v>1202.0999999999999</v>
      </c>
      <c r="I104">
        <v>100</v>
      </c>
      <c r="J104">
        <v>233.7</v>
      </c>
      <c r="K104">
        <v>14.3</v>
      </c>
      <c r="L104">
        <v>-108.8</v>
      </c>
      <c r="M104">
        <v>423.7</v>
      </c>
      <c r="N104">
        <v>1277.9000000000001</v>
      </c>
      <c r="O104">
        <v>960.7</v>
      </c>
      <c r="AM104">
        <v>100</v>
      </c>
      <c r="AN104">
        <v>-69.900000000000006</v>
      </c>
      <c r="AO104">
        <f t="shared" si="14"/>
        <v>-9.3199997670000005</v>
      </c>
      <c r="AP104">
        <v>-296.8</v>
      </c>
      <c r="AQ104">
        <f t="shared" si="15"/>
        <v>-39.573332344000001</v>
      </c>
      <c r="AR104">
        <v>273.5</v>
      </c>
      <c r="AS104">
        <f t="shared" si="16"/>
        <v>36.466665755000001</v>
      </c>
      <c r="AT104">
        <v>281.2</v>
      </c>
      <c r="AU104">
        <f t="shared" si="17"/>
        <v>37.493333239599998</v>
      </c>
      <c r="AV104">
        <v>777</v>
      </c>
      <c r="AW104">
        <f t="shared" si="18"/>
        <v>103.5999741</v>
      </c>
      <c r="AX104">
        <v>1202.0999999999999</v>
      </c>
      <c r="AY104">
        <f t="shared" si="19"/>
        <v>160.279995993</v>
      </c>
      <c r="BN104">
        <v>100</v>
      </c>
      <c r="BO104">
        <v>233.7</v>
      </c>
      <c r="BP104">
        <f t="shared" si="20"/>
        <v>31.159999221</v>
      </c>
      <c r="BQ104">
        <v>14.3</v>
      </c>
      <c r="BR104">
        <f t="shared" si="21"/>
        <v>1.9066666190000001</v>
      </c>
      <c r="BS104">
        <v>-108.8</v>
      </c>
      <c r="BT104">
        <f t="shared" si="22"/>
        <v>-14.506666303999999</v>
      </c>
      <c r="BU104">
        <v>423.7</v>
      </c>
      <c r="BV104">
        <f t="shared" si="23"/>
        <v>56.493331920999999</v>
      </c>
      <c r="BW104">
        <v>1277.9000000000001</v>
      </c>
      <c r="BX104">
        <f t="shared" si="24"/>
        <v>170.38666240700002</v>
      </c>
      <c r="BY104">
        <v>960.7</v>
      </c>
      <c r="BZ104">
        <f t="shared" si="25"/>
        <v>128.09333013100002</v>
      </c>
    </row>
    <row r="105" spans="1:78" x14ac:dyDescent="0.35">
      <c r="A105">
        <v>101</v>
      </c>
      <c r="B105">
        <v>-39.700000000000003</v>
      </c>
      <c r="C105">
        <v>-336.8</v>
      </c>
      <c r="D105">
        <v>285.10000000000002</v>
      </c>
      <c r="E105">
        <v>303.89999999999998</v>
      </c>
      <c r="F105">
        <v>744.1</v>
      </c>
      <c r="G105">
        <v>1251.5999999999999</v>
      </c>
      <c r="I105">
        <v>101</v>
      </c>
      <c r="J105">
        <v>207.2</v>
      </c>
      <c r="K105">
        <v>52.3</v>
      </c>
      <c r="L105">
        <v>-136.19999999999999</v>
      </c>
      <c r="M105">
        <v>390.9</v>
      </c>
      <c r="N105">
        <v>1233.5999999999999</v>
      </c>
      <c r="O105">
        <v>944</v>
      </c>
      <c r="AM105">
        <v>101</v>
      </c>
      <c r="AN105">
        <v>-39.700000000000003</v>
      </c>
      <c r="AO105">
        <f t="shared" si="14"/>
        <v>-5.2933332010000003</v>
      </c>
      <c r="AP105">
        <v>-336.8</v>
      </c>
      <c r="AQ105">
        <f t="shared" si="15"/>
        <v>-44.906665543999999</v>
      </c>
      <c r="AR105">
        <v>285.10000000000002</v>
      </c>
      <c r="AS105">
        <f t="shared" si="16"/>
        <v>38.013332383000005</v>
      </c>
      <c r="AT105">
        <v>303.89999999999998</v>
      </c>
      <c r="AU105">
        <f t="shared" si="17"/>
        <v>40.519999898699993</v>
      </c>
      <c r="AV105">
        <v>744.1</v>
      </c>
      <c r="AW105">
        <f t="shared" si="18"/>
        <v>99.213308529999992</v>
      </c>
      <c r="AX105">
        <v>1251.5999999999999</v>
      </c>
      <c r="AY105">
        <f t="shared" si="19"/>
        <v>166.87999582799998</v>
      </c>
      <c r="BN105">
        <v>101</v>
      </c>
      <c r="BO105">
        <v>207.2</v>
      </c>
      <c r="BP105">
        <f t="shared" si="20"/>
        <v>27.626665975999998</v>
      </c>
      <c r="BQ105">
        <v>52.3</v>
      </c>
      <c r="BR105">
        <f t="shared" si="21"/>
        <v>6.9733331590000001</v>
      </c>
      <c r="BS105">
        <v>-136.19999999999999</v>
      </c>
      <c r="BT105">
        <f t="shared" si="22"/>
        <v>-18.159999545999998</v>
      </c>
      <c r="BU105">
        <v>390.9</v>
      </c>
      <c r="BV105">
        <f t="shared" si="23"/>
        <v>52.119998697</v>
      </c>
      <c r="BW105">
        <v>1233.5999999999999</v>
      </c>
      <c r="BX105">
        <f t="shared" si="24"/>
        <v>164.47999588799999</v>
      </c>
      <c r="BY105">
        <v>944</v>
      </c>
      <c r="BZ105">
        <f t="shared" si="25"/>
        <v>125.86666352</v>
      </c>
    </row>
    <row r="106" spans="1:78" x14ac:dyDescent="0.35">
      <c r="A106">
        <v>102</v>
      </c>
      <c r="B106">
        <v>-8.9</v>
      </c>
      <c r="C106">
        <v>-373.6</v>
      </c>
      <c r="D106">
        <v>290.5</v>
      </c>
      <c r="E106">
        <v>325.39999999999998</v>
      </c>
      <c r="F106">
        <v>734.9</v>
      </c>
      <c r="G106">
        <v>1298.2</v>
      </c>
      <c r="I106">
        <v>102</v>
      </c>
      <c r="J106">
        <v>182.8</v>
      </c>
      <c r="K106">
        <v>82.7</v>
      </c>
      <c r="L106">
        <v>-164</v>
      </c>
      <c r="M106">
        <v>359.3</v>
      </c>
      <c r="N106">
        <v>1194.2</v>
      </c>
      <c r="O106">
        <v>927.9</v>
      </c>
      <c r="AM106">
        <v>102</v>
      </c>
      <c r="AN106">
        <v>-8.9</v>
      </c>
      <c r="AO106">
        <f t="shared" si="14"/>
        <v>-1.1866666370000001</v>
      </c>
      <c r="AP106">
        <v>-373.6</v>
      </c>
      <c r="AQ106">
        <f t="shared" si="15"/>
        <v>-49.813332088000003</v>
      </c>
      <c r="AR106">
        <v>290.5</v>
      </c>
      <c r="AS106">
        <f t="shared" si="16"/>
        <v>38.733332365000003</v>
      </c>
      <c r="AT106">
        <v>325.39999999999998</v>
      </c>
      <c r="AU106">
        <f t="shared" si="17"/>
        <v>43.386666558199998</v>
      </c>
      <c r="AV106">
        <v>734.9</v>
      </c>
      <c r="AW106">
        <f t="shared" si="18"/>
        <v>97.986642169999982</v>
      </c>
      <c r="AX106">
        <v>1298.2</v>
      </c>
      <c r="AY106">
        <f t="shared" si="19"/>
        <v>173.093329006</v>
      </c>
      <c r="BN106">
        <v>102</v>
      </c>
      <c r="BO106">
        <v>182.8</v>
      </c>
      <c r="BP106">
        <f t="shared" si="20"/>
        <v>24.373332724000001</v>
      </c>
      <c r="BQ106">
        <v>82.7</v>
      </c>
      <c r="BR106">
        <f t="shared" si="21"/>
        <v>11.026666391000001</v>
      </c>
      <c r="BS106">
        <v>-164</v>
      </c>
      <c r="BT106">
        <f t="shared" si="22"/>
        <v>-21.866666120000001</v>
      </c>
      <c r="BU106">
        <v>359.3</v>
      </c>
      <c r="BV106">
        <f t="shared" si="23"/>
        <v>47.906665469000004</v>
      </c>
      <c r="BW106">
        <v>1194.2</v>
      </c>
      <c r="BX106">
        <f t="shared" si="24"/>
        <v>159.226662686</v>
      </c>
      <c r="BY106">
        <v>927.9</v>
      </c>
      <c r="BZ106">
        <f t="shared" si="25"/>
        <v>123.719996907</v>
      </c>
    </row>
    <row r="107" spans="1:78" x14ac:dyDescent="0.35">
      <c r="A107">
        <v>103</v>
      </c>
      <c r="B107">
        <v>11.4</v>
      </c>
      <c r="C107">
        <v>-407.1</v>
      </c>
      <c r="D107">
        <v>262.60000000000002</v>
      </c>
      <c r="E107">
        <v>343.5</v>
      </c>
      <c r="F107">
        <v>780.6</v>
      </c>
      <c r="G107">
        <v>1342</v>
      </c>
      <c r="I107">
        <v>103</v>
      </c>
      <c r="J107">
        <v>160.4</v>
      </c>
      <c r="K107">
        <v>107.4</v>
      </c>
      <c r="L107">
        <v>-192.8</v>
      </c>
      <c r="M107">
        <v>329.4</v>
      </c>
      <c r="N107">
        <v>1158.5999999999999</v>
      </c>
      <c r="O107">
        <v>912.5</v>
      </c>
      <c r="AM107">
        <v>103</v>
      </c>
      <c r="AN107">
        <v>11.4</v>
      </c>
      <c r="AO107">
        <f t="shared" si="14"/>
        <v>1.519999962</v>
      </c>
      <c r="AP107">
        <v>-407.1</v>
      </c>
      <c r="AQ107">
        <f t="shared" si="15"/>
        <v>-54.279998643000006</v>
      </c>
      <c r="AR107">
        <v>262.60000000000002</v>
      </c>
      <c r="AS107">
        <f t="shared" si="16"/>
        <v>35.013332458000001</v>
      </c>
      <c r="AT107">
        <v>343.5</v>
      </c>
      <c r="AU107">
        <f t="shared" si="17"/>
        <v>45.7999998855</v>
      </c>
      <c r="AV107">
        <v>780.6</v>
      </c>
      <c r="AW107">
        <f t="shared" si="18"/>
        <v>104.07997397999999</v>
      </c>
      <c r="AX107">
        <v>1342</v>
      </c>
      <c r="AY107">
        <f t="shared" si="19"/>
        <v>178.93332885999999</v>
      </c>
      <c r="BN107">
        <v>103</v>
      </c>
      <c r="BO107">
        <v>160.4</v>
      </c>
      <c r="BP107">
        <f t="shared" si="20"/>
        <v>21.386666132000002</v>
      </c>
      <c r="BQ107">
        <v>107.4</v>
      </c>
      <c r="BR107">
        <f t="shared" si="21"/>
        <v>14.319999642000001</v>
      </c>
      <c r="BS107">
        <v>-192.8</v>
      </c>
      <c r="BT107">
        <f t="shared" si="22"/>
        <v>-25.706666024</v>
      </c>
      <c r="BU107">
        <v>329.4</v>
      </c>
      <c r="BV107">
        <f t="shared" si="23"/>
        <v>43.919998901999996</v>
      </c>
      <c r="BW107">
        <v>1158.5999999999999</v>
      </c>
      <c r="BX107">
        <f t="shared" si="24"/>
        <v>154.47999613799999</v>
      </c>
      <c r="BY107">
        <v>912.5</v>
      </c>
      <c r="BZ107">
        <f t="shared" si="25"/>
        <v>121.666663625</v>
      </c>
    </row>
    <row r="108" spans="1:78" x14ac:dyDescent="0.35">
      <c r="A108">
        <v>104</v>
      </c>
      <c r="B108">
        <v>30.1</v>
      </c>
      <c r="C108">
        <v>-436.9</v>
      </c>
      <c r="D108">
        <v>217.8</v>
      </c>
      <c r="E108">
        <v>329.2</v>
      </c>
      <c r="F108">
        <v>867.7</v>
      </c>
      <c r="G108">
        <v>1381</v>
      </c>
      <c r="I108">
        <v>104</v>
      </c>
      <c r="J108">
        <v>140</v>
      </c>
      <c r="K108">
        <v>127.5</v>
      </c>
      <c r="L108">
        <v>-222.8</v>
      </c>
      <c r="M108">
        <v>301.2</v>
      </c>
      <c r="N108">
        <v>1126.3</v>
      </c>
      <c r="O108">
        <v>897.8</v>
      </c>
      <c r="AM108">
        <v>104</v>
      </c>
      <c r="AN108">
        <v>30.1</v>
      </c>
      <c r="AO108">
        <f t="shared" si="14"/>
        <v>4.013333233</v>
      </c>
      <c r="AP108">
        <v>-436.9</v>
      </c>
      <c r="AQ108">
        <f t="shared" si="15"/>
        <v>-58.253331876999994</v>
      </c>
      <c r="AR108">
        <v>217.8</v>
      </c>
      <c r="AS108">
        <f t="shared" si="16"/>
        <v>29.039999274000003</v>
      </c>
      <c r="AT108">
        <v>329.2</v>
      </c>
      <c r="AU108">
        <f t="shared" si="17"/>
        <v>43.893333223599996</v>
      </c>
      <c r="AV108">
        <v>867.7</v>
      </c>
      <c r="AW108">
        <f t="shared" si="18"/>
        <v>115.69330441</v>
      </c>
      <c r="AX108">
        <v>1381</v>
      </c>
      <c r="AY108">
        <f t="shared" si="19"/>
        <v>184.13332872999999</v>
      </c>
      <c r="BN108">
        <v>104</v>
      </c>
      <c r="BO108">
        <v>140</v>
      </c>
      <c r="BP108">
        <f t="shared" si="20"/>
        <v>18.666666200000002</v>
      </c>
      <c r="BQ108">
        <v>127.5</v>
      </c>
      <c r="BR108">
        <f t="shared" si="21"/>
        <v>16.999999575</v>
      </c>
      <c r="BS108">
        <v>-222.8</v>
      </c>
      <c r="BT108">
        <f t="shared" si="22"/>
        <v>-29.706665924000003</v>
      </c>
      <c r="BU108">
        <v>301.2</v>
      </c>
      <c r="BV108">
        <f t="shared" si="23"/>
        <v>40.159998995999999</v>
      </c>
      <c r="BW108">
        <v>1126.3</v>
      </c>
      <c r="BX108">
        <f t="shared" si="24"/>
        <v>150.17332957899998</v>
      </c>
      <c r="BY108">
        <v>897.8</v>
      </c>
      <c r="BZ108">
        <f t="shared" si="25"/>
        <v>119.706663674</v>
      </c>
    </row>
    <row r="109" spans="1:78" x14ac:dyDescent="0.35">
      <c r="A109">
        <v>105</v>
      </c>
      <c r="B109">
        <v>46</v>
      </c>
      <c r="C109">
        <v>-435.7</v>
      </c>
      <c r="D109">
        <v>178.9</v>
      </c>
      <c r="E109">
        <v>274.60000000000002</v>
      </c>
      <c r="F109">
        <v>941.8</v>
      </c>
      <c r="G109">
        <v>1378.8</v>
      </c>
      <c r="I109">
        <v>105</v>
      </c>
      <c r="J109">
        <v>121.4</v>
      </c>
      <c r="K109">
        <v>144.30000000000001</v>
      </c>
      <c r="L109">
        <v>-254.3</v>
      </c>
      <c r="M109">
        <v>274.7</v>
      </c>
      <c r="N109">
        <v>1096.5</v>
      </c>
      <c r="O109">
        <v>883.6</v>
      </c>
      <c r="AM109">
        <v>105</v>
      </c>
      <c r="AN109">
        <v>46</v>
      </c>
      <c r="AO109">
        <f t="shared" si="14"/>
        <v>6.1333331800000002</v>
      </c>
      <c r="AP109">
        <v>-435.7</v>
      </c>
      <c r="AQ109">
        <f t="shared" si="15"/>
        <v>-58.093331880999997</v>
      </c>
      <c r="AR109">
        <v>178.9</v>
      </c>
      <c r="AS109">
        <f t="shared" si="16"/>
        <v>23.853332737000002</v>
      </c>
      <c r="AT109">
        <v>274.60000000000002</v>
      </c>
      <c r="AU109">
        <f t="shared" si="17"/>
        <v>36.613333241799999</v>
      </c>
      <c r="AV109">
        <v>941.8</v>
      </c>
      <c r="AW109">
        <f t="shared" si="18"/>
        <v>125.57330193999998</v>
      </c>
      <c r="AX109">
        <v>1378.8</v>
      </c>
      <c r="AY109">
        <f t="shared" si="19"/>
        <v>183.83999540400001</v>
      </c>
      <c r="BN109">
        <v>105</v>
      </c>
      <c r="BO109">
        <v>121.4</v>
      </c>
      <c r="BP109">
        <f t="shared" si="20"/>
        <v>16.186666261999999</v>
      </c>
      <c r="BQ109">
        <v>144.30000000000001</v>
      </c>
      <c r="BR109">
        <f t="shared" si="21"/>
        <v>19.239999519000001</v>
      </c>
      <c r="BS109">
        <v>-254.3</v>
      </c>
      <c r="BT109">
        <f t="shared" si="22"/>
        <v>-33.906665819000004</v>
      </c>
      <c r="BU109">
        <v>274.7</v>
      </c>
      <c r="BV109">
        <f t="shared" si="23"/>
        <v>36.626665750999997</v>
      </c>
      <c r="BW109">
        <v>1096.5</v>
      </c>
      <c r="BX109">
        <f t="shared" si="24"/>
        <v>146.19999634499999</v>
      </c>
      <c r="BY109">
        <v>883.6</v>
      </c>
      <c r="BZ109">
        <f t="shared" si="25"/>
        <v>117.813330388</v>
      </c>
    </row>
    <row r="110" spans="1:78" x14ac:dyDescent="0.35">
      <c r="A110">
        <v>106</v>
      </c>
      <c r="B110">
        <v>54.6</v>
      </c>
      <c r="C110">
        <v>-349.3</v>
      </c>
      <c r="D110">
        <v>143.80000000000001</v>
      </c>
      <c r="E110">
        <v>225.6</v>
      </c>
      <c r="F110">
        <v>997.2</v>
      </c>
      <c r="G110">
        <v>1295.7</v>
      </c>
      <c r="I110">
        <v>106</v>
      </c>
      <c r="J110">
        <v>104.4</v>
      </c>
      <c r="K110">
        <v>158.4</v>
      </c>
      <c r="L110">
        <v>-286.8</v>
      </c>
      <c r="M110">
        <v>250.4</v>
      </c>
      <c r="N110">
        <v>1068.9000000000001</v>
      </c>
      <c r="O110">
        <v>869.8</v>
      </c>
      <c r="AM110">
        <v>106</v>
      </c>
      <c r="AN110">
        <v>54.6</v>
      </c>
      <c r="AO110">
        <f t="shared" si="14"/>
        <v>7.2799998180000003</v>
      </c>
      <c r="AP110">
        <v>-349.3</v>
      </c>
      <c r="AQ110">
        <f t="shared" si="15"/>
        <v>-46.573332169000004</v>
      </c>
      <c r="AR110">
        <v>143.80000000000001</v>
      </c>
      <c r="AS110">
        <f t="shared" si="16"/>
        <v>19.173332854000002</v>
      </c>
      <c r="AT110">
        <v>225.6</v>
      </c>
      <c r="AU110">
        <f t="shared" si="17"/>
        <v>30.079999924799999</v>
      </c>
      <c r="AV110">
        <v>997.2</v>
      </c>
      <c r="AW110">
        <f t="shared" si="18"/>
        <v>132.95996675999999</v>
      </c>
      <c r="AX110">
        <v>1295.7</v>
      </c>
      <c r="AY110">
        <f t="shared" si="19"/>
        <v>172.75999568099999</v>
      </c>
      <c r="BN110">
        <v>106</v>
      </c>
      <c r="BO110">
        <v>104.4</v>
      </c>
      <c r="BP110">
        <f t="shared" si="20"/>
        <v>13.919999652000001</v>
      </c>
      <c r="BQ110">
        <v>158.4</v>
      </c>
      <c r="BR110">
        <f t="shared" si="21"/>
        <v>21.119999472</v>
      </c>
      <c r="BS110">
        <v>-286.8</v>
      </c>
      <c r="BT110">
        <f t="shared" si="22"/>
        <v>-38.239999044000001</v>
      </c>
      <c r="BU110">
        <v>250.4</v>
      </c>
      <c r="BV110">
        <f t="shared" si="23"/>
        <v>33.386665831999998</v>
      </c>
      <c r="BW110">
        <v>1068.9000000000001</v>
      </c>
      <c r="BX110">
        <f t="shared" si="24"/>
        <v>142.519996437</v>
      </c>
      <c r="BY110">
        <v>869.8</v>
      </c>
      <c r="BZ110">
        <f t="shared" si="25"/>
        <v>115.97333043399999</v>
      </c>
    </row>
    <row r="111" spans="1:78" x14ac:dyDescent="0.35">
      <c r="A111">
        <v>107</v>
      </c>
      <c r="B111">
        <v>68.2</v>
      </c>
      <c r="C111">
        <v>-250.9</v>
      </c>
      <c r="D111">
        <v>110.3</v>
      </c>
      <c r="E111">
        <v>184.1</v>
      </c>
      <c r="F111">
        <v>1044.0999999999999</v>
      </c>
      <c r="G111">
        <v>1206.4000000000001</v>
      </c>
      <c r="I111">
        <v>107</v>
      </c>
      <c r="J111">
        <v>89</v>
      </c>
      <c r="K111">
        <v>168.7</v>
      </c>
      <c r="L111">
        <v>-316.7</v>
      </c>
      <c r="M111">
        <v>254.5</v>
      </c>
      <c r="N111">
        <v>1043.5</v>
      </c>
      <c r="O111">
        <v>856.4</v>
      </c>
      <c r="AM111">
        <v>107</v>
      </c>
      <c r="AN111">
        <v>68.2</v>
      </c>
      <c r="AO111">
        <f t="shared" si="14"/>
        <v>9.0933331060000011</v>
      </c>
      <c r="AP111">
        <v>-250.9</v>
      </c>
      <c r="AQ111">
        <f t="shared" si="15"/>
        <v>-33.453332496999998</v>
      </c>
      <c r="AR111">
        <v>110.3</v>
      </c>
      <c r="AS111">
        <f t="shared" si="16"/>
        <v>14.706666299</v>
      </c>
      <c r="AT111">
        <v>184.1</v>
      </c>
      <c r="AU111">
        <f t="shared" si="17"/>
        <v>24.5466666053</v>
      </c>
      <c r="AV111">
        <v>1044.0999999999999</v>
      </c>
      <c r="AW111">
        <f t="shared" si="18"/>
        <v>139.21329852999997</v>
      </c>
      <c r="AX111">
        <v>1206.4000000000001</v>
      </c>
      <c r="AY111">
        <f t="shared" si="19"/>
        <v>160.853329312</v>
      </c>
      <c r="BN111">
        <v>107</v>
      </c>
      <c r="BO111">
        <v>89</v>
      </c>
      <c r="BP111">
        <f t="shared" si="20"/>
        <v>11.866666370000001</v>
      </c>
      <c r="BQ111">
        <v>168.7</v>
      </c>
      <c r="BR111">
        <f t="shared" si="21"/>
        <v>22.493332770999999</v>
      </c>
      <c r="BS111">
        <v>-316.7</v>
      </c>
      <c r="BT111">
        <f t="shared" si="22"/>
        <v>-42.226665611000001</v>
      </c>
      <c r="BU111">
        <v>254.5</v>
      </c>
      <c r="BV111">
        <f t="shared" si="23"/>
        <v>33.933332485000001</v>
      </c>
      <c r="BW111">
        <v>1043.5</v>
      </c>
      <c r="BX111">
        <f t="shared" si="24"/>
        <v>139.133329855</v>
      </c>
      <c r="BY111">
        <v>856.4</v>
      </c>
      <c r="BZ111">
        <f t="shared" si="25"/>
        <v>114.18666381199999</v>
      </c>
    </row>
    <row r="112" spans="1:78" x14ac:dyDescent="0.35">
      <c r="A112">
        <v>108</v>
      </c>
      <c r="B112">
        <v>62.6</v>
      </c>
      <c r="C112">
        <v>-179</v>
      </c>
      <c r="D112">
        <v>76.3</v>
      </c>
      <c r="E112">
        <v>146.69999999999999</v>
      </c>
      <c r="F112">
        <v>1086.5999999999999</v>
      </c>
      <c r="G112">
        <v>1133.7</v>
      </c>
      <c r="I112">
        <v>108</v>
      </c>
      <c r="J112">
        <v>74.900000000000006</v>
      </c>
      <c r="K112">
        <v>160.30000000000001</v>
      </c>
      <c r="L112">
        <v>-303.5</v>
      </c>
      <c r="M112">
        <v>406.8</v>
      </c>
      <c r="N112">
        <v>1019.8</v>
      </c>
      <c r="O112">
        <v>843.2</v>
      </c>
      <c r="AM112">
        <v>108</v>
      </c>
      <c r="AN112">
        <v>62.6</v>
      </c>
      <c r="AO112">
        <f t="shared" si="14"/>
        <v>8.3466664579999996</v>
      </c>
      <c r="AP112">
        <v>-179</v>
      </c>
      <c r="AQ112">
        <f t="shared" si="15"/>
        <v>-23.866666070000001</v>
      </c>
      <c r="AR112">
        <v>76.3</v>
      </c>
      <c r="AS112">
        <f t="shared" si="16"/>
        <v>10.173333078999999</v>
      </c>
      <c r="AT112">
        <v>146.69999999999999</v>
      </c>
      <c r="AU112">
        <f t="shared" si="17"/>
        <v>19.5599999511</v>
      </c>
      <c r="AV112">
        <v>1086.5999999999999</v>
      </c>
      <c r="AW112">
        <f t="shared" si="18"/>
        <v>144.87996377999997</v>
      </c>
      <c r="AX112">
        <v>1133.7</v>
      </c>
      <c r="AY112">
        <f t="shared" si="19"/>
        <v>151.159996221</v>
      </c>
      <c r="BN112">
        <v>108</v>
      </c>
      <c r="BO112">
        <v>74.900000000000006</v>
      </c>
      <c r="BP112">
        <f t="shared" si="20"/>
        <v>9.9866664170000004</v>
      </c>
      <c r="BQ112">
        <v>160.30000000000001</v>
      </c>
      <c r="BR112">
        <f t="shared" si="21"/>
        <v>21.373332799</v>
      </c>
      <c r="BS112">
        <v>-303.5</v>
      </c>
      <c r="BT112">
        <f t="shared" si="22"/>
        <v>-40.466665655</v>
      </c>
      <c r="BU112">
        <v>406.8</v>
      </c>
      <c r="BV112">
        <f t="shared" si="23"/>
        <v>54.239998644000003</v>
      </c>
      <c r="BW112">
        <v>1019.8</v>
      </c>
      <c r="BX112">
        <f t="shared" si="24"/>
        <v>135.97332993399999</v>
      </c>
      <c r="BY112">
        <v>843.2</v>
      </c>
      <c r="BZ112">
        <f t="shared" si="25"/>
        <v>112.426663856</v>
      </c>
    </row>
    <row r="113" spans="1:78" x14ac:dyDescent="0.35">
      <c r="A113">
        <v>109</v>
      </c>
      <c r="B113">
        <v>37</v>
      </c>
      <c r="C113">
        <v>-126</v>
      </c>
      <c r="D113">
        <v>40.1</v>
      </c>
      <c r="E113">
        <v>112.2</v>
      </c>
      <c r="F113">
        <v>1126.8</v>
      </c>
      <c r="G113">
        <v>1072.4000000000001</v>
      </c>
      <c r="I113">
        <v>109</v>
      </c>
      <c r="J113">
        <v>62.1</v>
      </c>
      <c r="K113">
        <v>128.30000000000001</v>
      </c>
      <c r="L113">
        <v>-215.9</v>
      </c>
      <c r="M113">
        <v>643.6</v>
      </c>
      <c r="N113">
        <v>1010.1</v>
      </c>
      <c r="O113">
        <v>830.1</v>
      </c>
      <c r="AM113">
        <v>109</v>
      </c>
      <c r="AN113">
        <v>37</v>
      </c>
      <c r="AO113">
        <f t="shared" si="14"/>
        <v>4.9333332099999998</v>
      </c>
      <c r="AP113">
        <v>-126</v>
      </c>
      <c r="AQ113">
        <f t="shared" si="15"/>
        <v>-16.799999580000001</v>
      </c>
      <c r="AR113">
        <v>40.1</v>
      </c>
      <c r="AS113">
        <f t="shared" si="16"/>
        <v>5.3466665330000005</v>
      </c>
      <c r="AT113">
        <v>112.2</v>
      </c>
      <c r="AU113">
        <f t="shared" si="17"/>
        <v>14.9599999626</v>
      </c>
      <c r="AV113">
        <v>1126.8</v>
      </c>
      <c r="AW113">
        <f t="shared" si="18"/>
        <v>150.23996243999997</v>
      </c>
      <c r="AX113">
        <v>1072.4000000000001</v>
      </c>
      <c r="AY113">
        <f t="shared" si="19"/>
        <v>142.98666309200001</v>
      </c>
      <c r="BN113">
        <v>109</v>
      </c>
      <c r="BO113">
        <v>62.1</v>
      </c>
      <c r="BP113">
        <f t="shared" si="20"/>
        <v>8.279999793</v>
      </c>
      <c r="BQ113">
        <v>128.30000000000001</v>
      </c>
      <c r="BR113">
        <f t="shared" si="21"/>
        <v>17.106666239000003</v>
      </c>
      <c r="BS113">
        <v>-215.9</v>
      </c>
      <c r="BT113">
        <f t="shared" si="22"/>
        <v>-28.786665946999999</v>
      </c>
      <c r="BU113">
        <v>643.6</v>
      </c>
      <c r="BV113">
        <f t="shared" si="23"/>
        <v>85.813331188000006</v>
      </c>
      <c r="BW113">
        <v>1010.1</v>
      </c>
      <c r="BX113">
        <f t="shared" si="24"/>
        <v>134.679996633</v>
      </c>
      <c r="BY113">
        <v>830.1</v>
      </c>
      <c r="BZ113">
        <f t="shared" si="25"/>
        <v>110.67999723300001</v>
      </c>
    </row>
    <row r="114" spans="1:78" x14ac:dyDescent="0.35">
      <c r="A114">
        <v>110</v>
      </c>
      <c r="B114">
        <v>1.9</v>
      </c>
      <c r="C114">
        <v>-86.5</v>
      </c>
      <c r="D114">
        <v>0.5</v>
      </c>
      <c r="E114">
        <v>79.099999999999994</v>
      </c>
      <c r="F114">
        <v>1164.8</v>
      </c>
      <c r="G114">
        <v>1019.2</v>
      </c>
      <c r="I114">
        <v>110</v>
      </c>
      <c r="J114">
        <v>52.5</v>
      </c>
      <c r="K114">
        <v>91.6</v>
      </c>
      <c r="L114">
        <v>-130.9</v>
      </c>
      <c r="M114">
        <v>801.2</v>
      </c>
      <c r="N114">
        <v>1044.4000000000001</v>
      </c>
      <c r="O114">
        <v>817.3</v>
      </c>
      <c r="AM114">
        <v>110</v>
      </c>
      <c r="AN114">
        <v>1.9</v>
      </c>
      <c r="AO114">
        <f t="shared" si="14"/>
        <v>0.253333327</v>
      </c>
      <c r="AP114">
        <v>-86.5</v>
      </c>
      <c r="AQ114">
        <f t="shared" si="15"/>
        <v>-11.533333044999999</v>
      </c>
      <c r="AR114">
        <v>0.5</v>
      </c>
      <c r="AS114">
        <f t="shared" si="16"/>
        <v>6.6666665E-2</v>
      </c>
      <c r="AT114">
        <v>79.099999999999994</v>
      </c>
      <c r="AU114">
        <f t="shared" si="17"/>
        <v>10.5466666403</v>
      </c>
      <c r="AV114">
        <v>1164.8</v>
      </c>
      <c r="AW114">
        <f t="shared" si="18"/>
        <v>155.30662783999998</v>
      </c>
      <c r="AX114">
        <v>1019.2</v>
      </c>
      <c r="AY114">
        <f t="shared" si="19"/>
        <v>135.89332993600001</v>
      </c>
      <c r="BN114">
        <v>110</v>
      </c>
      <c r="BO114">
        <v>52.5</v>
      </c>
      <c r="BP114">
        <f t="shared" si="20"/>
        <v>6.9999998249999997</v>
      </c>
      <c r="BQ114">
        <v>91.6</v>
      </c>
      <c r="BR114">
        <f t="shared" si="21"/>
        <v>12.213333027999999</v>
      </c>
      <c r="BS114">
        <v>-130.9</v>
      </c>
      <c r="BT114">
        <f t="shared" si="22"/>
        <v>-17.453332896999999</v>
      </c>
      <c r="BU114">
        <v>801.2</v>
      </c>
      <c r="BV114">
        <f t="shared" si="23"/>
        <v>106.82666399600001</v>
      </c>
      <c r="BW114">
        <v>1044.4000000000001</v>
      </c>
      <c r="BX114">
        <f t="shared" si="24"/>
        <v>139.25332985200001</v>
      </c>
      <c r="BY114">
        <v>817.3</v>
      </c>
      <c r="BZ114">
        <f t="shared" si="25"/>
        <v>108.97333060899999</v>
      </c>
    </row>
    <row r="115" spans="1:78" x14ac:dyDescent="0.35">
      <c r="A115">
        <v>111</v>
      </c>
      <c r="B115">
        <v>-31.8</v>
      </c>
      <c r="C115">
        <v>-56.6</v>
      </c>
      <c r="D115">
        <v>-42.3</v>
      </c>
      <c r="E115">
        <v>46.6</v>
      </c>
      <c r="F115">
        <v>1200.8</v>
      </c>
      <c r="G115">
        <v>972.1</v>
      </c>
      <c r="I115">
        <v>111</v>
      </c>
      <c r="J115">
        <v>73.7</v>
      </c>
      <c r="K115">
        <v>55.6</v>
      </c>
      <c r="L115">
        <v>-72.099999999999994</v>
      </c>
      <c r="M115">
        <v>891.8</v>
      </c>
      <c r="N115">
        <v>1110</v>
      </c>
      <c r="O115">
        <v>804.6</v>
      </c>
      <c r="AM115">
        <v>111</v>
      </c>
      <c r="AN115">
        <v>-31.8</v>
      </c>
      <c r="AO115">
        <f t="shared" si="14"/>
        <v>-4.2399998940000003</v>
      </c>
      <c r="AP115">
        <v>-56.6</v>
      </c>
      <c r="AQ115">
        <f t="shared" si="15"/>
        <v>-7.5466664780000006</v>
      </c>
      <c r="AR115">
        <v>-42.3</v>
      </c>
      <c r="AS115">
        <f t="shared" si="16"/>
        <v>-5.6399998589999996</v>
      </c>
      <c r="AT115">
        <v>46.6</v>
      </c>
      <c r="AU115">
        <f t="shared" si="17"/>
        <v>6.2133333178000001</v>
      </c>
      <c r="AV115">
        <v>1200.8</v>
      </c>
      <c r="AW115">
        <f t="shared" si="18"/>
        <v>160.10662663999997</v>
      </c>
      <c r="AX115">
        <v>972.1</v>
      </c>
      <c r="AY115">
        <f t="shared" si="19"/>
        <v>129.613330093</v>
      </c>
      <c r="BN115">
        <v>111</v>
      </c>
      <c r="BO115">
        <v>73.7</v>
      </c>
      <c r="BP115">
        <f t="shared" si="20"/>
        <v>9.8266664210000005</v>
      </c>
      <c r="BQ115">
        <v>55.6</v>
      </c>
      <c r="BR115">
        <f t="shared" si="21"/>
        <v>7.4133331480000004</v>
      </c>
      <c r="BS115">
        <v>-72.099999999999994</v>
      </c>
      <c r="BT115">
        <f t="shared" si="22"/>
        <v>-9.6133330929999996</v>
      </c>
      <c r="BU115">
        <v>891.8</v>
      </c>
      <c r="BV115">
        <f t="shared" si="23"/>
        <v>118.90666369399999</v>
      </c>
      <c r="BW115">
        <v>1110</v>
      </c>
      <c r="BX115">
        <f t="shared" si="24"/>
        <v>147.99999629999999</v>
      </c>
      <c r="BY115">
        <v>804.6</v>
      </c>
      <c r="BZ115">
        <f t="shared" si="25"/>
        <v>107.279997318</v>
      </c>
    </row>
    <row r="116" spans="1:78" x14ac:dyDescent="0.35">
      <c r="A116">
        <v>112</v>
      </c>
      <c r="B116">
        <v>-60.3</v>
      </c>
      <c r="C116">
        <v>-33.200000000000003</v>
      </c>
      <c r="D116">
        <v>-86.9</v>
      </c>
      <c r="E116">
        <v>13.9</v>
      </c>
      <c r="F116">
        <v>1234.8</v>
      </c>
      <c r="G116">
        <v>929.9</v>
      </c>
      <c r="I116">
        <v>112</v>
      </c>
      <c r="J116">
        <v>111</v>
      </c>
      <c r="K116">
        <v>19.5</v>
      </c>
      <c r="L116">
        <v>-29.2</v>
      </c>
      <c r="M116">
        <v>947.3</v>
      </c>
      <c r="N116">
        <v>1180.5</v>
      </c>
      <c r="O116">
        <v>792.2</v>
      </c>
      <c r="AM116">
        <v>112</v>
      </c>
      <c r="AN116">
        <v>-60.3</v>
      </c>
      <c r="AO116">
        <f t="shared" si="14"/>
        <v>-8.0399997990000003</v>
      </c>
      <c r="AP116">
        <v>-33.200000000000003</v>
      </c>
      <c r="AQ116">
        <f t="shared" si="15"/>
        <v>-4.4266665560000007</v>
      </c>
      <c r="AR116">
        <v>-86.9</v>
      </c>
      <c r="AS116">
        <f t="shared" si="16"/>
        <v>-11.586666377</v>
      </c>
      <c r="AT116">
        <v>13.9</v>
      </c>
      <c r="AU116">
        <f t="shared" si="17"/>
        <v>1.8533333287</v>
      </c>
      <c r="AV116">
        <v>1234.8</v>
      </c>
      <c r="AW116">
        <f t="shared" si="18"/>
        <v>164.63995883999999</v>
      </c>
      <c r="AX116">
        <v>929.9</v>
      </c>
      <c r="AY116">
        <f t="shared" si="19"/>
        <v>123.98666356699999</v>
      </c>
      <c r="BN116">
        <v>112</v>
      </c>
      <c r="BO116">
        <v>111</v>
      </c>
      <c r="BP116">
        <f t="shared" si="20"/>
        <v>14.79999963</v>
      </c>
      <c r="BQ116">
        <v>19.5</v>
      </c>
      <c r="BR116">
        <f t="shared" si="21"/>
        <v>2.599999935</v>
      </c>
      <c r="BS116">
        <v>-29.2</v>
      </c>
      <c r="BT116">
        <f t="shared" si="22"/>
        <v>-3.8933332359999997</v>
      </c>
      <c r="BU116">
        <v>947.3</v>
      </c>
      <c r="BV116">
        <f t="shared" si="23"/>
        <v>126.30666350899999</v>
      </c>
      <c r="BW116">
        <v>1180.5</v>
      </c>
      <c r="BX116">
        <f t="shared" si="24"/>
        <v>157.39999606500001</v>
      </c>
      <c r="BY116">
        <v>792.2</v>
      </c>
      <c r="BZ116">
        <f t="shared" si="25"/>
        <v>105.626664026</v>
      </c>
    </row>
    <row r="117" spans="1:78" x14ac:dyDescent="0.35">
      <c r="A117">
        <v>113</v>
      </c>
      <c r="B117">
        <v>-84.7</v>
      </c>
      <c r="C117">
        <v>-14.6</v>
      </c>
      <c r="D117">
        <v>-131.9</v>
      </c>
      <c r="E117">
        <v>-19.399999999999999</v>
      </c>
      <c r="F117">
        <v>1256.4000000000001</v>
      </c>
      <c r="G117">
        <v>891.3</v>
      </c>
      <c r="I117">
        <v>113</v>
      </c>
      <c r="J117">
        <v>145.5</v>
      </c>
      <c r="K117">
        <v>-16.899999999999999</v>
      </c>
      <c r="L117">
        <v>4.0999999999999996</v>
      </c>
      <c r="M117">
        <v>987.1</v>
      </c>
      <c r="N117">
        <v>1245.2</v>
      </c>
      <c r="O117">
        <v>779.7</v>
      </c>
      <c r="AM117">
        <v>113</v>
      </c>
      <c r="AN117">
        <v>-84.7</v>
      </c>
      <c r="AO117">
        <f t="shared" si="14"/>
        <v>-11.293333051000001</v>
      </c>
      <c r="AP117">
        <v>-14.6</v>
      </c>
      <c r="AQ117">
        <f t="shared" si="15"/>
        <v>-1.9466666179999998</v>
      </c>
      <c r="AR117">
        <v>-131.9</v>
      </c>
      <c r="AS117">
        <f t="shared" si="16"/>
        <v>-17.586666227000002</v>
      </c>
      <c r="AT117">
        <v>-19.399999999999999</v>
      </c>
      <c r="AU117">
        <f t="shared" si="17"/>
        <v>-2.5866666601999997</v>
      </c>
      <c r="AV117">
        <v>1256.4000000000001</v>
      </c>
      <c r="AW117">
        <f t="shared" si="18"/>
        <v>167.51995811999998</v>
      </c>
      <c r="AX117">
        <v>891.3</v>
      </c>
      <c r="AY117">
        <f t="shared" si="19"/>
        <v>118.83999702899999</v>
      </c>
      <c r="BN117">
        <v>113</v>
      </c>
      <c r="BO117">
        <v>145.5</v>
      </c>
      <c r="BP117">
        <f t="shared" si="20"/>
        <v>19.399999515000001</v>
      </c>
      <c r="BQ117">
        <v>-16.899999999999999</v>
      </c>
      <c r="BR117">
        <f t="shared" si="21"/>
        <v>-2.2533332769999999</v>
      </c>
      <c r="BS117">
        <v>4.0999999999999996</v>
      </c>
      <c r="BT117">
        <f t="shared" si="22"/>
        <v>0.54666665299999995</v>
      </c>
      <c r="BU117">
        <v>987.1</v>
      </c>
      <c r="BV117">
        <f t="shared" si="23"/>
        <v>131.61333004299999</v>
      </c>
      <c r="BW117">
        <v>1245.2</v>
      </c>
      <c r="BX117">
        <f t="shared" si="24"/>
        <v>166.02666251600002</v>
      </c>
      <c r="BY117">
        <v>779.7</v>
      </c>
      <c r="BZ117">
        <f t="shared" si="25"/>
        <v>103.95999740100001</v>
      </c>
    </row>
    <row r="118" spans="1:78" x14ac:dyDescent="0.35">
      <c r="A118">
        <v>114</v>
      </c>
      <c r="B118">
        <v>-105.7</v>
      </c>
      <c r="C118">
        <v>0.1</v>
      </c>
      <c r="D118">
        <v>-152</v>
      </c>
      <c r="E118">
        <v>-54.2</v>
      </c>
      <c r="F118">
        <v>1214.5</v>
      </c>
      <c r="G118">
        <v>855</v>
      </c>
      <c r="I118">
        <v>114</v>
      </c>
      <c r="J118">
        <v>170.4</v>
      </c>
      <c r="K118">
        <v>-53.4</v>
      </c>
      <c r="L118">
        <v>31.5</v>
      </c>
      <c r="M118">
        <v>1020.9</v>
      </c>
      <c r="N118">
        <v>1304.7</v>
      </c>
      <c r="O118">
        <v>767.2</v>
      </c>
      <c r="AM118">
        <v>114</v>
      </c>
      <c r="AN118">
        <v>-105.7</v>
      </c>
      <c r="AO118">
        <f t="shared" si="14"/>
        <v>-14.093332981</v>
      </c>
      <c r="AP118">
        <v>0.1</v>
      </c>
      <c r="AQ118">
        <f t="shared" si="15"/>
        <v>1.3333333000000001E-2</v>
      </c>
      <c r="AR118">
        <v>-152</v>
      </c>
      <c r="AS118">
        <f t="shared" si="16"/>
        <v>-20.26666616</v>
      </c>
      <c r="AT118">
        <v>-54.2</v>
      </c>
      <c r="AU118">
        <f t="shared" si="17"/>
        <v>-7.2266666486000002</v>
      </c>
      <c r="AV118">
        <v>1214.5</v>
      </c>
      <c r="AW118">
        <f t="shared" si="18"/>
        <v>161.93329284999999</v>
      </c>
      <c r="AX118">
        <v>855</v>
      </c>
      <c r="AY118">
        <f t="shared" si="19"/>
        <v>113.99999715</v>
      </c>
      <c r="BN118">
        <v>114</v>
      </c>
      <c r="BO118">
        <v>170.4</v>
      </c>
      <c r="BP118">
        <f t="shared" si="20"/>
        <v>22.719999432000002</v>
      </c>
      <c r="BQ118">
        <v>-53.4</v>
      </c>
      <c r="BR118">
        <f t="shared" si="21"/>
        <v>-7.1199998219999996</v>
      </c>
      <c r="BS118">
        <v>31.5</v>
      </c>
      <c r="BT118">
        <f t="shared" si="22"/>
        <v>4.1999998950000004</v>
      </c>
      <c r="BU118">
        <v>1020.9</v>
      </c>
      <c r="BV118">
        <f t="shared" si="23"/>
        <v>136.11999659700001</v>
      </c>
      <c r="BW118">
        <v>1304.7</v>
      </c>
      <c r="BX118">
        <f t="shared" si="24"/>
        <v>173.95999565100001</v>
      </c>
      <c r="BY118">
        <v>767.2</v>
      </c>
      <c r="BZ118">
        <f t="shared" si="25"/>
        <v>102.293330776</v>
      </c>
    </row>
    <row r="119" spans="1:78" x14ac:dyDescent="0.35">
      <c r="A119">
        <v>115</v>
      </c>
      <c r="B119">
        <v>-123.6</v>
      </c>
      <c r="C119">
        <v>11.7</v>
      </c>
      <c r="D119">
        <v>-72.2</v>
      </c>
      <c r="E119">
        <v>-86.1</v>
      </c>
      <c r="F119">
        <v>1135.0999999999999</v>
      </c>
      <c r="G119">
        <v>820.2</v>
      </c>
      <c r="I119">
        <v>115</v>
      </c>
      <c r="J119">
        <v>197.4</v>
      </c>
      <c r="K119">
        <v>-89.8</v>
      </c>
      <c r="L119">
        <v>55.1</v>
      </c>
      <c r="M119">
        <v>1052.2</v>
      </c>
      <c r="N119">
        <v>1360.5</v>
      </c>
      <c r="O119">
        <v>754.6</v>
      </c>
      <c r="AM119">
        <v>115</v>
      </c>
      <c r="AN119">
        <v>-123.6</v>
      </c>
      <c r="AO119">
        <f t="shared" si="14"/>
        <v>-16.479999587999998</v>
      </c>
      <c r="AP119">
        <v>11.7</v>
      </c>
      <c r="AQ119">
        <f t="shared" si="15"/>
        <v>1.5599999609999999</v>
      </c>
      <c r="AR119">
        <v>-72.2</v>
      </c>
      <c r="AS119">
        <f t="shared" si="16"/>
        <v>-9.6266664259999999</v>
      </c>
      <c r="AT119">
        <v>-86.1</v>
      </c>
      <c r="AU119">
        <f t="shared" si="17"/>
        <v>-11.4799999713</v>
      </c>
      <c r="AV119">
        <v>1135.0999999999999</v>
      </c>
      <c r="AW119">
        <f t="shared" si="18"/>
        <v>151.34662882999999</v>
      </c>
      <c r="AX119">
        <v>820.2</v>
      </c>
      <c r="AY119">
        <f t="shared" si="19"/>
        <v>109.35999726600001</v>
      </c>
      <c r="BN119">
        <v>115</v>
      </c>
      <c r="BO119">
        <v>197.4</v>
      </c>
      <c r="BP119">
        <f t="shared" si="20"/>
        <v>26.319999341999999</v>
      </c>
      <c r="BQ119">
        <v>-89.8</v>
      </c>
      <c r="BR119">
        <f t="shared" si="21"/>
        <v>-11.973333033999999</v>
      </c>
      <c r="BS119">
        <v>55.1</v>
      </c>
      <c r="BT119">
        <f t="shared" si="22"/>
        <v>7.3466664829999999</v>
      </c>
      <c r="BU119">
        <v>1052.2</v>
      </c>
      <c r="BV119">
        <f t="shared" si="23"/>
        <v>140.29332982600002</v>
      </c>
      <c r="BW119">
        <v>1360.5</v>
      </c>
      <c r="BX119">
        <f t="shared" si="24"/>
        <v>181.39999546499999</v>
      </c>
      <c r="BY119">
        <v>754.6</v>
      </c>
      <c r="BZ119">
        <f t="shared" si="25"/>
        <v>100.61333081800001</v>
      </c>
    </row>
    <row r="120" spans="1:78" x14ac:dyDescent="0.35">
      <c r="A120">
        <v>116</v>
      </c>
      <c r="B120">
        <v>-139</v>
      </c>
      <c r="C120">
        <v>13.9</v>
      </c>
      <c r="D120">
        <v>35.5</v>
      </c>
      <c r="E120">
        <v>-59.5</v>
      </c>
      <c r="F120">
        <v>1069.8</v>
      </c>
      <c r="G120">
        <v>790.8</v>
      </c>
      <c r="I120">
        <v>116</v>
      </c>
      <c r="J120">
        <v>211.2</v>
      </c>
      <c r="K120">
        <v>-125.8</v>
      </c>
      <c r="L120">
        <v>76.2</v>
      </c>
      <c r="M120">
        <v>1082.2</v>
      </c>
      <c r="N120">
        <v>1412.9</v>
      </c>
      <c r="O120">
        <v>741.6</v>
      </c>
      <c r="AM120">
        <v>116</v>
      </c>
      <c r="AN120">
        <v>-139</v>
      </c>
      <c r="AO120">
        <f t="shared" si="14"/>
        <v>-18.533332869999999</v>
      </c>
      <c r="AP120">
        <v>13.9</v>
      </c>
      <c r="AQ120">
        <f t="shared" si="15"/>
        <v>1.8533332870000001</v>
      </c>
      <c r="AR120">
        <v>35.5</v>
      </c>
      <c r="AS120">
        <f t="shared" si="16"/>
        <v>4.733333215</v>
      </c>
      <c r="AT120">
        <v>-59.5</v>
      </c>
      <c r="AU120">
        <f t="shared" si="17"/>
        <v>-7.9333333134999995</v>
      </c>
      <c r="AV120">
        <v>1069.8</v>
      </c>
      <c r="AW120">
        <f t="shared" si="18"/>
        <v>142.63996433999998</v>
      </c>
      <c r="AX120">
        <v>790.8</v>
      </c>
      <c r="AY120">
        <f t="shared" si="19"/>
        <v>105.43999736399999</v>
      </c>
      <c r="BN120">
        <v>116</v>
      </c>
      <c r="BO120">
        <v>211.2</v>
      </c>
      <c r="BP120">
        <f t="shared" si="20"/>
        <v>28.159999295999999</v>
      </c>
      <c r="BQ120">
        <v>-125.8</v>
      </c>
      <c r="BR120">
        <f t="shared" si="21"/>
        <v>-16.773332914000001</v>
      </c>
      <c r="BS120">
        <v>76.2</v>
      </c>
      <c r="BT120">
        <f t="shared" si="22"/>
        <v>10.159999746</v>
      </c>
      <c r="BU120">
        <v>1082.2</v>
      </c>
      <c r="BV120">
        <f t="shared" si="23"/>
        <v>144.293329726</v>
      </c>
      <c r="BW120">
        <v>1412.9</v>
      </c>
      <c r="BX120">
        <f t="shared" si="24"/>
        <v>188.386661957</v>
      </c>
      <c r="BY120">
        <v>741.6</v>
      </c>
      <c r="BZ120">
        <f t="shared" si="25"/>
        <v>98.879997528000004</v>
      </c>
    </row>
    <row r="121" spans="1:78" x14ac:dyDescent="0.35">
      <c r="A121">
        <v>117</v>
      </c>
      <c r="B121">
        <v>-152.5</v>
      </c>
      <c r="C121">
        <v>-20.3</v>
      </c>
      <c r="D121">
        <v>107.3</v>
      </c>
      <c r="E121">
        <v>34</v>
      </c>
      <c r="F121">
        <v>1015.2</v>
      </c>
      <c r="G121">
        <v>794.1</v>
      </c>
      <c r="I121">
        <v>117</v>
      </c>
      <c r="J121">
        <v>232.2</v>
      </c>
      <c r="K121">
        <v>-161.19999999999999</v>
      </c>
      <c r="L121">
        <v>95.7</v>
      </c>
      <c r="M121">
        <v>1111.5999999999999</v>
      </c>
      <c r="N121">
        <v>1461.4</v>
      </c>
      <c r="O121">
        <v>728.3</v>
      </c>
      <c r="AM121">
        <v>117</v>
      </c>
      <c r="AN121">
        <v>-152.5</v>
      </c>
      <c r="AO121">
        <f t="shared" si="14"/>
        <v>-20.333332824999999</v>
      </c>
      <c r="AP121">
        <v>-20.3</v>
      </c>
      <c r="AQ121">
        <f t="shared" si="15"/>
        <v>-2.7066665990000001</v>
      </c>
      <c r="AR121">
        <v>107.3</v>
      </c>
      <c r="AS121">
        <f t="shared" si="16"/>
        <v>14.306666308999999</v>
      </c>
      <c r="AT121">
        <v>34</v>
      </c>
      <c r="AU121">
        <f t="shared" si="17"/>
        <v>4.5333333219999998</v>
      </c>
      <c r="AV121">
        <v>1015.2</v>
      </c>
      <c r="AW121">
        <f t="shared" si="18"/>
        <v>135.35996616</v>
      </c>
      <c r="AX121">
        <v>794.1</v>
      </c>
      <c r="AY121">
        <f t="shared" si="19"/>
        <v>105.87999735300001</v>
      </c>
      <c r="BN121">
        <v>117</v>
      </c>
      <c r="BO121">
        <v>232.2</v>
      </c>
      <c r="BP121">
        <f t="shared" si="20"/>
        <v>30.959999225999997</v>
      </c>
      <c r="BQ121">
        <v>-161.19999999999999</v>
      </c>
      <c r="BR121">
        <f t="shared" si="21"/>
        <v>-21.493332795999997</v>
      </c>
      <c r="BS121">
        <v>95.7</v>
      </c>
      <c r="BT121">
        <f t="shared" si="22"/>
        <v>12.759999681</v>
      </c>
      <c r="BU121">
        <v>1111.5999999999999</v>
      </c>
      <c r="BV121">
        <f t="shared" si="23"/>
        <v>148.213329628</v>
      </c>
      <c r="BW121">
        <v>1461.4</v>
      </c>
      <c r="BX121">
        <f t="shared" si="24"/>
        <v>194.85332846200001</v>
      </c>
      <c r="BY121">
        <v>728.3</v>
      </c>
      <c r="BZ121">
        <f t="shared" si="25"/>
        <v>97.106664238999997</v>
      </c>
    </row>
    <row r="122" spans="1:78" x14ac:dyDescent="0.35">
      <c r="A122">
        <v>118</v>
      </c>
      <c r="B122">
        <v>-164.4</v>
      </c>
      <c r="C122">
        <v>-72.3</v>
      </c>
      <c r="D122">
        <v>154.80000000000001</v>
      </c>
      <c r="E122">
        <v>108.2</v>
      </c>
      <c r="F122">
        <v>967.6</v>
      </c>
      <c r="G122">
        <v>845.9</v>
      </c>
      <c r="I122">
        <v>118</v>
      </c>
      <c r="J122">
        <v>239.3</v>
      </c>
      <c r="K122">
        <v>-195.4</v>
      </c>
      <c r="L122">
        <v>113.5</v>
      </c>
      <c r="M122">
        <v>1140.7</v>
      </c>
      <c r="N122">
        <v>1504</v>
      </c>
      <c r="O122">
        <v>714.1</v>
      </c>
      <c r="AM122">
        <v>118</v>
      </c>
      <c r="AN122">
        <v>-164.4</v>
      </c>
      <c r="AO122">
        <f t="shared" si="14"/>
        <v>-21.919999451999999</v>
      </c>
      <c r="AP122">
        <v>-72.3</v>
      </c>
      <c r="AQ122">
        <f t="shared" si="15"/>
        <v>-9.6399997590000002</v>
      </c>
      <c r="AR122">
        <v>154.80000000000001</v>
      </c>
      <c r="AS122">
        <f t="shared" si="16"/>
        <v>20.639999484000001</v>
      </c>
      <c r="AT122">
        <v>108.2</v>
      </c>
      <c r="AU122">
        <f t="shared" si="17"/>
        <v>14.4266666306</v>
      </c>
      <c r="AV122">
        <v>967.6</v>
      </c>
      <c r="AW122">
        <f t="shared" si="18"/>
        <v>129.01330107999999</v>
      </c>
      <c r="AX122">
        <v>845.9</v>
      </c>
      <c r="AY122">
        <f t="shared" si="19"/>
        <v>112.786663847</v>
      </c>
      <c r="BN122">
        <v>118</v>
      </c>
      <c r="BO122">
        <v>239.3</v>
      </c>
      <c r="BP122">
        <f t="shared" si="20"/>
        <v>31.906665869000001</v>
      </c>
      <c r="BQ122">
        <v>-195.4</v>
      </c>
      <c r="BR122">
        <f t="shared" si="21"/>
        <v>-26.053332682000001</v>
      </c>
      <c r="BS122">
        <v>113.5</v>
      </c>
      <c r="BT122">
        <f t="shared" si="22"/>
        <v>15.133332955</v>
      </c>
      <c r="BU122">
        <v>1140.7</v>
      </c>
      <c r="BV122">
        <f t="shared" si="23"/>
        <v>152.09332953099999</v>
      </c>
      <c r="BW122">
        <v>1504</v>
      </c>
      <c r="BX122">
        <f t="shared" si="24"/>
        <v>200.53332832000001</v>
      </c>
      <c r="BY122">
        <v>714.1</v>
      </c>
      <c r="BZ122">
        <f t="shared" si="25"/>
        <v>95.213330952999996</v>
      </c>
    </row>
    <row r="123" spans="1:78" x14ac:dyDescent="0.35">
      <c r="A123">
        <v>119</v>
      </c>
      <c r="B123">
        <v>-174.5</v>
      </c>
      <c r="C123">
        <v>-122.6</v>
      </c>
      <c r="D123">
        <v>187.8</v>
      </c>
      <c r="E123">
        <v>156.80000000000001</v>
      </c>
      <c r="F123">
        <v>925.1</v>
      </c>
      <c r="G123">
        <v>921.7</v>
      </c>
      <c r="I123">
        <v>119</v>
      </c>
      <c r="J123">
        <v>255.1</v>
      </c>
      <c r="K123">
        <v>-221.7</v>
      </c>
      <c r="L123">
        <v>117.9</v>
      </c>
      <c r="M123">
        <v>1164.3</v>
      </c>
      <c r="N123">
        <v>1539.9</v>
      </c>
      <c r="O123">
        <v>698.9</v>
      </c>
      <c r="AM123">
        <v>119</v>
      </c>
      <c r="AN123">
        <v>-174.5</v>
      </c>
      <c r="AO123">
        <f t="shared" si="14"/>
        <v>-23.266666085000001</v>
      </c>
      <c r="AP123">
        <v>-122.6</v>
      </c>
      <c r="AQ123">
        <f t="shared" si="15"/>
        <v>-16.346666257999999</v>
      </c>
      <c r="AR123">
        <v>187.8</v>
      </c>
      <c r="AS123">
        <f t="shared" si="16"/>
        <v>25.039999374000001</v>
      </c>
      <c r="AT123">
        <v>156.80000000000001</v>
      </c>
      <c r="AU123">
        <f t="shared" si="17"/>
        <v>20.906666614400002</v>
      </c>
      <c r="AV123">
        <v>925.1</v>
      </c>
      <c r="AW123">
        <f t="shared" si="18"/>
        <v>123.34663583</v>
      </c>
      <c r="AX123">
        <v>921.7</v>
      </c>
      <c r="AY123">
        <f t="shared" si="19"/>
        <v>122.893330261</v>
      </c>
      <c r="BN123">
        <v>119</v>
      </c>
      <c r="BO123">
        <v>255.1</v>
      </c>
      <c r="BP123">
        <f t="shared" si="20"/>
        <v>34.013332482999999</v>
      </c>
      <c r="BQ123">
        <v>-221.7</v>
      </c>
      <c r="BR123">
        <f t="shared" si="21"/>
        <v>-29.559999260999998</v>
      </c>
      <c r="BS123">
        <v>117.9</v>
      </c>
      <c r="BT123">
        <f t="shared" si="22"/>
        <v>15.719999607</v>
      </c>
      <c r="BU123">
        <v>1164.3</v>
      </c>
      <c r="BV123">
        <f t="shared" si="23"/>
        <v>155.23999611899998</v>
      </c>
      <c r="BW123">
        <v>1539.9</v>
      </c>
      <c r="BX123">
        <f t="shared" si="24"/>
        <v>205.31999486700002</v>
      </c>
      <c r="BY123">
        <v>698.9</v>
      </c>
      <c r="BZ123">
        <f t="shared" si="25"/>
        <v>93.186664336999996</v>
      </c>
    </row>
    <row r="124" spans="1:78" x14ac:dyDescent="0.35">
      <c r="A124">
        <v>120</v>
      </c>
      <c r="B124">
        <v>-168.1</v>
      </c>
      <c r="C124">
        <v>-171.5</v>
      </c>
      <c r="D124">
        <v>212.6</v>
      </c>
      <c r="E124">
        <v>193.1</v>
      </c>
      <c r="F124">
        <v>885.9</v>
      </c>
      <c r="G124">
        <v>995.5</v>
      </c>
      <c r="I124">
        <v>120</v>
      </c>
      <c r="J124">
        <v>259.60000000000002</v>
      </c>
      <c r="K124">
        <v>-195.9</v>
      </c>
      <c r="L124">
        <v>89</v>
      </c>
      <c r="M124">
        <v>1143.7</v>
      </c>
      <c r="N124">
        <v>1568.2</v>
      </c>
      <c r="O124">
        <v>683</v>
      </c>
      <c r="AM124">
        <v>120</v>
      </c>
      <c r="AN124">
        <v>-168.1</v>
      </c>
      <c r="AO124">
        <f t="shared" si="14"/>
        <v>-22.413332773</v>
      </c>
      <c r="AP124">
        <v>-171.5</v>
      </c>
      <c r="AQ124">
        <f t="shared" si="15"/>
        <v>-22.866666094999999</v>
      </c>
      <c r="AR124">
        <v>212.6</v>
      </c>
      <c r="AS124">
        <f t="shared" si="16"/>
        <v>28.346665957999999</v>
      </c>
      <c r="AT124">
        <v>193.1</v>
      </c>
      <c r="AU124">
        <f t="shared" si="17"/>
        <v>25.746666602299999</v>
      </c>
      <c r="AV124">
        <v>885.9</v>
      </c>
      <c r="AW124">
        <f t="shared" si="18"/>
        <v>118.11997046999998</v>
      </c>
      <c r="AX124">
        <v>995.5</v>
      </c>
      <c r="AY124">
        <f t="shared" si="19"/>
        <v>132.73333001500001</v>
      </c>
      <c r="BN124">
        <v>120</v>
      </c>
      <c r="BO124">
        <v>259.60000000000002</v>
      </c>
      <c r="BP124">
        <f t="shared" si="20"/>
        <v>34.613332468000003</v>
      </c>
      <c r="BQ124">
        <v>-195.9</v>
      </c>
      <c r="BR124">
        <f t="shared" si="21"/>
        <v>-26.119999347</v>
      </c>
      <c r="BS124">
        <v>89</v>
      </c>
      <c r="BT124">
        <f t="shared" si="22"/>
        <v>11.866666370000001</v>
      </c>
      <c r="BU124">
        <v>1143.7</v>
      </c>
      <c r="BV124">
        <f t="shared" si="23"/>
        <v>152.49332952099999</v>
      </c>
      <c r="BW124">
        <v>1568.2</v>
      </c>
      <c r="BX124">
        <f t="shared" si="24"/>
        <v>209.093328106</v>
      </c>
      <c r="BY124">
        <v>683</v>
      </c>
      <c r="BZ124">
        <f t="shared" si="25"/>
        <v>91.06666439</v>
      </c>
    </row>
    <row r="125" spans="1:78" x14ac:dyDescent="0.35">
      <c r="A125">
        <v>121</v>
      </c>
      <c r="B125">
        <v>-134.1</v>
      </c>
      <c r="C125">
        <v>-218.8</v>
      </c>
      <c r="D125">
        <v>232.4</v>
      </c>
      <c r="E125">
        <v>223.6</v>
      </c>
      <c r="F125">
        <v>849.1</v>
      </c>
      <c r="G125">
        <v>1061.8</v>
      </c>
      <c r="I125">
        <v>121</v>
      </c>
      <c r="J125">
        <v>269.7</v>
      </c>
      <c r="K125">
        <v>-121.1</v>
      </c>
      <c r="L125">
        <v>54.9</v>
      </c>
      <c r="M125">
        <v>1092.5</v>
      </c>
      <c r="N125">
        <v>1582.9</v>
      </c>
      <c r="O125">
        <v>666</v>
      </c>
      <c r="AM125">
        <v>121</v>
      </c>
      <c r="AN125">
        <v>-134.1</v>
      </c>
      <c r="AO125">
        <f t="shared" si="14"/>
        <v>-17.879999552999998</v>
      </c>
      <c r="AP125">
        <v>-218.8</v>
      </c>
      <c r="AQ125">
        <f t="shared" si="15"/>
        <v>-29.173332604000002</v>
      </c>
      <c r="AR125">
        <v>232.4</v>
      </c>
      <c r="AS125">
        <f t="shared" si="16"/>
        <v>30.986665892000001</v>
      </c>
      <c r="AT125">
        <v>223.6</v>
      </c>
      <c r="AU125">
        <f t="shared" si="17"/>
        <v>29.8133332588</v>
      </c>
      <c r="AV125">
        <v>849.1</v>
      </c>
      <c r="AW125">
        <f t="shared" si="18"/>
        <v>113.21330502999999</v>
      </c>
      <c r="AX125">
        <v>1061.8</v>
      </c>
      <c r="AY125">
        <f t="shared" si="19"/>
        <v>141.57332979399999</v>
      </c>
      <c r="BN125">
        <v>121</v>
      </c>
      <c r="BO125">
        <v>269.7</v>
      </c>
      <c r="BP125">
        <f t="shared" si="20"/>
        <v>35.959999101000001</v>
      </c>
      <c r="BQ125">
        <v>-121.1</v>
      </c>
      <c r="BR125">
        <f t="shared" si="21"/>
        <v>-16.146666263</v>
      </c>
      <c r="BS125">
        <v>54.9</v>
      </c>
      <c r="BT125">
        <f t="shared" si="22"/>
        <v>7.3199998170000002</v>
      </c>
      <c r="BU125">
        <v>1092.5</v>
      </c>
      <c r="BV125">
        <f t="shared" si="23"/>
        <v>145.66666302499999</v>
      </c>
      <c r="BW125">
        <v>1582.9</v>
      </c>
      <c r="BX125">
        <f t="shared" si="24"/>
        <v>211.05332805700002</v>
      </c>
      <c r="BY125">
        <v>666</v>
      </c>
      <c r="BZ125">
        <f t="shared" si="25"/>
        <v>88.799997779999998</v>
      </c>
    </row>
    <row r="126" spans="1:78" x14ac:dyDescent="0.35">
      <c r="A126">
        <v>122</v>
      </c>
      <c r="B126">
        <v>-93.2</v>
      </c>
      <c r="C126">
        <v>-263.89999999999998</v>
      </c>
      <c r="D126">
        <v>249.1</v>
      </c>
      <c r="E126">
        <v>250.7</v>
      </c>
      <c r="F126">
        <v>814.1</v>
      </c>
      <c r="G126">
        <v>1119.5999999999999</v>
      </c>
      <c r="I126">
        <v>122</v>
      </c>
      <c r="J126">
        <v>272.3</v>
      </c>
      <c r="K126">
        <v>-53.2</v>
      </c>
      <c r="L126">
        <v>26.3</v>
      </c>
      <c r="M126">
        <v>1053.0999999999999</v>
      </c>
      <c r="N126">
        <v>1543.2</v>
      </c>
      <c r="O126">
        <v>647.5</v>
      </c>
      <c r="AM126">
        <v>122</v>
      </c>
      <c r="AN126">
        <v>-93.2</v>
      </c>
      <c r="AO126">
        <f t="shared" si="14"/>
        <v>-12.426666356</v>
      </c>
      <c r="AP126">
        <v>-263.89999999999998</v>
      </c>
      <c r="AQ126">
        <f t="shared" si="15"/>
        <v>-35.186665786999995</v>
      </c>
      <c r="AR126">
        <v>249.1</v>
      </c>
      <c r="AS126">
        <f t="shared" si="16"/>
        <v>33.213332502999997</v>
      </c>
      <c r="AT126">
        <v>250.7</v>
      </c>
      <c r="AU126">
        <f t="shared" si="17"/>
        <v>33.426666583100001</v>
      </c>
      <c r="AV126">
        <v>814.1</v>
      </c>
      <c r="AW126">
        <f t="shared" si="18"/>
        <v>108.54663952999999</v>
      </c>
      <c r="AX126">
        <v>1119.5999999999999</v>
      </c>
      <c r="AY126">
        <f t="shared" si="19"/>
        <v>149.27999626799999</v>
      </c>
      <c r="BN126">
        <v>122</v>
      </c>
      <c r="BO126">
        <v>272.3</v>
      </c>
      <c r="BP126">
        <f t="shared" si="20"/>
        <v>36.306665759000005</v>
      </c>
      <c r="BQ126">
        <v>-53.2</v>
      </c>
      <c r="BR126">
        <f t="shared" si="21"/>
        <v>-7.0933331560000008</v>
      </c>
      <c r="BS126">
        <v>26.3</v>
      </c>
      <c r="BT126">
        <f t="shared" si="22"/>
        <v>3.506666579</v>
      </c>
      <c r="BU126">
        <v>1053.0999999999999</v>
      </c>
      <c r="BV126">
        <f t="shared" si="23"/>
        <v>140.413329823</v>
      </c>
      <c r="BW126">
        <v>1543.2</v>
      </c>
      <c r="BX126">
        <f t="shared" si="24"/>
        <v>205.75999485600002</v>
      </c>
      <c r="BY126">
        <v>647.5</v>
      </c>
      <c r="BZ126">
        <f t="shared" si="25"/>
        <v>86.333331174999998</v>
      </c>
    </row>
    <row r="127" spans="1:78" x14ac:dyDescent="0.35">
      <c r="A127">
        <v>123</v>
      </c>
      <c r="B127">
        <v>-57.8</v>
      </c>
      <c r="C127">
        <v>-306.3</v>
      </c>
      <c r="D127">
        <v>263.5</v>
      </c>
      <c r="E127">
        <v>275.7</v>
      </c>
      <c r="F127">
        <v>779.7</v>
      </c>
      <c r="G127">
        <v>1172.5999999999999</v>
      </c>
      <c r="I127">
        <v>123</v>
      </c>
      <c r="J127">
        <v>247.1</v>
      </c>
      <c r="K127">
        <v>-1.1000000000000001</v>
      </c>
      <c r="L127">
        <v>0.1</v>
      </c>
      <c r="M127">
        <v>1020</v>
      </c>
      <c r="N127">
        <v>1465.5</v>
      </c>
      <c r="O127">
        <v>627.5</v>
      </c>
      <c r="AM127">
        <v>123</v>
      </c>
      <c r="AN127">
        <v>-57.8</v>
      </c>
      <c r="AO127">
        <f t="shared" si="14"/>
        <v>-7.7066664739999995</v>
      </c>
      <c r="AP127">
        <v>-306.3</v>
      </c>
      <c r="AQ127">
        <f t="shared" si="15"/>
        <v>-40.839998979000001</v>
      </c>
      <c r="AR127">
        <v>263.5</v>
      </c>
      <c r="AS127">
        <f t="shared" si="16"/>
        <v>35.133332455000001</v>
      </c>
      <c r="AT127">
        <v>275.7</v>
      </c>
      <c r="AU127">
        <f t="shared" si="17"/>
        <v>36.759999908099999</v>
      </c>
      <c r="AV127">
        <v>779.7</v>
      </c>
      <c r="AW127">
        <f t="shared" si="18"/>
        <v>103.95997401</v>
      </c>
      <c r="AX127">
        <v>1172.5999999999999</v>
      </c>
      <c r="AY127">
        <f t="shared" si="19"/>
        <v>156.34666275799998</v>
      </c>
      <c r="BN127">
        <v>123</v>
      </c>
      <c r="BO127">
        <v>247.1</v>
      </c>
      <c r="BP127">
        <f t="shared" si="20"/>
        <v>32.946665842999998</v>
      </c>
      <c r="BQ127">
        <v>-1.1000000000000001</v>
      </c>
      <c r="BR127">
        <f t="shared" si="21"/>
        <v>-0.146666663</v>
      </c>
      <c r="BS127">
        <v>0.1</v>
      </c>
      <c r="BT127">
        <f t="shared" si="22"/>
        <v>1.3333333000000001E-2</v>
      </c>
      <c r="BU127">
        <v>1020</v>
      </c>
      <c r="BV127">
        <f t="shared" si="23"/>
        <v>135.9999966</v>
      </c>
      <c r="BW127">
        <v>1465.5</v>
      </c>
      <c r="BX127">
        <f t="shared" si="24"/>
        <v>195.399995115</v>
      </c>
      <c r="BY127">
        <v>627.5</v>
      </c>
      <c r="BZ127">
        <f t="shared" si="25"/>
        <v>83.666664574999999</v>
      </c>
    </row>
    <row r="128" spans="1:78" x14ac:dyDescent="0.35">
      <c r="A128">
        <v>124</v>
      </c>
      <c r="B128">
        <v>-23.5</v>
      </c>
      <c r="C128">
        <v>-345.6</v>
      </c>
      <c r="D128">
        <v>276.39999999999998</v>
      </c>
      <c r="E128">
        <v>298.89999999999998</v>
      </c>
      <c r="F128">
        <v>745.4</v>
      </c>
      <c r="G128">
        <v>1223</v>
      </c>
      <c r="I128">
        <v>124</v>
      </c>
      <c r="J128">
        <v>219.6</v>
      </c>
      <c r="K128">
        <v>39.700000000000003</v>
      </c>
      <c r="L128">
        <v>-24.7</v>
      </c>
      <c r="M128">
        <v>990.4</v>
      </c>
      <c r="N128">
        <v>1399.1</v>
      </c>
      <c r="O128">
        <v>605.70000000000005</v>
      </c>
      <c r="AM128">
        <v>124</v>
      </c>
      <c r="AN128">
        <v>-23.5</v>
      </c>
      <c r="AO128">
        <f t="shared" si="14"/>
        <v>-3.1333332550000002</v>
      </c>
      <c r="AP128">
        <v>-345.6</v>
      </c>
      <c r="AQ128">
        <f t="shared" si="15"/>
        <v>-46.079998848000002</v>
      </c>
      <c r="AR128">
        <v>276.39999999999998</v>
      </c>
      <c r="AS128">
        <f t="shared" si="16"/>
        <v>36.853332412</v>
      </c>
      <c r="AT128">
        <v>298.89999999999998</v>
      </c>
      <c r="AU128">
        <f t="shared" si="17"/>
        <v>39.853333233699999</v>
      </c>
      <c r="AV128">
        <v>745.4</v>
      </c>
      <c r="AW128">
        <f t="shared" si="18"/>
        <v>99.386641819999994</v>
      </c>
      <c r="AX128">
        <v>1223</v>
      </c>
      <c r="AY128">
        <f t="shared" si="19"/>
        <v>163.06666258999999</v>
      </c>
      <c r="BN128">
        <v>124</v>
      </c>
      <c r="BO128">
        <v>219.6</v>
      </c>
      <c r="BP128">
        <f t="shared" si="20"/>
        <v>29.279999268000001</v>
      </c>
      <c r="BQ128">
        <v>39.700000000000003</v>
      </c>
      <c r="BR128">
        <f t="shared" si="21"/>
        <v>5.2933332010000003</v>
      </c>
      <c r="BS128">
        <v>-24.7</v>
      </c>
      <c r="BT128">
        <f t="shared" si="22"/>
        <v>-3.293333251</v>
      </c>
      <c r="BU128">
        <v>990.4</v>
      </c>
      <c r="BV128">
        <f t="shared" si="23"/>
        <v>132.05333003199999</v>
      </c>
      <c r="BW128">
        <v>1399.1</v>
      </c>
      <c r="BX128">
        <f t="shared" si="24"/>
        <v>186.54666200299999</v>
      </c>
      <c r="BY128">
        <v>605.70000000000005</v>
      </c>
      <c r="BZ128">
        <f t="shared" si="25"/>
        <v>80.759997981000012</v>
      </c>
    </row>
    <row r="129" spans="1:78" x14ac:dyDescent="0.35">
      <c r="A129">
        <v>125</v>
      </c>
      <c r="B129">
        <v>-3.3</v>
      </c>
      <c r="C129">
        <v>-381.7</v>
      </c>
      <c r="D129">
        <v>288.10000000000002</v>
      </c>
      <c r="E129">
        <v>320.8</v>
      </c>
      <c r="F129">
        <v>728.1</v>
      </c>
      <c r="G129">
        <v>1270.5999999999999</v>
      </c>
      <c r="I129">
        <v>125</v>
      </c>
      <c r="J129">
        <v>194.3</v>
      </c>
      <c r="K129">
        <v>72.400000000000006</v>
      </c>
      <c r="L129">
        <v>-48.6</v>
      </c>
      <c r="M129">
        <v>963.4</v>
      </c>
      <c r="N129">
        <v>1342.3</v>
      </c>
      <c r="O129">
        <v>581.5</v>
      </c>
      <c r="AM129">
        <v>125</v>
      </c>
      <c r="AN129">
        <v>-3.3</v>
      </c>
      <c r="AO129">
        <f t="shared" si="14"/>
        <v>-0.43999998899999998</v>
      </c>
      <c r="AP129">
        <v>-381.7</v>
      </c>
      <c r="AQ129">
        <f t="shared" si="15"/>
        <v>-50.893332060999995</v>
      </c>
      <c r="AR129">
        <v>288.10000000000002</v>
      </c>
      <c r="AS129">
        <f t="shared" si="16"/>
        <v>38.413332373000003</v>
      </c>
      <c r="AT129">
        <v>320.8</v>
      </c>
      <c r="AU129">
        <f t="shared" si="17"/>
        <v>42.773333226399998</v>
      </c>
      <c r="AV129">
        <v>728.1</v>
      </c>
      <c r="AW129">
        <f t="shared" si="18"/>
        <v>97.079975730000001</v>
      </c>
      <c r="AX129">
        <v>1270.5999999999999</v>
      </c>
      <c r="AY129">
        <f t="shared" si="19"/>
        <v>169.41332909799999</v>
      </c>
      <c r="BN129">
        <v>125</v>
      </c>
      <c r="BO129">
        <v>194.3</v>
      </c>
      <c r="BP129">
        <f t="shared" si="20"/>
        <v>25.906666019000003</v>
      </c>
      <c r="BQ129">
        <v>72.400000000000006</v>
      </c>
      <c r="BR129">
        <f t="shared" si="21"/>
        <v>9.6533330920000004</v>
      </c>
      <c r="BS129">
        <v>-48.6</v>
      </c>
      <c r="BT129">
        <f t="shared" si="22"/>
        <v>-6.4799998380000003</v>
      </c>
      <c r="BU129">
        <v>963.4</v>
      </c>
      <c r="BV129">
        <f t="shared" si="23"/>
        <v>128.45333012199998</v>
      </c>
      <c r="BW129">
        <v>1342.3</v>
      </c>
      <c r="BX129">
        <f t="shared" si="24"/>
        <v>178.97332885899999</v>
      </c>
      <c r="BY129">
        <v>581.5</v>
      </c>
      <c r="BZ129">
        <f t="shared" si="25"/>
        <v>77.533331395000005</v>
      </c>
    </row>
    <row r="130" spans="1:78" x14ac:dyDescent="0.35">
      <c r="A130">
        <v>126</v>
      </c>
      <c r="B130">
        <v>21.4</v>
      </c>
      <c r="C130">
        <v>-414.5</v>
      </c>
      <c r="D130">
        <v>291.8</v>
      </c>
      <c r="E130">
        <v>341.5</v>
      </c>
      <c r="F130">
        <v>780.4</v>
      </c>
      <c r="G130">
        <v>1315.7</v>
      </c>
      <c r="I130">
        <v>126</v>
      </c>
      <c r="J130">
        <v>171</v>
      </c>
      <c r="K130">
        <v>98.8</v>
      </c>
      <c r="L130">
        <v>-71.900000000000006</v>
      </c>
      <c r="M130">
        <v>938.3</v>
      </c>
      <c r="N130">
        <v>1292.2</v>
      </c>
      <c r="O130">
        <v>555.79999999999995</v>
      </c>
      <c r="AM130">
        <v>126</v>
      </c>
      <c r="AN130">
        <v>21.4</v>
      </c>
      <c r="AO130">
        <f t="shared" si="14"/>
        <v>2.8533332619999996</v>
      </c>
      <c r="AP130">
        <v>-414.5</v>
      </c>
      <c r="AQ130">
        <f t="shared" si="15"/>
        <v>-55.266665285000002</v>
      </c>
      <c r="AR130">
        <v>291.8</v>
      </c>
      <c r="AS130">
        <f t="shared" si="16"/>
        <v>38.906665694000004</v>
      </c>
      <c r="AT130">
        <v>341.5</v>
      </c>
      <c r="AU130">
        <f t="shared" si="17"/>
        <v>45.533333219500001</v>
      </c>
      <c r="AV130">
        <v>780.4</v>
      </c>
      <c r="AW130">
        <f t="shared" si="18"/>
        <v>104.05330731999999</v>
      </c>
      <c r="AX130">
        <v>1315.7</v>
      </c>
      <c r="AY130">
        <f t="shared" si="19"/>
        <v>175.42666228100001</v>
      </c>
      <c r="BN130">
        <v>126</v>
      </c>
      <c r="BO130">
        <v>171</v>
      </c>
      <c r="BP130">
        <f t="shared" si="20"/>
        <v>22.79999943</v>
      </c>
      <c r="BQ130">
        <v>98.8</v>
      </c>
      <c r="BR130">
        <f t="shared" si="21"/>
        <v>13.173333004</v>
      </c>
      <c r="BS130">
        <v>-71.900000000000006</v>
      </c>
      <c r="BT130">
        <f t="shared" si="22"/>
        <v>-9.5866664270000008</v>
      </c>
      <c r="BU130">
        <v>938.3</v>
      </c>
      <c r="BV130">
        <f t="shared" si="23"/>
        <v>125.106663539</v>
      </c>
      <c r="BW130">
        <v>1292.2</v>
      </c>
      <c r="BX130">
        <f t="shared" si="24"/>
        <v>172.29332902600001</v>
      </c>
      <c r="BY130">
        <v>555.79999999999995</v>
      </c>
      <c r="BZ130">
        <f t="shared" si="25"/>
        <v>74.106664813999998</v>
      </c>
    </row>
    <row r="131" spans="1:78" x14ac:dyDescent="0.35">
      <c r="A131">
        <v>127</v>
      </c>
      <c r="B131">
        <v>34.799999999999997</v>
      </c>
      <c r="C131">
        <v>-442.8</v>
      </c>
      <c r="D131">
        <v>263.39999999999998</v>
      </c>
      <c r="E131">
        <v>359</v>
      </c>
      <c r="F131">
        <v>845.6</v>
      </c>
      <c r="G131">
        <v>1358</v>
      </c>
      <c r="I131">
        <v>127</v>
      </c>
      <c r="J131">
        <v>149.69999999999999</v>
      </c>
      <c r="K131">
        <v>120.3</v>
      </c>
      <c r="L131">
        <v>-95</v>
      </c>
      <c r="M131">
        <v>915</v>
      </c>
      <c r="N131">
        <v>1247.8</v>
      </c>
      <c r="O131">
        <v>528.29999999999995</v>
      </c>
      <c r="AM131">
        <v>127</v>
      </c>
      <c r="AN131">
        <v>34.799999999999997</v>
      </c>
      <c r="AO131">
        <f t="shared" si="14"/>
        <v>4.6399998839999999</v>
      </c>
      <c r="AP131">
        <v>-442.8</v>
      </c>
      <c r="AQ131">
        <f t="shared" si="15"/>
        <v>-59.039998524000005</v>
      </c>
      <c r="AR131">
        <v>263.39999999999998</v>
      </c>
      <c r="AS131">
        <f t="shared" si="16"/>
        <v>35.119999121999996</v>
      </c>
      <c r="AT131">
        <v>359</v>
      </c>
      <c r="AU131">
        <f t="shared" si="17"/>
        <v>47.866666547000001</v>
      </c>
      <c r="AV131">
        <v>845.6</v>
      </c>
      <c r="AW131">
        <f t="shared" si="18"/>
        <v>112.74663847999999</v>
      </c>
      <c r="AX131">
        <v>1358</v>
      </c>
      <c r="AY131">
        <f t="shared" si="19"/>
        <v>181.06666214000001</v>
      </c>
      <c r="BN131">
        <v>127</v>
      </c>
      <c r="BO131">
        <v>149.69999999999999</v>
      </c>
      <c r="BP131">
        <f t="shared" si="20"/>
        <v>19.959999500999999</v>
      </c>
      <c r="BQ131">
        <v>120.3</v>
      </c>
      <c r="BR131">
        <f t="shared" si="21"/>
        <v>16.039999598999998</v>
      </c>
      <c r="BS131">
        <v>-95</v>
      </c>
      <c r="BT131">
        <f t="shared" si="22"/>
        <v>-12.66666635</v>
      </c>
      <c r="BU131">
        <v>915</v>
      </c>
      <c r="BV131">
        <f t="shared" si="23"/>
        <v>121.99999695</v>
      </c>
      <c r="BW131">
        <v>1247.8</v>
      </c>
      <c r="BX131">
        <f t="shared" si="24"/>
        <v>166.37332917399999</v>
      </c>
      <c r="BY131">
        <v>528.29999999999995</v>
      </c>
      <c r="BZ131">
        <f t="shared" si="25"/>
        <v>70.439998238999991</v>
      </c>
    </row>
    <row r="132" spans="1:78" x14ac:dyDescent="0.35">
      <c r="A132">
        <v>128</v>
      </c>
      <c r="B132">
        <v>50.1</v>
      </c>
      <c r="C132">
        <v>-431.9</v>
      </c>
      <c r="D132">
        <v>219.7</v>
      </c>
      <c r="E132">
        <v>341.4</v>
      </c>
      <c r="F132">
        <v>522.70000000000005</v>
      </c>
      <c r="G132">
        <v>1376.1</v>
      </c>
      <c r="I132">
        <v>128</v>
      </c>
      <c r="J132">
        <v>130.19999999999999</v>
      </c>
      <c r="K132">
        <v>138.30000000000001</v>
      </c>
      <c r="L132">
        <v>-118.6</v>
      </c>
      <c r="M132">
        <v>893</v>
      </c>
      <c r="N132">
        <v>1207.9000000000001</v>
      </c>
      <c r="O132">
        <v>499</v>
      </c>
      <c r="AM132">
        <v>128</v>
      </c>
      <c r="AN132">
        <v>50.1</v>
      </c>
      <c r="AO132">
        <f t="shared" si="14"/>
        <v>6.6799998330000001</v>
      </c>
      <c r="AP132">
        <v>-431.9</v>
      </c>
      <c r="AQ132">
        <f t="shared" si="15"/>
        <v>-57.586665226999997</v>
      </c>
      <c r="AR132">
        <v>219.7</v>
      </c>
      <c r="AS132">
        <f t="shared" si="16"/>
        <v>29.293332600999999</v>
      </c>
      <c r="AT132">
        <v>341.4</v>
      </c>
      <c r="AU132">
        <f t="shared" si="17"/>
        <v>45.519999886199997</v>
      </c>
      <c r="AV132">
        <v>522.70000000000005</v>
      </c>
      <c r="AW132">
        <f t="shared" si="18"/>
        <v>69.693315909999995</v>
      </c>
      <c r="AX132">
        <v>1376.1</v>
      </c>
      <c r="AY132">
        <f t="shared" si="19"/>
        <v>183.47999541299998</v>
      </c>
      <c r="BN132">
        <v>128</v>
      </c>
      <c r="BO132">
        <v>130.19999999999999</v>
      </c>
      <c r="BP132">
        <f t="shared" si="20"/>
        <v>17.359999565999999</v>
      </c>
      <c r="BQ132">
        <v>138.30000000000001</v>
      </c>
      <c r="BR132">
        <f t="shared" si="21"/>
        <v>18.439999539000002</v>
      </c>
      <c r="BS132">
        <v>-118.6</v>
      </c>
      <c r="BT132">
        <f t="shared" si="22"/>
        <v>-15.813332937999999</v>
      </c>
      <c r="BU132">
        <v>893</v>
      </c>
      <c r="BV132">
        <f t="shared" si="23"/>
        <v>119.06666369</v>
      </c>
      <c r="BW132">
        <v>1207.9000000000001</v>
      </c>
      <c r="BX132">
        <f t="shared" si="24"/>
        <v>161.05332930700001</v>
      </c>
      <c r="BY132">
        <v>499</v>
      </c>
      <c r="BZ132">
        <f t="shared" si="25"/>
        <v>66.533331669999995</v>
      </c>
    </row>
    <row r="133" spans="1:78" x14ac:dyDescent="0.35">
      <c r="A133">
        <v>129</v>
      </c>
      <c r="B133">
        <v>60.4</v>
      </c>
      <c r="C133">
        <v>-340.3</v>
      </c>
      <c r="D133">
        <v>180.7</v>
      </c>
      <c r="E133">
        <v>284.5</v>
      </c>
      <c r="F133">
        <v>60.1</v>
      </c>
      <c r="G133">
        <v>1313</v>
      </c>
      <c r="I133">
        <v>129</v>
      </c>
      <c r="J133">
        <v>112.5</v>
      </c>
      <c r="K133">
        <v>153.4</v>
      </c>
      <c r="L133">
        <v>-143.1</v>
      </c>
      <c r="M133">
        <v>872.1</v>
      </c>
      <c r="N133">
        <v>1172</v>
      </c>
      <c r="O133">
        <v>469.7</v>
      </c>
      <c r="AM133">
        <v>129</v>
      </c>
      <c r="AN133">
        <v>60.4</v>
      </c>
      <c r="AO133">
        <f t="shared" ref="AO133:AO146" si="26">AN133*0.13333333</f>
        <v>8.0533331320000006</v>
      </c>
      <c r="AP133">
        <v>-340.3</v>
      </c>
      <c r="AQ133">
        <f t="shared" ref="AQ133:AQ146" si="27">AP133*0.13333333</f>
        <v>-45.373332199000004</v>
      </c>
      <c r="AR133">
        <v>180.7</v>
      </c>
      <c r="AS133">
        <f t="shared" ref="AS133:AS146" si="28" xml:space="preserve"> AR133*0.13333333</f>
        <v>24.093332730999997</v>
      </c>
      <c r="AT133">
        <v>284.5</v>
      </c>
      <c r="AU133">
        <f t="shared" ref="AU133:AU146" si="29">AT133*0.133333333</f>
        <v>37.933333238499998</v>
      </c>
      <c r="AV133">
        <v>60.1</v>
      </c>
      <c r="AW133">
        <f t="shared" ref="AW133:AW146" si="30">AV133*0.1333333</f>
        <v>8.0133313299999998</v>
      </c>
      <c r="AX133">
        <v>1313</v>
      </c>
      <c r="AY133">
        <f t="shared" ref="AY133:AY146" si="31">AX133*0.13333333</f>
        <v>175.06666229000001</v>
      </c>
      <c r="BN133">
        <v>129</v>
      </c>
      <c r="BO133">
        <v>112.5</v>
      </c>
      <c r="BP133">
        <f t="shared" ref="BP133:BP185" si="32">BO133*0.13333333</f>
        <v>14.999999624999999</v>
      </c>
      <c r="BQ133">
        <v>153.4</v>
      </c>
      <c r="BR133">
        <f t="shared" ref="BR133:BR185" si="33">BQ133*0.13333333</f>
        <v>20.453332822</v>
      </c>
      <c r="BS133">
        <v>-143.1</v>
      </c>
      <c r="BT133">
        <f t="shared" ref="BT133:BT185" si="34">BS133*0.13333333</f>
        <v>-19.079999522999998</v>
      </c>
      <c r="BU133">
        <v>872.1</v>
      </c>
      <c r="BV133">
        <f t="shared" ref="BV133:BV185" si="35">BU133*0.13333333</f>
        <v>116.27999709300001</v>
      </c>
      <c r="BW133">
        <v>1172</v>
      </c>
      <c r="BX133">
        <f t="shared" ref="BX133:BX185" si="36">BW133*0.13333333</f>
        <v>156.26666276</v>
      </c>
      <c r="BY133">
        <v>469.7</v>
      </c>
      <c r="BZ133">
        <f t="shared" ref="BZ133:BZ185" si="37">BY133*0.13333333</f>
        <v>62.626665101</v>
      </c>
    </row>
    <row r="134" spans="1:78" x14ac:dyDescent="0.35">
      <c r="A134">
        <v>130</v>
      </c>
      <c r="B134">
        <v>68.2</v>
      </c>
      <c r="C134">
        <v>-245.7</v>
      </c>
      <c r="D134">
        <v>145.30000000000001</v>
      </c>
      <c r="E134">
        <v>235.2</v>
      </c>
      <c r="F134">
        <v>7.4</v>
      </c>
      <c r="G134">
        <v>1219.9000000000001</v>
      </c>
      <c r="I134">
        <v>130</v>
      </c>
      <c r="J134">
        <v>96.3</v>
      </c>
      <c r="K134">
        <v>165.9</v>
      </c>
      <c r="L134">
        <v>-167.7</v>
      </c>
      <c r="M134">
        <v>852.1</v>
      </c>
      <c r="N134">
        <v>1139.4000000000001</v>
      </c>
      <c r="O134">
        <v>470.5</v>
      </c>
      <c r="AM134">
        <v>130</v>
      </c>
      <c r="AN134">
        <v>68.2</v>
      </c>
      <c r="AO134">
        <f t="shared" si="26"/>
        <v>9.0933331060000011</v>
      </c>
      <c r="AP134">
        <v>-245.7</v>
      </c>
      <c r="AQ134">
        <f t="shared" si="27"/>
        <v>-32.759999180999998</v>
      </c>
      <c r="AR134">
        <v>145.30000000000001</v>
      </c>
      <c r="AS134">
        <f t="shared" si="28"/>
        <v>19.373332849000001</v>
      </c>
      <c r="AT134">
        <v>235.2</v>
      </c>
      <c r="AU134">
        <f t="shared" si="29"/>
        <v>31.359999921599996</v>
      </c>
      <c r="AV134">
        <v>7.4</v>
      </c>
      <c r="AW134">
        <f t="shared" si="30"/>
        <v>0.98666641999999993</v>
      </c>
      <c r="AX134">
        <v>1219.9000000000001</v>
      </c>
      <c r="AY134">
        <f t="shared" si="31"/>
        <v>162.653329267</v>
      </c>
      <c r="BN134">
        <v>130</v>
      </c>
      <c r="BO134">
        <v>96.3</v>
      </c>
      <c r="BP134">
        <f t="shared" si="32"/>
        <v>12.839999679</v>
      </c>
      <c r="BQ134">
        <v>165.9</v>
      </c>
      <c r="BR134">
        <f t="shared" si="33"/>
        <v>22.119999447000001</v>
      </c>
      <c r="BS134">
        <v>-167.7</v>
      </c>
      <c r="BT134">
        <f t="shared" si="34"/>
        <v>-22.359999440999999</v>
      </c>
      <c r="BU134">
        <v>852.1</v>
      </c>
      <c r="BV134">
        <f t="shared" si="35"/>
        <v>113.61333049300001</v>
      </c>
      <c r="BW134">
        <v>1139.4000000000001</v>
      </c>
      <c r="BX134">
        <f t="shared" si="36"/>
        <v>151.91999620200002</v>
      </c>
      <c r="BY134">
        <v>470.5</v>
      </c>
      <c r="BZ134">
        <f t="shared" si="37"/>
        <v>62.733331765000003</v>
      </c>
    </row>
    <row r="135" spans="1:78" x14ac:dyDescent="0.35">
      <c r="A135">
        <v>131</v>
      </c>
      <c r="B135">
        <v>77.400000000000006</v>
      </c>
      <c r="C135">
        <v>-176.3</v>
      </c>
      <c r="D135">
        <v>111.7</v>
      </c>
      <c r="E135">
        <v>193.3</v>
      </c>
      <c r="F135">
        <v>283.60000000000002</v>
      </c>
      <c r="G135">
        <v>1143.8</v>
      </c>
      <c r="I135">
        <v>131</v>
      </c>
      <c r="J135">
        <v>81.599999999999994</v>
      </c>
      <c r="K135">
        <v>169.3</v>
      </c>
      <c r="L135">
        <v>-172.2</v>
      </c>
      <c r="M135">
        <v>840.5</v>
      </c>
      <c r="N135">
        <v>1109.7</v>
      </c>
      <c r="O135">
        <v>600.70000000000005</v>
      </c>
      <c r="AM135">
        <v>131</v>
      </c>
      <c r="AN135">
        <v>77.400000000000006</v>
      </c>
      <c r="AO135">
        <f t="shared" si="26"/>
        <v>10.319999742</v>
      </c>
      <c r="AP135">
        <v>-176.3</v>
      </c>
      <c r="AQ135">
        <f t="shared" si="27"/>
        <v>-23.506666079000002</v>
      </c>
      <c r="AR135">
        <v>111.7</v>
      </c>
      <c r="AS135">
        <f t="shared" si="28"/>
        <v>14.893332961</v>
      </c>
      <c r="AT135">
        <v>193.3</v>
      </c>
      <c r="AU135">
        <f t="shared" si="29"/>
        <v>25.7733332689</v>
      </c>
      <c r="AV135">
        <v>283.60000000000002</v>
      </c>
      <c r="AW135">
        <f t="shared" si="30"/>
        <v>37.813323879999999</v>
      </c>
      <c r="AX135">
        <v>1143.8</v>
      </c>
      <c r="AY135">
        <f t="shared" si="31"/>
        <v>152.50666285399998</v>
      </c>
      <c r="BN135">
        <v>131</v>
      </c>
      <c r="BO135">
        <v>81.599999999999994</v>
      </c>
      <c r="BP135">
        <f t="shared" si="32"/>
        <v>10.879999728</v>
      </c>
      <c r="BQ135">
        <v>169.3</v>
      </c>
      <c r="BR135">
        <f t="shared" si="33"/>
        <v>22.573332769</v>
      </c>
      <c r="BS135">
        <v>-172.2</v>
      </c>
      <c r="BT135">
        <f t="shared" si="34"/>
        <v>-22.959999426</v>
      </c>
      <c r="BU135">
        <v>840.5</v>
      </c>
      <c r="BV135">
        <f t="shared" si="35"/>
        <v>112.066663865</v>
      </c>
      <c r="BW135">
        <v>1109.7</v>
      </c>
      <c r="BX135">
        <f t="shared" si="36"/>
        <v>147.95999630100002</v>
      </c>
      <c r="BY135">
        <v>600.70000000000005</v>
      </c>
      <c r="BZ135">
        <f t="shared" si="37"/>
        <v>80.093331331000002</v>
      </c>
    </row>
    <row r="136" spans="1:78" x14ac:dyDescent="0.35">
      <c r="A136">
        <v>132</v>
      </c>
      <c r="B136">
        <v>69</v>
      </c>
      <c r="C136">
        <v>-124.9</v>
      </c>
      <c r="D136">
        <v>77.5</v>
      </c>
      <c r="E136">
        <v>155.6</v>
      </c>
      <c r="F136">
        <v>843.8</v>
      </c>
      <c r="G136">
        <v>1080.4000000000001</v>
      </c>
      <c r="I136">
        <v>132</v>
      </c>
      <c r="J136">
        <v>68.2</v>
      </c>
      <c r="K136">
        <v>143.69999999999999</v>
      </c>
      <c r="L136">
        <v>-122.6</v>
      </c>
      <c r="M136">
        <v>875.8</v>
      </c>
      <c r="N136">
        <v>1082.3</v>
      </c>
      <c r="O136">
        <v>805.2</v>
      </c>
      <c r="AM136">
        <v>132</v>
      </c>
      <c r="AN136">
        <v>69</v>
      </c>
      <c r="AO136">
        <f t="shared" si="26"/>
        <v>9.1999997699999998</v>
      </c>
      <c r="AP136">
        <v>-124.9</v>
      </c>
      <c r="AQ136">
        <f t="shared" si="27"/>
        <v>-16.653332917</v>
      </c>
      <c r="AR136">
        <v>77.5</v>
      </c>
      <c r="AS136">
        <f t="shared" si="28"/>
        <v>10.333333075000001</v>
      </c>
      <c r="AT136">
        <v>155.6</v>
      </c>
      <c r="AU136">
        <f t="shared" si="29"/>
        <v>20.746666614799999</v>
      </c>
      <c r="AV136">
        <v>843.8</v>
      </c>
      <c r="AW136">
        <f t="shared" si="30"/>
        <v>112.50663853999998</v>
      </c>
      <c r="AX136">
        <v>1080.4000000000001</v>
      </c>
      <c r="AY136">
        <f t="shared" si="31"/>
        <v>144.05332973200001</v>
      </c>
      <c r="BN136">
        <v>132</v>
      </c>
      <c r="BO136">
        <v>68.2</v>
      </c>
      <c r="BP136">
        <f t="shared" si="32"/>
        <v>9.0933331060000011</v>
      </c>
      <c r="BQ136">
        <v>143.69999999999999</v>
      </c>
      <c r="BR136">
        <f t="shared" si="33"/>
        <v>19.159999521</v>
      </c>
      <c r="BS136">
        <v>-122.6</v>
      </c>
      <c r="BT136">
        <f t="shared" si="34"/>
        <v>-16.346666257999999</v>
      </c>
      <c r="BU136">
        <v>875.8</v>
      </c>
      <c r="BV136">
        <f t="shared" si="35"/>
        <v>116.773330414</v>
      </c>
      <c r="BW136">
        <v>1082.3</v>
      </c>
      <c r="BX136">
        <f t="shared" si="36"/>
        <v>144.30666305899999</v>
      </c>
      <c r="BY136">
        <v>805.2</v>
      </c>
      <c r="BZ136">
        <f t="shared" si="37"/>
        <v>107.359997316</v>
      </c>
    </row>
    <row r="137" spans="1:78" x14ac:dyDescent="0.35">
      <c r="A137">
        <v>133</v>
      </c>
      <c r="B137">
        <v>27.1</v>
      </c>
      <c r="C137">
        <v>-86.7</v>
      </c>
      <c r="D137">
        <v>41.1</v>
      </c>
      <c r="E137">
        <v>120.8</v>
      </c>
      <c r="F137">
        <v>1096.2</v>
      </c>
      <c r="G137">
        <v>1025.7</v>
      </c>
      <c r="I137">
        <v>133</v>
      </c>
      <c r="J137">
        <v>56</v>
      </c>
      <c r="K137">
        <v>106.2</v>
      </c>
      <c r="L137">
        <v>-63.5</v>
      </c>
      <c r="M137">
        <v>947.1</v>
      </c>
      <c r="N137">
        <v>1059.5999999999999</v>
      </c>
      <c r="O137">
        <v>945.7</v>
      </c>
      <c r="AM137">
        <v>133</v>
      </c>
      <c r="AN137">
        <v>27.1</v>
      </c>
      <c r="AO137">
        <f t="shared" si="26"/>
        <v>3.613333243</v>
      </c>
      <c r="AP137">
        <v>-86.7</v>
      </c>
      <c r="AQ137">
        <f t="shared" si="27"/>
        <v>-11.559999711</v>
      </c>
      <c r="AR137">
        <v>41.1</v>
      </c>
      <c r="AS137">
        <f t="shared" si="28"/>
        <v>5.4799998629999997</v>
      </c>
      <c r="AT137">
        <v>120.8</v>
      </c>
      <c r="AU137">
        <f t="shared" si="29"/>
        <v>16.106666626399999</v>
      </c>
      <c r="AV137">
        <v>1096.2</v>
      </c>
      <c r="AW137">
        <f t="shared" si="30"/>
        <v>146.15996346</v>
      </c>
      <c r="AX137">
        <v>1025.7</v>
      </c>
      <c r="AY137">
        <f t="shared" si="31"/>
        <v>136.759996581</v>
      </c>
      <c r="BN137">
        <v>133</v>
      </c>
      <c r="BO137">
        <v>56</v>
      </c>
      <c r="BP137">
        <f t="shared" si="32"/>
        <v>7.4666664799999998</v>
      </c>
      <c r="BQ137">
        <v>106.2</v>
      </c>
      <c r="BR137">
        <f t="shared" si="33"/>
        <v>14.159999646000001</v>
      </c>
      <c r="BS137">
        <v>-63.5</v>
      </c>
      <c r="BT137">
        <f t="shared" si="34"/>
        <v>-8.4666664550000004</v>
      </c>
      <c r="BU137">
        <v>947.1</v>
      </c>
      <c r="BV137">
        <f t="shared" si="35"/>
        <v>126.27999684300001</v>
      </c>
      <c r="BW137">
        <v>1059.5999999999999</v>
      </c>
      <c r="BX137">
        <f t="shared" si="36"/>
        <v>141.27999646799998</v>
      </c>
      <c r="BY137">
        <v>945.7</v>
      </c>
      <c r="BZ137">
        <f t="shared" si="37"/>
        <v>126.093330181</v>
      </c>
    </row>
    <row r="138" spans="1:78" x14ac:dyDescent="0.35">
      <c r="A138">
        <v>134</v>
      </c>
      <c r="B138">
        <v>-9.6</v>
      </c>
      <c r="C138">
        <v>-57.6</v>
      </c>
      <c r="D138">
        <v>1.3</v>
      </c>
      <c r="E138">
        <v>87.7</v>
      </c>
      <c r="F138">
        <v>1197.3</v>
      </c>
      <c r="G138">
        <v>977.3</v>
      </c>
      <c r="I138">
        <v>134</v>
      </c>
      <c r="J138">
        <v>57.3</v>
      </c>
      <c r="K138">
        <v>69.8</v>
      </c>
      <c r="L138">
        <v>-20.9</v>
      </c>
      <c r="M138">
        <v>1002.5</v>
      </c>
      <c r="N138">
        <v>1039.5</v>
      </c>
      <c r="O138">
        <v>1023.5</v>
      </c>
      <c r="AM138">
        <v>134</v>
      </c>
      <c r="AN138">
        <v>-9.6</v>
      </c>
      <c r="AO138">
        <f t="shared" si="26"/>
        <v>-1.279999968</v>
      </c>
      <c r="AP138">
        <v>-57.6</v>
      </c>
      <c r="AQ138">
        <f t="shared" si="27"/>
        <v>-7.6799998079999998</v>
      </c>
      <c r="AR138">
        <v>1.3</v>
      </c>
      <c r="AS138">
        <f t="shared" si="28"/>
        <v>0.17333332900000001</v>
      </c>
      <c r="AT138">
        <v>87.7</v>
      </c>
      <c r="AU138">
        <f t="shared" si="29"/>
        <v>11.693333304099999</v>
      </c>
      <c r="AV138">
        <v>1197.3</v>
      </c>
      <c r="AW138">
        <f t="shared" si="30"/>
        <v>159.63996008999999</v>
      </c>
      <c r="AX138">
        <v>977.3</v>
      </c>
      <c r="AY138">
        <f t="shared" si="31"/>
        <v>130.30666340899998</v>
      </c>
      <c r="BN138">
        <v>134</v>
      </c>
      <c r="BO138">
        <v>57.3</v>
      </c>
      <c r="BP138">
        <f t="shared" si="32"/>
        <v>7.6399998089999999</v>
      </c>
      <c r="BQ138">
        <v>69.8</v>
      </c>
      <c r="BR138">
        <f t="shared" si="33"/>
        <v>9.3066664340000003</v>
      </c>
      <c r="BS138">
        <v>-20.9</v>
      </c>
      <c r="BT138">
        <f t="shared" si="34"/>
        <v>-2.786666597</v>
      </c>
      <c r="BU138">
        <v>1002.5</v>
      </c>
      <c r="BV138">
        <f t="shared" si="35"/>
        <v>133.666663325</v>
      </c>
      <c r="BW138">
        <v>1039.5</v>
      </c>
      <c r="BX138">
        <f t="shared" si="36"/>
        <v>138.599996535</v>
      </c>
      <c r="BY138">
        <v>1023.5</v>
      </c>
      <c r="BZ138">
        <f t="shared" si="37"/>
        <v>136.46666325499999</v>
      </c>
    </row>
    <row r="139" spans="1:78" x14ac:dyDescent="0.35">
      <c r="A139">
        <v>135</v>
      </c>
      <c r="B139">
        <v>-40</v>
      </c>
      <c r="C139">
        <v>-34.700000000000003</v>
      </c>
      <c r="D139">
        <v>-41.3</v>
      </c>
      <c r="E139">
        <v>55.2</v>
      </c>
      <c r="F139">
        <v>1216.5999999999999</v>
      </c>
      <c r="G139">
        <v>934</v>
      </c>
      <c r="I139">
        <v>135</v>
      </c>
      <c r="J139">
        <v>98.8</v>
      </c>
      <c r="K139">
        <v>33.700000000000003</v>
      </c>
      <c r="L139">
        <v>12.3</v>
      </c>
      <c r="M139">
        <v>1046.7</v>
      </c>
      <c r="N139">
        <v>1016.7</v>
      </c>
      <c r="O139">
        <v>1078.4000000000001</v>
      </c>
      <c r="AM139">
        <v>135</v>
      </c>
      <c r="AN139">
        <v>-40</v>
      </c>
      <c r="AO139">
        <f t="shared" si="26"/>
        <v>-5.3333332000000002</v>
      </c>
      <c r="AP139">
        <v>-34.700000000000003</v>
      </c>
      <c r="AQ139">
        <f t="shared" si="27"/>
        <v>-4.6266665510000005</v>
      </c>
      <c r="AR139">
        <v>-41.3</v>
      </c>
      <c r="AS139">
        <f t="shared" si="28"/>
        <v>-5.5066665289999994</v>
      </c>
      <c r="AT139">
        <v>55.2</v>
      </c>
      <c r="AU139">
        <f t="shared" si="29"/>
        <v>7.3599999816000006</v>
      </c>
      <c r="AV139">
        <v>1216.5999999999999</v>
      </c>
      <c r="AW139">
        <f t="shared" si="30"/>
        <v>162.21329277999996</v>
      </c>
      <c r="AX139">
        <v>934</v>
      </c>
      <c r="AY139">
        <f t="shared" si="31"/>
        <v>124.53333022</v>
      </c>
      <c r="BN139">
        <v>135</v>
      </c>
      <c r="BO139">
        <v>98.8</v>
      </c>
      <c r="BP139">
        <f t="shared" si="32"/>
        <v>13.173333004</v>
      </c>
      <c r="BQ139">
        <v>33.700000000000003</v>
      </c>
      <c r="BR139">
        <f t="shared" si="33"/>
        <v>4.4933332210000003</v>
      </c>
      <c r="BS139">
        <v>12.3</v>
      </c>
      <c r="BT139">
        <f t="shared" si="34"/>
        <v>1.6399999590000001</v>
      </c>
      <c r="BU139">
        <v>1046.7</v>
      </c>
      <c r="BV139">
        <f t="shared" si="35"/>
        <v>139.55999651100001</v>
      </c>
      <c r="BW139">
        <v>1016.7</v>
      </c>
      <c r="BX139">
        <f t="shared" si="36"/>
        <v>135.559996611</v>
      </c>
      <c r="BY139">
        <v>1078.4000000000001</v>
      </c>
      <c r="BZ139">
        <f t="shared" si="37"/>
        <v>143.78666307200001</v>
      </c>
    </row>
    <row r="140" spans="1:78" x14ac:dyDescent="0.35">
      <c r="A140">
        <v>136</v>
      </c>
      <c r="B140">
        <v>-66</v>
      </c>
      <c r="C140">
        <v>-16.600000000000001</v>
      </c>
      <c r="D140">
        <v>-85</v>
      </c>
      <c r="E140">
        <v>22.6</v>
      </c>
      <c r="F140">
        <v>1164.5999999999999</v>
      </c>
      <c r="G140">
        <v>894.6</v>
      </c>
      <c r="I140">
        <v>136</v>
      </c>
      <c r="J140">
        <v>130.1</v>
      </c>
      <c r="K140">
        <v>-2.7</v>
      </c>
      <c r="L140">
        <v>40.1</v>
      </c>
      <c r="M140">
        <v>1086.5</v>
      </c>
      <c r="N140">
        <v>995.2</v>
      </c>
      <c r="O140">
        <v>1086.3</v>
      </c>
      <c r="AM140">
        <v>136</v>
      </c>
      <c r="AN140">
        <v>-66</v>
      </c>
      <c r="AO140">
        <f t="shared" si="26"/>
        <v>-8.7999997800000003</v>
      </c>
      <c r="AP140">
        <v>-16.600000000000001</v>
      </c>
      <c r="AQ140">
        <f t="shared" si="27"/>
        <v>-2.2133332780000003</v>
      </c>
      <c r="AR140">
        <v>-85</v>
      </c>
      <c r="AS140">
        <f t="shared" si="28"/>
        <v>-11.33333305</v>
      </c>
      <c r="AT140">
        <v>22.6</v>
      </c>
      <c r="AU140">
        <f t="shared" si="29"/>
        <v>3.0133333258000001</v>
      </c>
      <c r="AV140">
        <v>1164.5999999999999</v>
      </c>
      <c r="AW140">
        <f t="shared" si="30"/>
        <v>155.27996117999999</v>
      </c>
      <c r="AX140">
        <v>894.6</v>
      </c>
      <c r="AY140">
        <f t="shared" si="31"/>
        <v>119.279997018</v>
      </c>
      <c r="BN140">
        <v>136</v>
      </c>
      <c r="BO140">
        <v>130.1</v>
      </c>
      <c r="BP140">
        <f t="shared" si="32"/>
        <v>17.346666233000001</v>
      </c>
      <c r="BQ140">
        <v>-2.7</v>
      </c>
      <c r="BR140">
        <f t="shared" si="33"/>
        <v>-0.35999999100000002</v>
      </c>
      <c r="BS140">
        <v>40.1</v>
      </c>
      <c r="BT140">
        <f t="shared" si="34"/>
        <v>5.3466665330000005</v>
      </c>
      <c r="BU140">
        <v>1086.5</v>
      </c>
      <c r="BV140">
        <f t="shared" si="35"/>
        <v>144.866663045</v>
      </c>
      <c r="BW140">
        <v>995.2</v>
      </c>
      <c r="BX140">
        <f t="shared" si="36"/>
        <v>132.693330016</v>
      </c>
      <c r="BY140">
        <v>1086.3</v>
      </c>
      <c r="BZ140">
        <f t="shared" si="37"/>
        <v>144.83999637899998</v>
      </c>
    </row>
    <row r="141" spans="1:78" x14ac:dyDescent="0.35">
      <c r="A141">
        <v>137</v>
      </c>
      <c r="B141">
        <v>-88.5</v>
      </c>
      <c r="C141">
        <v>-2.2999999999999998</v>
      </c>
      <c r="D141">
        <v>-128</v>
      </c>
      <c r="E141">
        <v>-10.5</v>
      </c>
      <c r="F141">
        <v>1088.5</v>
      </c>
      <c r="G141">
        <v>857.7</v>
      </c>
      <c r="I141">
        <v>137</v>
      </c>
      <c r="J141">
        <v>164.4</v>
      </c>
      <c r="K141">
        <v>-39.299999999999997</v>
      </c>
      <c r="L141">
        <v>64.5</v>
      </c>
      <c r="M141">
        <v>1123.7</v>
      </c>
      <c r="N141">
        <v>975.1</v>
      </c>
      <c r="O141">
        <v>1030.7</v>
      </c>
      <c r="AM141">
        <v>137</v>
      </c>
      <c r="AN141">
        <v>-88.5</v>
      </c>
      <c r="AO141">
        <f t="shared" si="26"/>
        <v>-11.799999704999999</v>
      </c>
      <c r="AP141">
        <v>-2.2999999999999998</v>
      </c>
      <c r="AQ141">
        <f t="shared" si="27"/>
        <v>-0.30666665899999995</v>
      </c>
      <c r="AR141">
        <v>-128</v>
      </c>
      <c r="AS141">
        <f t="shared" si="28"/>
        <v>-17.06666624</v>
      </c>
      <c r="AT141">
        <v>-10.5</v>
      </c>
      <c r="AU141">
        <f t="shared" si="29"/>
        <v>-1.3999999965000001</v>
      </c>
      <c r="AV141">
        <v>1088.5</v>
      </c>
      <c r="AW141">
        <f t="shared" si="30"/>
        <v>145.13329704999998</v>
      </c>
      <c r="AX141">
        <v>857.7</v>
      </c>
      <c r="AY141">
        <f t="shared" si="31"/>
        <v>114.35999714100001</v>
      </c>
      <c r="BN141">
        <v>137</v>
      </c>
      <c r="BO141">
        <v>164.4</v>
      </c>
      <c r="BP141">
        <f t="shared" si="32"/>
        <v>21.919999451999999</v>
      </c>
      <c r="BQ141">
        <v>-39.299999999999997</v>
      </c>
      <c r="BR141">
        <f t="shared" si="33"/>
        <v>-5.239999869</v>
      </c>
      <c r="BS141">
        <v>64.5</v>
      </c>
      <c r="BT141">
        <f t="shared" si="34"/>
        <v>8.5999997849999996</v>
      </c>
      <c r="BU141">
        <v>1123.7</v>
      </c>
      <c r="BV141">
        <f t="shared" si="35"/>
        <v>149.82666292100001</v>
      </c>
      <c r="BW141">
        <v>975.1</v>
      </c>
      <c r="BX141">
        <f t="shared" si="36"/>
        <v>130.013330083</v>
      </c>
      <c r="BY141">
        <v>1030.7</v>
      </c>
      <c r="BZ141">
        <f t="shared" si="37"/>
        <v>137.42666323099999</v>
      </c>
    </row>
    <row r="142" spans="1:78" x14ac:dyDescent="0.35">
      <c r="A142">
        <v>138</v>
      </c>
      <c r="B142">
        <v>-108.1</v>
      </c>
      <c r="C142">
        <v>9</v>
      </c>
      <c r="D142">
        <v>-144.1</v>
      </c>
      <c r="E142">
        <v>-44.9</v>
      </c>
      <c r="F142">
        <v>1028.7</v>
      </c>
      <c r="G142">
        <v>822.5</v>
      </c>
      <c r="I142">
        <v>138</v>
      </c>
      <c r="J142">
        <v>183.8</v>
      </c>
      <c r="K142">
        <v>-75.900000000000006</v>
      </c>
      <c r="L142">
        <v>86.4</v>
      </c>
      <c r="M142">
        <v>1158.7</v>
      </c>
      <c r="N142">
        <v>956.1</v>
      </c>
      <c r="O142">
        <v>991.8</v>
      </c>
      <c r="AM142">
        <v>138</v>
      </c>
      <c r="AN142">
        <v>-108.1</v>
      </c>
      <c r="AO142">
        <f t="shared" si="26"/>
        <v>-14.413332972999999</v>
      </c>
      <c r="AP142">
        <v>9</v>
      </c>
      <c r="AQ142">
        <f t="shared" si="27"/>
        <v>1.1999999699999999</v>
      </c>
      <c r="AR142">
        <v>-144.1</v>
      </c>
      <c r="AS142">
        <f t="shared" si="28"/>
        <v>-19.213332853000001</v>
      </c>
      <c r="AT142">
        <v>-44.9</v>
      </c>
      <c r="AU142">
        <f t="shared" si="29"/>
        <v>-5.9866666516999993</v>
      </c>
      <c r="AV142">
        <v>1028.7</v>
      </c>
      <c r="AW142">
        <f t="shared" si="30"/>
        <v>137.15996570999999</v>
      </c>
      <c r="AX142">
        <v>822.5</v>
      </c>
      <c r="AY142">
        <f t="shared" si="31"/>
        <v>109.66666392499999</v>
      </c>
      <c r="BN142">
        <v>138</v>
      </c>
      <c r="BO142">
        <v>183.8</v>
      </c>
      <c r="BP142">
        <f t="shared" si="32"/>
        <v>24.506666054</v>
      </c>
      <c r="BQ142">
        <v>-75.900000000000006</v>
      </c>
      <c r="BR142">
        <f t="shared" si="33"/>
        <v>-10.119999747000001</v>
      </c>
      <c r="BS142">
        <v>86.4</v>
      </c>
      <c r="BT142">
        <f t="shared" si="34"/>
        <v>11.519999712000001</v>
      </c>
      <c r="BU142">
        <v>1158.7</v>
      </c>
      <c r="BV142">
        <f t="shared" si="35"/>
        <v>154.49332947100001</v>
      </c>
      <c r="BW142">
        <v>956.1</v>
      </c>
      <c r="BX142">
        <f t="shared" si="36"/>
        <v>127.479996813</v>
      </c>
      <c r="BY142">
        <v>991.8</v>
      </c>
      <c r="BZ142">
        <f t="shared" si="37"/>
        <v>132.23999669399998</v>
      </c>
    </row>
    <row r="143" spans="1:78" x14ac:dyDescent="0.35">
      <c r="A143">
        <v>139</v>
      </c>
      <c r="B143">
        <v>-125.3</v>
      </c>
      <c r="C143">
        <v>18</v>
      </c>
      <c r="D143">
        <v>-73.5</v>
      </c>
      <c r="E143">
        <v>-73.099999999999994</v>
      </c>
      <c r="F143">
        <v>978.2</v>
      </c>
      <c r="G143">
        <v>788.6</v>
      </c>
      <c r="I143">
        <v>139</v>
      </c>
      <c r="J143">
        <v>208.5</v>
      </c>
      <c r="K143">
        <v>-112.3</v>
      </c>
      <c r="L143">
        <v>106.7</v>
      </c>
      <c r="M143">
        <v>1191.5999999999999</v>
      </c>
      <c r="N143">
        <v>938.2</v>
      </c>
      <c r="O143">
        <v>964.8</v>
      </c>
      <c r="AM143">
        <v>139</v>
      </c>
      <c r="AN143">
        <v>-125.3</v>
      </c>
      <c r="AO143">
        <f t="shared" si="26"/>
        <v>-16.706666249000001</v>
      </c>
      <c r="AP143">
        <v>18</v>
      </c>
      <c r="AQ143">
        <f t="shared" si="27"/>
        <v>2.3999999399999998</v>
      </c>
      <c r="AR143">
        <v>-73.5</v>
      </c>
      <c r="AS143">
        <f t="shared" si="28"/>
        <v>-9.799999755</v>
      </c>
      <c r="AT143">
        <v>-73.099999999999994</v>
      </c>
      <c r="AU143">
        <f t="shared" si="29"/>
        <v>-9.7466666422999992</v>
      </c>
      <c r="AV143">
        <v>978.2</v>
      </c>
      <c r="AW143">
        <f t="shared" si="30"/>
        <v>130.42663406</v>
      </c>
      <c r="AX143">
        <v>788.6</v>
      </c>
      <c r="AY143">
        <f t="shared" si="31"/>
        <v>105.146664038</v>
      </c>
      <c r="BN143">
        <v>139</v>
      </c>
      <c r="BO143">
        <v>208.5</v>
      </c>
      <c r="BP143">
        <f t="shared" si="32"/>
        <v>27.799999305</v>
      </c>
      <c r="BQ143">
        <v>-112.3</v>
      </c>
      <c r="BR143">
        <f t="shared" si="33"/>
        <v>-14.973332959</v>
      </c>
      <c r="BS143">
        <v>106.7</v>
      </c>
      <c r="BT143">
        <f t="shared" si="34"/>
        <v>14.226666311000001</v>
      </c>
      <c r="BU143">
        <v>1191.5999999999999</v>
      </c>
      <c r="BV143">
        <f t="shared" si="35"/>
        <v>158.87999602799999</v>
      </c>
      <c r="BW143">
        <v>938.2</v>
      </c>
      <c r="BX143">
        <f t="shared" si="36"/>
        <v>125.093330206</v>
      </c>
      <c r="BY143">
        <v>964.8</v>
      </c>
      <c r="BZ143">
        <f t="shared" si="37"/>
        <v>128.639996784</v>
      </c>
    </row>
    <row r="144" spans="1:78" x14ac:dyDescent="0.35">
      <c r="A144">
        <v>140</v>
      </c>
      <c r="B144">
        <v>-140.9</v>
      </c>
      <c r="C144">
        <v>17.600000000000001</v>
      </c>
      <c r="D144">
        <v>32.1</v>
      </c>
      <c r="E144">
        <v>-44.9</v>
      </c>
      <c r="F144">
        <v>854.1</v>
      </c>
      <c r="G144">
        <v>755.2</v>
      </c>
      <c r="I144">
        <v>140</v>
      </c>
      <c r="J144">
        <v>219.7</v>
      </c>
      <c r="K144">
        <v>-148.1</v>
      </c>
      <c r="L144">
        <v>125.7</v>
      </c>
      <c r="M144">
        <v>1222.5</v>
      </c>
      <c r="N144">
        <v>921</v>
      </c>
      <c r="O144">
        <v>941.3</v>
      </c>
      <c r="AM144">
        <v>140</v>
      </c>
      <c r="AN144">
        <v>-140.9</v>
      </c>
      <c r="AO144">
        <f t="shared" si="26"/>
        <v>-18.786666197000002</v>
      </c>
      <c r="AP144">
        <v>17.600000000000001</v>
      </c>
      <c r="AQ144">
        <f t="shared" si="27"/>
        <v>2.346666608</v>
      </c>
      <c r="AR144">
        <v>32.1</v>
      </c>
      <c r="AS144">
        <f t="shared" si="28"/>
        <v>4.2799998930000003</v>
      </c>
      <c r="AT144">
        <v>-44.9</v>
      </c>
      <c r="AU144">
        <f t="shared" si="29"/>
        <v>-5.9866666516999993</v>
      </c>
      <c r="AV144">
        <v>854.1</v>
      </c>
      <c r="AW144">
        <f t="shared" si="30"/>
        <v>113.87997152999999</v>
      </c>
      <c r="AX144">
        <v>755.2</v>
      </c>
      <c r="AY144">
        <f t="shared" si="31"/>
        <v>100.693330816</v>
      </c>
      <c r="BN144">
        <v>140</v>
      </c>
      <c r="BO144">
        <v>219.7</v>
      </c>
      <c r="BP144">
        <f t="shared" si="32"/>
        <v>29.293332600999999</v>
      </c>
      <c r="BQ144">
        <v>-148.1</v>
      </c>
      <c r="BR144">
        <f t="shared" si="33"/>
        <v>-19.746666172999998</v>
      </c>
      <c r="BS144">
        <v>125.7</v>
      </c>
      <c r="BT144">
        <f t="shared" si="34"/>
        <v>16.759999580999999</v>
      </c>
      <c r="BU144">
        <v>1222.5</v>
      </c>
      <c r="BV144">
        <f t="shared" si="35"/>
        <v>162.99999592500001</v>
      </c>
      <c r="BW144">
        <v>921</v>
      </c>
      <c r="BX144">
        <f t="shared" si="36"/>
        <v>122.79999693000001</v>
      </c>
      <c r="BY144">
        <v>941.3</v>
      </c>
      <c r="BZ144">
        <f t="shared" si="37"/>
        <v>125.50666352899999</v>
      </c>
    </row>
    <row r="145" spans="1:78" x14ac:dyDescent="0.35">
      <c r="A145">
        <v>141</v>
      </c>
      <c r="B145">
        <v>-155.6</v>
      </c>
      <c r="C145">
        <v>-13.1</v>
      </c>
      <c r="D145">
        <v>106.7</v>
      </c>
      <c r="E145">
        <v>40.799999999999997</v>
      </c>
      <c r="F145">
        <v>337.3</v>
      </c>
      <c r="G145">
        <v>721.7</v>
      </c>
      <c r="I145">
        <v>141</v>
      </c>
      <c r="J145">
        <v>238.7</v>
      </c>
      <c r="K145">
        <v>-182.9</v>
      </c>
      <c r="L145">
        <v>143.5</v>
      </c>
      <c r="M145">
        <v>1251.8</v>
      </c>
      <c r="N145">
        <v>904.3</v>
      </c>
      <c r="O145">
        <v>919.4</v>
      </c>
      <c r="AM145">
        <v>141</v>
      </c>
      <c r="AN145">
        <v>-155.6</v>
      </c>
      <c r="AO145">
        <f t="shared" si="26"/>
        <v>-20.746666147999999</v>
      </c>
      <c r="AP145">
        <v>-13.1</v>
      </c>
      <c r="AQ145">
        <f t="shared" si="27"/>
        <v>-1.7466666229999999</v>
      </c>
      <c r="AR145">
        <v>106.7</v>
      </c>
      <c r="AS145">
        <f t="shared" si="28"/>
        <v>14.226666311000001</v>
      </c>
      <c r="AT145">
        <v>40.799999999999997</v>
      </c>
      <c r="AU145">
        <f t="shared" si="29"/>
        <v>5.4399999863999993</v>
      </c>
      <c r="AV145">
        <v>337.3</v>
      </c>
      <c r="AW145">
        <f t="shared" si="30"/>
        <v>44.973322089999996</v>
      </c>
      <c r="AX145">
        <v>721.7</v>
      </c>
      <c r="AY145">
        <f t="shared" si="31"/>
        <v>96.22666426100001</v>
      </c>
      <c r="BN145">
        <v>141</v>
      </c>
      <c r="BO145">
        <v>238.7</v>
      </c>
      <c r="BP145">
        <f t="shared" si="32"/>
        <v>31.826665870999999</v>
      </c>
      <c r="BQ145">
        <v>-182.9</v>
      </c>
      <c r="BR145">
        <f t="shared" si="33"/>
        <v>-24.386666056999999</v>
      </c>
      <c r="BS145">
        <v>143.5</v>
      </c>
      <c r="BT145">
        <f t="shared" si="34"/>
        <v>19.133332854999999</v>
      </c>
      <c r="BU145">
        <v>1251.8</v>
      </c>
      <c r="BV145">
        <f t="shared" si="35"/>
        <v>166.90666249399999</v>
      </c>
      <c r="BW145">
        <v>904.3</v>
      </c>
      <c r="BX145">
        <f t="shared" si="36"/>
        <v>120.57333031899999</v>
      </c>
      <c r="BY145">
        <v>919.4</v>
      </c>
      <c r="BZ145">
        <f t="shared" si="37"/>
        <v>122.586663602</v>
      </c>
    </row>
    <row r="146" spans="1:78" x14ac:dyDescent="0.35">
      <c r="A146">
        <v>142</v>
      </c>
      <c r="B146">
        <v>-170.4</v>
      </c>
      <c r="C146">
        <v>-63</v>
      </c>
      <c r="D146">
        <v>155.6</v>
      </c>
      <c r="E146">
        <v>114.1</v>
      </c>
      <c r="F146">
        <v>18.3</v>
      </c>
      <c r="G146">
        <v>688.3</v>
      </c>
      <c r="I146">
        <v>142</v>
      </c>
      <c r="J146">
        <v>243.3</v>
      </c>
      <c r="K146">
        <v>-214.8</v>
      </c>
      <c r="L146">
        <v>149.80000000000001</v>
      </c>
      <c r="M146">
        <v>1277</v>
      </c>
      <c r="N146">
        <v>888.1</v>
      </c>
      <c r="O146">
        <v>899</v>
      </c>
      <c r="AM146">
        <v>142</v>
      </c>
      <c r="AN146">
        <v>-170.4</v>
      </c>
      <c r="AO146">
        <f t="shared" si="26"/>
        <v>-22.719999432000002</v>
      </c>
      <c r="AP146">
        <v>-63</v>
      </c>
      <c r="AQ146">
        <f t="shared" si="27"/>
        <v>-8.3999997900000007</v>
      </c>
      <c r="AR146">
        <v>155.6</v>
      </c>
      <c r="AS146">
        <f t="shared" si="28"/>
        <v>20.746666147999999</v>
      </c>
      <c r="AT146">
        <v>114.1</v>
      </c>
      <c r="AU146">
        <f t="shared" si="29"/>
        <v>15.213333295299998</v>
      </c>
      <c r="AV146">
        <v>18.3</v>
      </c>
      <c r="AW146">
        <f t="shared" si="30"/>
        <v>2.4399993899999997</v>
      </c>
      <c r="AX146">
        <v>688.3</v>
      </c>
      <c r="AY146">
        <f t="shared" si="31"/>
        <v>91.773331038999999</v>
      </c>
      <c r="BN146">
        <v>142</v>
      </c>
      <c r="BO146">
        <v>243.3</v>
      </c>
      <c r="BP146">
        <f t="shared" si="32"/>
        <v>32.439999188999998</v>
      </c>
      <c r="BQ146">
        <v>-214.8</v>
      </c>
      <c r="BR146">
        <f t="shared" si="33"/>
        <v>-28.639999284000002</v>
      </c>
      <c r="BS146">
        <v>149.80000000000001</v>
      </c>
      <c r="BT146">
        <f t="shared" si="34"/>
        <v>19.973332834000001</v>
      </c>
      <c r="BU146">
        <v>1277</v>
      </c>
      <c r="BV146">
        <f t="shared" si="35"/>
        <v>170.26666241000001</v>
      </c>
      <c r="BW146">
        <v>888.1</v>
      </c>
      <c r="BX146">
        <f t="shared" si="36"/>
        <v>118.41333037300001</v>
      </c>
      <c r="BY146">
        <v>899</v>
      </c>
      <c r="BZ146">
        <f t="shared" si="37"/>
        <v>119.86666366999999</v>
      </c>
    </row>
    <row r="147" spans="1:78" x14ac:dyDescent="0.35">
      <c r="A147">
        <v>143</v>
      </c>
      <c r="B147">
        <v>-185.5</v>
      </c>
      <c r="C147">
        <v>-113</v>
      </c>
      <c r="D147">
        <v>189.3</v>
      </c>
      <c r="E147">
        <v>162.4</v>
      </c>
      <c r="G147">
        <v>653.1</v>
      </c>
      <c r="I147">
        <v>143</v>
      </c>
      <c r="J147">
        <v>259.7</v>
      </c>
      <c r="K147">
        <v>-217.4</v>
      </c>
      <c r="L147">
        <v>120.4</v>
      </c>
      <c r="M147">
        <v>1261.4000000000001</v>
      </c>
      <c r="N147">
        <v>872.3</v>
      </c>
      <c r="O147">
        <v>879.1</v>
      </c>
      <c r="BN147">
        <v>143</v>
      </c>
      <c r="BO147">
        <v>259.7</v>
      </c>
      <c r="BP147">
        <f t="shared" si="32"/>
        <v>34.626665801000001</v>
      </c>
      <c r="BQ147">
        <v>-217.4</v>
      </c>
      <c r="BR147">
        <f t="shared" si="33"/>
        <v>-28.986665942000002</v>
      </c>
      <c r="BS147">
        <v>120.4</v>
      </c>
      <c r="BT147">
        <f t="shared" si="34"/>
        <v>16.053332932</v>
      </c>
      <c r="BU147">
        <v>1261.4000000000001</v>
      </c>
      <c r="BV147">
        <f t="shared" si="35"/>
        <v>168.18666246200002</v>
      </c>
      <c r="BW147">
        <v>872.3</v>
      </c>
      <c r="BX147">
        <f t="shared" si="36"/>
        <v>116.30666375899999</v>
      </c>
      <c r="BY147">
        <v>879.1</v>
      </c>
      <c r="BZ147">
        <f t="shared" si="37"/>
        <v>117.213330403</v>
      </c>
    </row>
    <row r="148" spans="1:78" x14ac:dyDescent="0.35">
      <c r="A148">
        <v>144</v>
      </c>
      <c r="B148">
        <v>-178.4</v>
      </c>
      <c r="C148">
        <v>-161.6</v>
      </c>
      <c r="D148">
        <v>214.4</v>
      </c>
      <c r="E148">
        <v>198.8</v>
      </c>
      <c r="G148">
        <v>614.29999999999995</v>
      </c>
      <c r="I148">
        <v>144</v>
      </c>
      <c r="J148">
        <v>259.39999999999998</v>
      </c>
      <c r="K148">
        <v>-151.9</v>
      </c>
      <c r="L148">
        <v>84.9</v>
      </c>
      <c r="M148">
        <v>1204</v>
      </c>
      <c r="N148">
        <v>857.1</v>
      </c>
      <c r="O148">
        <v>859.1</v>
      </c>
      <c r="AM148">
        <v>143</v>
      </c>
      <c r="AN148">
        <v>-185.5</v>
      </c>
      <c r="AO148">
        <f t="shared" ref="AO148:AO153" si="38">AN148*0.13333333</f>
        <v>-24.733332715</v>
      </c>
      <c r="AP148">
        <v>-113</v>
      </c>
      <c r="AQ148">
        <f t="shared" ref="AQ148:AQ171" si="39">AP148*0.13333333</f>
        <v>-15.066666290000001</v>
      </c>
      <c r="AR148">
        <v>189.3</v>
      </c>
      <c r="AS148">
        <f t="shared" ref="AS148:AS179" si="40" xml:space="preserve"> AR148*0.13333333</f>
        <v>25.239999369000003</v>
      </c>
      <c r="AT148">
        <v>162.4</v>
      </c>
      <c r="AU148">
        <f t="shared" ref="AU148:AU179" si="41">AT148*0.133333333</f>
        <v>21.653333279200002</v>
      </c>
      <c r="AX148">
        <v>653.1</v>
      </c>
      <c r="AY148">
        <f t="shared" ref="AY148:AY166" si="42">AX148*0.13333333</f>
        <v>87.079997822999999</v>
      </c>
      <c r="BN148">
        <v>144</v>
      </c>
      <c r="BO148">
        <v>259.39999999999998</v>
      </c>
      <c r="BP148">
        <f t="shared" si="32"/>
        <v>34.586665801999999</v>
      </c>
      <c r="BQ148">
        <v>-151.9</v>
      </c>
      <c r="BR148">
        <f t="shared" si="33"/>
        <v>-20.253332827000001</v>
      </c>
      <c r="BS148">
        <v>84.9</v>
      </c>
      <c r="BT148">
        <f t="shared" si="34"/>
        <v>11.319999717</v>
      </c>
      <c r="BU148">
        <v>1204</v>
      </c>
      <c r="BV148">
        <f t="shared" si="35"/>
        <v>160.53332932000001</v>
      </c>
      <c r="BW148">
        <v>857.1</v>
      </c>
      <c r="BX148">
        <f t="shared" si="36"/>
        <v>114.279997143</v>
      </c>
      <c r="BY148">
        <v>859.1</v>
      </c>
      <c r="BZ148">
        <f t="shared" si="37"/>
        <v>114.546663803</v>
      </c>
    </row>
    <row r="149" spans="1:78" x14ac:dyDescent="0.35">
      <c r="A149">
        <v>145</v>
      </c>
      <c r="B149">
        <v>-130.5</v>
      </c>
      <c r="C149">
        <v>-209</v>
      </c>
      <c r="D149">
        <v>234.3</v>
      </c>
      <c r="E149">
        <v>229.4</v>
      </c>
      <c r="G149">
        <v>570.9</v>
      </c>
      <c r="I149">
        <v>145</v>
      </c>
      <c r="J149">
        <v>273.60000000000002</v>
      </c>
      <c r="K149">
        <v>-74.400000000000006</v>
      </c>
      <c r="L149">
        <v>55.2</v>
      </c>
      <c r="M149">
        <v>1156.2</v>
      </c>
      <c r="N149">
        <v>842.6</v>
      </c>
      <c r="O149">
        <v>819.7</v>
      </c>
      <c r="AM149">
        <v>144</v>
      </c>
      <c r="AN149">
        <v>-178.4</v>
      </c>
      <c r="AO149">
        <f t="shared" si="38"/>
        <v>-23.786666071999999</v>
      </c>
      <c r="AP149">
        <v>-161.6</v>
      </c>
      <c r="AQ149">
        <f t="shared" si="39"/>
        <v>-21.546666127999998</v>
      </c>
      <c r="AR149">
        <v>214.4</v>
      </c>
      <c r="AS149">
        <f t="shared" si="40"/>
        <v>28.586665952000001</v>
      </c>
      <c r="AT149">
        <v>198.8</v>
      </c>
      <c r="AU149">
        <f t="shared" si="41"/>
        <v>26.506666600400003</v>
      </c>
      <c r="AX149">
        <v>614.29999999999995</v>
      </c>
      <c r="AY149">
        <f t="shared" si="42"/>
        <v>81.906664618999997</v>
      </c>
      <c r="BN149">
        <v>145</v>
      </c>
      <c r="BO149">
        <v>273.60000000000002</v>
      </c>
      <c r="BP149">
        <f t="shared" si="32"/>
        <v>36.479999088</v>
      </c>
      <c r="BQ149">
        <v>-74.400000000000006</v>
      </c>
      <c r="BR149">
        <f t="shared" si="33"/>
        <v>-9.9199997520000007</v>
      </c>
      <c r="BS149">
        <v>55.2</v>
      </c>
      <c r="BT149">
        <f t="shared" si="34"/>
        <v>7.3599998160000002</v>
      </c>
      <c r="BU149">
        <v>1156.2</v>
      </c>
      <c r="BV149">
        <f t="shared" si="35"/>
        <v>154.159996146</v>
      </c>
      <c r="BW149">
        <v>842.6</v>
      </c>
      <c r="BX149">
        <f t="shared" si="36"/>
        <v>112.346663858</v>
      </c>
      <c r="BY149">
        <v>819.7</v>
      </c>
      <c r="BZ149">
        <f t="shared" si="37"/>
        <v>109.29333060100001</v>
      </c>
    </row>
    <row r="150" spans="1:78" x14ac:dyDescent="0.35">
      <c r="A150">
        <v>146</v>
      </c>
      <c r="B150">
        <v>-88.7</v>
      </c>
      <c r="C150">
        <v>-254.5</v>
      </c>
      <c r="D150">
        <v>250.9</v>
      </c>
      <c r="E150">
        <v>256.7</v>
      </c>
      <c r="G150">
        <v>523.29999999999995</v>
      </c>
      <c r="I150">
        <v>146</v>
      </c>
      <c r="J150">
        <v>263.10000000000002</v>
      </c>
      <c r="K150">
        <v>-15.5</v>
      </c>
      <c r="L150">
        <v>28.2</v>
      </c>
      <c r="M150">
        <v>1115.8</v>
      </c>
      <c r="N150">
        <v>828.5</v>
      </c>
      <c r="O150">
        <v>800.9</v>
      </c>
      <c r="AM150">
        <v>145</v>
      </c>
      <c r="AN150">
        <v>-130.5</v>
      </c>
      <c r="AO150">
        <f t="shared" si="38"/>
        <v>-17.399999565000002</v>
      </c>
      <c r="AP150">
        <v>-209</v>
      </c>
      <c r="AQ150">
        <f t="shared" si="39"/>
        <v>-27.86666597</v>
      </c>
      <c r="AR150">
        <v>234.3</v>
      </c>
      <c r="AS150">
        <f t="shared" si="40"/>
        <v>31.239999219000001</v>
      </c>
      <c r="AT150">
        <v>229.4</v>
      </c>
      <c r="AU150">
        <f t="shared" si="41"/>
        <v>30.5866665902</v>
      </c>
      <c r="AX150">
        <v>570.9</v>
      </c>
      <c r="AY150">
        <f t="shared" si="42"/>
        <v>76.119998096999993</v>
      </c>
      <c r="BN150">
        <v>146</v>
      </c>
      <c r="BO150">
        <v>263.10000000000002</v>
      </c>
      <c r="BP150">
        <f t="shared" si="32"/>
        <v>35.079999123</v>
      </c>
      <c r="BQ150">
        <v>-15.5</v>
      </c>
      <c r="BR150">
        <f t="shared" si="33"/>
        <v>-2.0666666149999999</v>
      </c>
      <c r="BS150">
        <v>28.2</v>
      </c>
      <c r="BT150">
        <f t="shared" si="34"/>
        <v>3.759999906</v>
      </c>
      <c r="BU150">
        <v>1115.8</v>
      </c>
      <c r="BV150">
        <f t="shared" si="35"/>
        <v>148.773329614</v>
      </c>
      <c r="BW150">
        <v>828.5</v>
      </c>
      <c r="BX150">
        <f t="shared" si="36"/>
        <v>110.466663905</v>
      </c>
      <c r="BY150">
        <v>800.9</v>
      </c>
      <c r="BZ150">
        <f t="shared" si="37"/>
        <v>106.78666399699999</v>
      </c>
    </row>
    <row r="151" spans="1:78" x14ac:dyDescent="0.35">
      <c r="A151">
        <v>147</v>
      </c>
      <c r="B151">
        <v>-53</v>
      </c>
      <c r="C151">
        <v>-297.39999999999998</v>
      </c>
      <c r="D151">
        <v>265.3</v>
      </c>
      <c r="E151">
        <v>281.89999999999998</v>
      </c>
      <c r="G151">
        <v>473.6</v>
      </c>
      <c r="I151">
        <v>147</v>
      </c>
      <c r="J151">
        <v>235.2</v>
      </c>
      <c r="K151">
        <v>29.8</v>
      </c>
      <c r="L151">
        <v>3.1</v>
      </c>
      <c r="M151">
        <v>1080</v>
      </c>
      <c r="N151">
        <v>814.9</v>
      </c>
      <c r="O151">
        <v>806.9</v>
      </c>
      <c r="AM151">
        <v>146</v>
      </c>
      <c r="AN151">
        <v>-88.7</v>
      </c>
      <c r="AO151">
        <f t="shared" si="38"/>
        <v>-11.826666371</v>
      </c>
      <c r="AP151">
        <v>-254.5</v>
      </c>
      <c r="AQ151">
        <f t="shared" si="39"/>
        <v>-33.933332485000001</v>
      </c>
      <c r="AR151">
        <v>250.9</v>
      </c>
      <c r="AS151">
        <f t="shared" si="40"/>
        <v>33.453332496999998</v>
      </c>
      <c r="AT151">
        <v>256.7</v>
      </c>
      <c r="AU151">
        <f t="shared" si="41"/>
        <v>34.226666581099998</v>
      </c>
      <c r="AX151">
        <v>523.29999999999995</v>
      </c>
      <c r="AY151">
        <f t="shared" si="42"/>
        <v>69.773331588999994</v>
      </c>
      <c r="BN151">
        <v>147</v>
      </c>
      <c r="BO151">
        <v>235.2</v>
      </c>
      <c r="BP151">
        <f t="shared" si="32"/>
        <v>31.359999215999999</v>
      </c>
      <c r="BQ151">
        <v>29.8</v>
      </c>
      <c r="BR151">
        <f t="shared" si="33"/>
        <v>3.973333234</v>
      </c>
      <c r="BS151">
        <v>3.1</v>
      </c>
      <c r="BT151">
        <f t="shared" si="34"/>
        <v>0.41333332300000003</v>
      </c>
      <c r="BU151">
        <v>1080</v>
      </c>
      <c r="BV151">
        <f t="shared" si="35"/>
        <v>143.99999639999999</v>
      </c>
      <c r="BW151">
        <v>814.9</v>
      </c>
      <c r="BX151">
        <f t="shared" si="36"/>
        <v>108.65333061699999</v>
      </c>
      <c r="BY151">
        <v>806.9</v>
      </c>
      <c r="BZ151">
        <f t="shared" si="37"/>
        <v>107.586663977</v>
      </c>
    </row>
    <row r="152" spans="1:78" x14ac:dyDescent="0.35">
      <c r="A152">
        <v>148</v>
      </c>
      <c r="B152">
        <v>-20</v>
      </c>
      <c r="C152">
        <v>-337.4</v>
      </c>
      <c r="D152">
        <v>278.2</v>
      </c>
      <c r="E152">
        <v>305.3</v>
      </c>
      <c r="G152">
        <v>424</v>
      </c>
      <c r="I152">
        <v>148</v>
      </c>
      <c r="J152">
        <v>208.6</v>
      </c>
      <c r="K152">
        <v>65.900000000000006</v>
      </c>
      <c r="L152">
        <v>-20.8</v>
      </c>
      <c r="M152">
        <v>1047.5999999999999</v>
      </c>
      <c r="N152">
        <v>801.2</v>
      </c>
      <c r="O152">
        <v>792.2</v>
      </c>
      <c r="AM152">
        <v>147</v>
      </c>
      <c r="AN152">
        <v>-53</v>
      </c>
      <c r="AO152">
        <f t="shared" si="38"/>
        <v>-7.0666664900000002</v>
      </c>
      <c r="AP152">
        <v>-297.39999999999998</v>
      </c>
      <c r="AQ152">
        <f t="shared" si="39"/>
        <v>-39.653332341999999</v>
      </c>
      <c r="AR152">
        <v>265.3</v>
      </c>
      <c r="AS152">
        <f t="shared" si="40"/>
        <v>35.373332449000003</v>
      </c>
      <c r="AT152">
        <v>281.89999999999998</v>
      </c>
      <c r="AU152">
        <f t="shared" si="41"/>
        <v>37.586666572699997</v>
      </c>
      <c r="AX152">
        <v>473.6</v>
      </c>
      <c r="AY152">
        <f t="shared" si="42"/>
        <v>63.146665088000006</v>
      </c>
      <c r="BN152">
        <v>148</v>
      </c>
      <c r="BO152">
        <v>208.6</v>
      </c>
      <c r="BP152">
        <f t="shared" si="32"/>
        <v>27.813332637999999</v>
      </c>
      <c r="BQ152">
        <v>65.900000000000006</v>
      </c>
      <c r="BR152">
        <f t="shared" si="33"/>
        <v>8.786666447</v>
      </c>
      <c r="BS152">
        <v>-20.8</v>
      </c>
      <c r="BT152">
        <f t="shared" si="34"/>
        <v>-2.7733332640000001</v>
      </c>
      <c r="BU152">
        <v>1047.5999999999999</v>
      </c>
      <c r="BV152">
        <f t="shared" si="35"/>
        <v>139.67999650799999</v>
      </c>
      <c r="BW152">
        <v>801.2</v>
      </c>
      <c r="BX152">
        <f t="shared" si="36"/>
        <v>106.82666399600001</v>
      </c>
      <c r="BY152">
        <v>792.2</v>
      </c>
      <c r="BZ152">
        <f t="shared" si="37"/>
        <v>105.626664026</v>
      </c>
    </row>
    <row r="153" spans="1:78" x14ac:dyDescent="0.35">
      <c r="A153">
        <v>149</v>
      </c>
      <c r="C153">
        <v>-374.1</v>
      </c>
      <c r="D153">
        <v>290</v>
      </c>
      <c r="E153">
        <v>327.3</v>
      </c>
      <c r="G153">
        <v>376.5</v>
      </c>
      <c r="I153">
        <v>149</v>
      </c>
      <c r="J153">
        <v>184</v>
      </c>
      <c r="K153">
        <v>94.8</v>
      </c>
      <c r="L153">
        <v>-43.9</v>
      </c>
      <c r="M153">
        <v>1018.2</v>
      </c>
      <c r="N153">
        <v>787.5</v>
      </c>
      <c r="O153">
        <v>776.1</v>
      </c>
      <c r="AM153">
        <v>148</v>
      </c>
      <c r="AN153">
        <v>-20</v>
      </c>
      <c r="AO153">
        <f t="shared" si="38"/>
        <v>-2.6666666000000001</v>
      </c>
      <c r="AP153">
        <v>-337.4</v>
      </c>
      <c r="AQ153">
        <f t="shared" si="39"/>
        <v>-44.986665541999997</v>
      </c>
      <c r="AR153">
        <v>278.2</v>
      </c>
      <c r="AS153">
        <f t="shared" si="40"/>
        <v>37.093332406000002</v>
      </c>
      <c r="AT153">
        <v>305.3</v>
      </c>
      <c r="AU153">
        <f t="shared" si="41"/>
        <v>40.706666564900004</v>
      </c>
      <c r="AX153">
        <v>424</v>
      </c>
      <c r="AY153">
        <f t="shared" si="42"/>
        <v>56.533331920000002</v>
      </c>
      <c r="BN153">
        <v>149</v>
      </c>
      <c r="BO153">
        <v>184</v>
      </c>
      <c r="BP153">
        <f t="shared" si="32"/>
        <v>24.533332720000001</v>
      </c>
      <c r="BQ153">
        <v>94.8</v>
      </c>
      <c r="BR153">
        <f t="shared" si="33"/>
        <v>12.639999683999999</v>
      </c>
      <c r="BS153">
        <v>-43.9</v>
      </c>
      <c r="BT153">
        <f t="shared" si="34"/>
        <v>-5.8533331869999996</v>
      </c>
      <c r="BU153">
        <v>1018.2</v>
      </c>
      <c r="BV153">
        <f t="shared" si="35"/>
        <v>135.75999660600002</v>
      </c>
      <c r="BW153">
        <v>787.5</v>
      </c>
      <c r="BX153">
        <f t="shared" si="36"/>
        <v>104.99999737500001</v>
      </c>
      <c r="BY153">
        <v>776.1</v>
      </c>
      <c r="BZ153">
        <f t="shared" si="37"/>
        <v>103.47999741300001</v>
      </c>
    </row>
    <row r="154" spans="1:78" x14ac:dyDescent="0.35">
      <c r="A154">
        <v>150</v>
      </c>
      <c r="C154">
        <v>-407.6</v>
      </c>
      <c r="D154">
        <v>297.10000000000002</v>
      </c>
      <c r="E154">
        <v>347.6</v>
      </c>
      <c r="G154">
        <v>332.2</v>
      </c>
      <c r="I154">
        <v>150</v>
      </c>
      <c r="J154">
        <v>161.5</v>
      </c>
      <c r="K154">
        <v>118.3</v>
      </c>
      <c r="L154">
        <v>-66.5</v>
      </c>
      <c r="M154">
        <v>991</v>
      </c>
      <c r="N154">
        <v>773.8</v>
      </c>
      <c r="O154">
        <v>760.1</v>
      </c>
      <c r="AM154">
        <v>149</v>
      </c>
      <c r="AP154">
        <v>-374.1</v>
      </c>
      <c r="AQ154">
        <f t="shared" si="39"/>
        <v>-49.879998753000002</v>
      </c>
      <c r="AR154">
        <v>290</v>
      </c>
      <c r="AS154">
        <f t="shared" si="40"/>
        <v>38.666665700000003</v>
      </c>
      <c r="AT154">
        <v>327.3</v>
      </c>
      <c r="AU154">
        <f t="shared" si="41"/>
        <v>43.6399998909</v>
      </c>
      <c r="AX154">
        <v>376.5</v>
      </c>
      <c r="AY154">
        <f t="shared" si="42"/>
        <v>50.199998745000002</v>
      </c>
      <c r="BN154">
        <v>150</v>
      </c>
      <c r="BO154">
        <v>161.5</v>
      </c>
      <c r="BP154">
        <f t="shared" si="32"/>
        <v>21.533332795</v>
      </c>
      <c r="BQ154">
        <v>118.3</v>
      </c>
      <c r="BR154">
        <f t="shared" si="33"/>
        <v>15.773332938999999</v>
      </c>
      <c r="BS154">
        <v>-66.5</v>
      </c>
      <c r="BT154">
        <f t="shared" si="34"/>
        <v>-8.8666664449999999</v>
      </c>
      <c r="BU154">
        <v>991</v>
      </c>
      <c r="BV154">
        <f t="shared" si="35"/>
        <v>132.13333003</v>
      </c>
      <c r="BW154">
        <v>773.8</v>
      </c>
      <c r="BX154">
        <f t="shared" si="36"/>
        <v>103.17333075399999</v>
      </c>
      <c r="BY154">
        <v>760.1</v>
      </c>
      <c r="BZ154">
        <f t="shared" si="37"/>
        <v>101.346664133</v>
      </c>
    </row>
    <row r="155" spans="1:78" x14ac:dyDescent="0.35">
      <c r="A155">
        <v>151</v>
      </c>
      <c r="C155">
        <v>-437.1</v>
      </c>
      <c r="D155">
        <v>273.89999999999998</v>
      </c>
      <c r="E155">
        <v>346.5</v>
      </c>
      <c r="G155">
        <v>291.89999999999998</v>
      </c>
      <c r="I155">
        <v>151</v>
      </c>
      <c r="J155">
        <v>140.9</v>
      </c>
      <c r="K155">
        <v>137.5</v>
      </c>
      <c r="L155">
        <v>-89.1</v>
      </c>
      <c r="M155">
        <v>965.8</v>
      </c>
      <c r="N155">
        <v>759.7</v>
      </c>
      <c r="O155">
        <v>743.8</v>
      </c>
      <c r="AM155">
        <v>150</v>
      </c>
      <c r="AP155">
        <v>-407.6</v>
      </c>
      <c r="AQ155">
        <f t="shared" si="39"/>
        <v>-54.346665308000006</v>
      </c>
      <c r="AR155">
        <v>297.10000000000002</v>
      </c>
      <c r="AS155">
        <f t="shared" si="40"/>
        <v>39.613332343000003</v>
      </c>
      <c r="AT155">
        <v>347.6</v>
      </c>
      <c r="AU155">
        <f t="shared" si="41"/>
        <v>46.346666550800002</v>
      </c>
      <c r="AX155">
        <v>332.2</v>
      </c>
      <c r="AY155">
        <f t="shared" si="42"/>
        <v>44.293332225999997</v>
      </c>
      <c r="BN155">
        <v>151</v>
      </c>
      <c r="BO155">
        <v>140.9</v>
      </c>
      <c r="BP155">
        <f t="shared" si="32"/>
        <v>18.786666197000002</v>
      </c>
      <c r="BQ155">
        <v>137.5</v>
      </c>
      <c r="BR155">
        <f t="shared" si="33"/>
        <v>18.333332875</v>
      </c>
      <c r="BS155">
        <v>-89.1</v>
      </c>
      <c r="BT155">
        <f t="shared" si="34"/>
        <v>-11.879999702999999</v>
      </c>
      <c r="BU155">
        <v>965.8</v>
      </c>
      <c r="BV155">
        <f t="shared" si="35"/>
        <v>128.773330114</v>
      </c>
      <c r="BW155">
        <v>759.7</v>
      </c>
      <c r="BX155">
        <f t="shared" si="36"/>
        <v>101.29333080100001</v>
      </c>
      <c r="BY155">
        <v>743.8</v>
      </c>
      <c r="BZ155">
        <f t="shared" si="37"/>
        <v>99.173330854</v>
      </c>
    </row>
    <row r="156" spans="1:78" x14ac:dyDescent="0.35">
      <c r="A156">
        <v>152</v>
      </c>
      <c r="C156">
        <v>-439.2</v>
      </c>
      <c r="D156">
        <v>228.6</v>
      </c>
      <c r="E156">
        <v>296.60000000000002</v>
      </c>
      <c r="G156">
        <v>255.6</v>
      </c>
      <c r="I156">
        <v>152</v>
      </c>
      <c r="J156">
        <v>122.2</v>
      </c>
      <c r="K156">
        <v>153.5</v>
      </c>
      <c r="L156">
        <v>-112.1</v>
      </c>
      <c r="M156">
        <v>942.1</v>
      </c>
      <c r="N156">
        <v>745.2</v>
      </c>
      <c r="O156">
        <v>727.1</v>
      </c>
      <c r="AM156">
        <v>151</v>
      </c>
      <c r="AP156">
        <v>-437.1</v>
      </c>
      <c r="AQ156">
        <f t="shared" si="39"/>
        <v>-58.279998543000005</v>
      </c>
      <c r="AR156">
        <v>273.89999999999998</v>
      </c>
      <c r="AS156">
        <f t="shared" si="40"/>
        <v>36.519999086999995</v>
      </c>
      <c r="AT156">
        <v>346.5</v>
      </c>
      <c r="AU156">
        <f t="shared" si="41"/>
        <v>46.199999884500002</v>
      </c>
      <c r="AX156">
        <v>291.89999999999998</v>
      </c>
      <c r="AY156">
        <f t="shared" si="42"/>
        <v>38.919999026999996</v>
      </c>
      <c r="BN156">
        <v>152</v>
      </c>
      <c r="BO156">
        <v>122.2</v>
      </c>
      <c r="BP156">
        <f t="shared" si="32"/>
        <v>16.293332926000001</v>
      </c>
      <c r="BQ156">
        <v>153.5</v>
      </c>
      <c r="BR156">
        <f t="shared" si="33"/>
        <v>20.466666154999999</v>
      </c>
      <c r="BS156">
        <v>-112.1</v>
      </c>
      <c r="BT156">
        <f t="shared" si="34"/>
        <v>-14.946666293</v>
      </c>
      <c r="BU156">
        <v>942.1</v>
      </c>
      <c r="BV156">
        <f t="shared" si="35"/>
        <v>125.613330193</v>
      </c>
      <c r="BW156">
        <v>745.2</v>
      </c>
      <c r="BX156">
        <f t="shared" si="36"/>
        <v>99.359997516000007</v>
      </c>
      <c r="BY156">
        <v>727.1</v>
      </c>
      <c r="BZ156">
        <f t="shared" si="37"/>
        <v>96.946664243000001</v>
      </c>
    </row>
    <row r="157" spans="1:78" x14ac:dyDescent="0.35">
      <c r="A157">
        <v>153</v>
      </c>
      <c r="C157">
        <v>-365.9</v>
      </c>
      <c r="D157">
        <v>188.6</v>
      </c>
      <c r="E157">
        <v>243.9</v>
      </c>
      <c r="G157">
        <v>223</v>
      </c>
      <c r="I157">
        <v>153</v>
      </c>
      <c r="J157">
        <v>105.1</v>
      </c>
      <c r="K157">
        <v>167.1</v>
      </c>
      <c r="L157">
        <v>-135.4</v>
      </c>
      <c r="M157">
        <v>919.8</v>
      </c>
      <c r="N157">
        <v>730.1</v>
      </c>
      <c r="O157">
        <v>709.8</v>
      </c>
      <c r="AM157">
        <v>152</v>
      </c>
      <c r="AP157">
        <v>-439.2</v>
      </c>
      <c r="AQ157">
        <f t="shared" si="39"/>
        <v>-58.559998536000002</v>
      </c>
      <c r="AR157">
        <v>228.6</v>
      </c>
      <c r="AS157">
        <f t="shared" si="40"/>
        <v>30.479999237999998</v>
      </c>
      <c r="AT157">
        <v>296.60000000000002</v>
      </c>
      <c r="AU157">
        <f t="shared" si="41"/>
        <v>39.546666567800003</v>
      </c>
      <c r="AX157">
        <v>255.6</v>
      </c>
      <c r="AY157">
        <f t="shared" si="42"/>
        <v>34.079999147999999</v>
      </c>
      <c r="BN157">
        <v>153</v>
      </c>
      <c r="BO157">
        <v>105.1</v>
      </c>
      <c r="BP157">
        <f t="shared" si="32"/>
        <v>14.013332983</v>
      </c>
      <c r="BQ157">
        <v>167.1</v>
      </c>
      <c r="BR157">
        <f t="shared" si="33"/>
        <v>22.279999442999998</v>
      </c>
      <c r="BS157">
        <v>-135.4</v>
      </c>
      <c r="BT157">
        <f t="shared" si="34"/>
        <v>-18.053332881999999</v>
      </c>
      <c r="BU157">
        <v>919.8</v>
      </c>
      <c r="BV157">
        <f t="shared" si="35"/>
        <v>122.639996934</v>
      </c>
      <c r="BW157">
        <v>730.1</v>
      </c>
      <c r="BX157">
        <f t="shared" si="36"/>
        <v>97.346664232999998</v>
      </c>
      <c r="BY157">
        <v>709.8</v>
      </c>
      <c r="BZ157">
        <f t="shared" si="37"/>
        <v>94.639997633999997</v>
      </c>
    </row>
    <row r="158" spans="1:78" x14ac:dyDescent="0.35">
      <c r="A158">
        <v>154</v>
      </c>
      <c r="C158">
        <v>-267.3</v>
      </c>
      <c r="D158">
        <v>152.80000000000001</v>
      </c>
      <c r="E158">
        <v>200.5</v>
      </c>
      <c r="G158">
        <v>194.1</v>
      </c>
      <c r="I158">
        <v>154</v>
      </c>
      <c r="J158">
        <v>89.5</v>
      </c>
      <c r="K158">
        <v>178.3</v>
      </c>
      <c r="L158">
        <v>-140.4</v>
      </c>
      <c r="M158">
        <v>901.7</v>
      </c>
      <c r="N158">
        <v>714.3</v>
      </c>
      <c r="O158">
        <v>691.5</v>
      </c>
      <c r="AM158">
        <v>153</v>
      </c>
      <c r="AP158">
        <v>-365.9</v>
      </c>
      <c r="AQ158">
        <f t="shared" si="39"/>
        <v>-48.786665446999997</v>
      </c>
      <c r="AR158">
        <v>188.6</v>
      </c>
      <c r="AS158">
        <f t="shared" si="40"/>
        <v>25.146666037999999</v>
      </c>
      <c r="AT158">
        <v>243.9</v>
      </c>
      <c r="AU158">
        <f t="shared" si="41"/>
        <v>32.519999918700002</v>
      </c>
      <c r="AX158">
        <v>223</v>
      </c>
      <c r="AY158">
        <f t="shared" si="42"/>
        <v>29.73333259</v>
      </c>
      <c r="BN158">
        <v>154</v>
      </c>
      <c r="BO158">
        <v>89.5</v>
      </c>
      <c r="BP158">
        <f t="shared" si="32"/>
        <v>11.933333035</v>
      </c>
      <c r="BQ158">
        <v>178.3</v>
      </c>
      <c r="BR158">
        <f t="shared" si="33"/>
        <v>23.773332739000001</v>
      </c>
      <c r="BS158">
        <v>-140.4</v>
      </c>
      <c r="BT158">
        <f t="shared" si="34"/>
        <v>-18.719999531999999</v>
      </c>
      <c r="BU158">
        <v>901.7</v>
      </c>
      <c r="BV158">
        <f t="shared" si="35"/>
        <v>120.226663661</v>
      </c>
      <c r="BW158">
        <v>714.3</v>
      </c>
      <c r="BX158">
        <f t="shared" si="36"/>
        <v>95.239997618999993</v>
      </c>
      <c r="BY158">
        <v>691.5</v>
      </c>
      <c r="BZ158">
        <f t="shared" si="37"/>
        <v>92.199997694999993</v>
      </c>
    </row>
    <row r="159" spans="1:78" x14ac:dyDescent="0.35">
      <c r="A159">
        <v>155</v>
      </c>
      <c r="C159">
        <v>-192.2</v>
      </c>
      <c r="D159">
        <v>118.9</v>
      </c>
      <c r="E159">
        <v>161.9</v>
      </c>
      <c r="G159">
        <v>168.9</v>
      </c>
      <c r="I159">
        <v>155</v>
      </c>
      <c r="J159">
        <v>75.400000000000006</v>
      </c>
      <c r="K159">
        <v>174.3</v>
      </c>
      <c r="L159">
        <v>-99.4</v>
      </c>
      <c r="M159">
        <v>888.4</v>
      </c>
      <c r="N159">
        <v>697.7</v>
      </c>
      <c r="O159">
        <v>672.1</v>
      </c>
      <c r="AM159">
        <v>154</v>
      </c>
      <c r="AP159">
        <v>-267.3</v>
      </c>
      <c r="AQ159">
        <f t="shared" si="39"/>
        <v>-35.639999109000001</v>
      </c>
      <c r="AR159">
        <v>152.80000000000001</v>
      </c>
      <c r="AS159">
        <f t="shared" si="40"/>
        <v>20.373332824000002</v>
      </c>
      <c r="AT159">
        <v>200.5</v>
      </c>
      <c r="AU159">
        <f t="shared" si="41"/>
        <v>26.733333266500001</v>
      </c>
      <c r="AX159">
        <v>194.1</v>
      </c>
      <c r="AY159">
        <f t="shared" si="42"/>
        <v>25.879999352999999</v>
      </c>
      <c r="BN159">
        <v>155</v>
      </c>
      <c r="BO159">
        <v>75.400000000000006</v>
      </c>
      <c r="BP159">
        <f t="shared" si="32"/>
        <v>10.053333082</v>
      </c>
      <c r="BQ159">
        <v>174.3</v>
      </c>
      <c r="BR159">
        <f t="shared" si="33"/>
        <v>23.239999419</v>
      </c>
      <c r="BS159">
        <v>-99.4</v>
      </c>
      <c r="BT159">
        <f t="shared" si="34"/>
        <v>-13.253333002000002</v>
      </c>
      <c r="BU159">
        <v>888.4</v>
      </c>
      <c r="BV159">
        <f t="shared" si="35"/>
        <v>118.453330372</v>
      </c>
      <c r="BW159">
        <v>697.7</v>
      </c>
      <c r="BX159">
        <f t="shared" si="36"/>
        <v>93.026664341</v>
      </c>
      <c r="BY159">
        <v>672.1</v>
      </c>
      <c r="BZ159">
        <f t="shared" si="37"/>
        <v>89.613331092999999</v>
      </c>
    </row>
    <row r="160" spans="1:78" x14ac:dyDescent="0.35">
      <c r="A160">
        <v>156</v>
      </c>
      <c r="C160">
        <v>-137.30000000000001</v>
      </c>
      <c r="D160">
        <v>84.9</v>
      </c>
      <c r="E160">
        <v>126.2</v>
      </c>
      <c r="G160">
        <v>146.9</v>
      </c>
      <c r="I160">
        <v>156</v>
      </c>
      <c r="J160">
        <v>62.5</v>
      </c>
      <c r="K160">
        <v>143.1</v>
      </c>
      <c r="L160">
        <v>-46.2</v>
      </c>
      <c r="M160">
        <v>868.4</v>
      </c>
      <c r="N160">
        <v>687.7</v>
      </c>
      <c r="O160">
        <v>651.1</v>
      </c>
      <c r="AM160">
        <v>155</v>
      </c>
      <c r="AP160">
        <v>-192.2</v>
      </c>
      <c r="AQ160">
        <f t="shared" si="39"/>
        <v>-25.626666025999999</v>
      </c>
      <c r="AR160">
        <v>118.9</v>
      </c>
      <c r="AS160">
        <f t="shared" si="40"/>
        <v>15.853332937000001</v>
      </c>
      <c r="AT160">
        <v>161.9</v>
      </c>
      <c r="AU160">
        <f t="shared" si="41"/>
        <v>21.5866666127</v>
      </c>
      <c r="AX160">
        <v>168.9</v>
      </c>
      <c r="AY160">
        <f t="shared" si="42"/>
        <v>22.519999436999999</v>
      </c>
      <c r="BN160">
        <v>156</v>
      </c>
      <c r="BO160">
        <v>62.5</v>
      </c>
      <c r="BP160">
        <f t="shared" si="32"/>
        <v>8.3333331249999993</v>
      </c>
      <c r="BQ160">
        <v>143.1</v>
      </c>
      <c r="BR160">
        <f t="shared" si="33"/>
        <v>19.079999522999998</v>
      </c>
      <c r="BS160">
        <v>-46.2</v>
      </c>
      <c r="BT160">
        <f t="shared" si="34"/>
        <v>-6.1599998460000007</v>
      </c>
      <c r="BU160">
        <v>868.4</v>
      </c>
      <c r="BV160">
        <f t="shared" si="35"/>
        <v>115.786663772</v>
      </c>
      <c r="BW160">
        <v>687.7</v>
      </c>
      <c r="BX160">
        <f t="shared" si="36"/>
        <v>91.693331041000008</v>
      </c>
      <c r="BY160">
        <v>651.1</v>
      </c>
      <c r="BZ160">
        <f t="shared" si="37"/>
        <v>86.813331163000001</v>
      </c>
    </row>
    <row r="161" spans="1:78" x14ac:dyDescent="0.35">
      <c r="A161">
        <v>157</v>
      </c>
      <c r="C161">
        <v>-96.5</v>
      </c>
      <c r="D161">
        <v>48.7</v>
      </c>
      <c r="E161">
        <v>92.6</v>
      </c>
      <c r="G161">
        <v>127.5</v>
      </c>
      <c r="I161">
        <v>157</v>
      </c>
      <c r="J161">
        <v>51.2</v>
      </c>
      <c r="K161">
        <v>106.9</v>
      </c>
      <c r="L161">
        <v>-5.9</v>
      </c>
      <c r="M161">
        <v>848.6</v>
      </c>
      <c r="N161">
        <v>719.4</v>
      </c>
      <c r="O161">
        <v>628.4</v>
      </c>
      <c r="AM161">
        <v>156</v>
      </c>
      <c r="AP161">
        <v>-137.30000000000001</v>
      </c>
      <c r="AQ161">
        <f t="shared" si="39"/>
        <v>-18.306666209000003</v>
      </c>
      <c r="AR161">
        <v>84.9</v>
      </c>
      <c r="AS161">
        <f t="shared" si="40"/>
        <v>11.319999717</v>
      </c>
      <c r="AT161">
        <v>126.2</v>
      </c>
      <c r="AU161">
        <f t="shared" si="41"/>
        <v>16.826666624600001</v>
      </c>
      <c r="AX161">
        <v>146.9</v>
      </c>
      <c r="AY161">
        <f t="shared" si="42"/>
        <v>19.586666177000001</v>
      </c>
      <c r="BN161">
        <v>157</v>
      </c>
      <c r="BO161">
        <v>51.2</v>
      </c>
      <c r="BP161">
        <f t="shared" si="32"/>
        <v>6.8266664960000005</v>
      </c>
      <c r="BQ161">
        <v>106.9</v>
      </c>
      <c r="BR161">
        <f t="shared" si="33"/>
        <v>14.253332977000001</v>
      </c>
      <c r="BS161">
        <v>-5.9</v>
      </c>
      <c r="BT161">
        <f t="shared" si="34"/>
        <v>-0.786666647</v>
      </c>
      <c r="BU161">
        <v>848.6</v>
      </c>
      <c r="BV161">
        <f t="shared" si="35"/>
        <v>113.14666383800001</v>
      </c>
      <c r="BW161">
        <v>719.4</v>
      </c>
      <c r="BX161">
        <f t="shared" si="36"/>
        <v>95.919997601999995</v>
      </c>
      <c r="BY161">
        <v>628.4</v>
      </c>
      <c r="BZ161">
        <f t="shared" si="37"/>
        <v>83.786664571999992</v>
      </c>
    </row>
    <row r="162" spans="1:78" x14ac:dyDescent="0.35">
      <c r="A162">
        <v>158</v>
      </c>
      <c r="C162">
        <v>-65.400000000000006</v>
      </c>
      <c r="D162">
        <v>9.1999999999999993</v>
      </c>
      <c r="E162">
        <v>59.7</v>
      </c>
      <c r="G162">
        <v>110.5</v>
      </c>
      <c r="I162">
        <v>158</v>
      </c>
      <c r="J162">
        <v>61.9</v>
      </c>
      <c r="K162">
        <v>71.3</v>
      </c>
      <c r="L162">
        <v>25.8</v>
      </c>
      <c r="M162">
        <v>829.7</v>
      </c>
      <c r="N162">
        <v>813.9</v>
      </c>
      <c r="O162">
        <v>603.79999999999995</v>
      </c>
      <c r="AM162">
        <v>157</v>
      </c>
      <c r="AP162">
        <v>-96.5</v>
      </c>
      <c r="AQ162">
        <f t="shared" si="39"/>
        <v>-12.866666345000001</v>
      </c>
      <c r="AR162">
        <v>48.7</v>
      </c>
      <c r="AS162">
        <f t="shared" si="40"/>
        <v>6.4933331710000006</v>
      </c>
      <c r="AT162">
        <v>92.6</v>
      </c>
      <c r="AU162">
        <f t="shared" si="41"/>
        <v>12.346666635799998</v>
      </c>
      <c r="AX162">
        <v>127.5</v>
      </c>
      <c r="AY162">
        <f t="shared" si="42"/>
        <v>16.999999575</v>
      </c>
      <c r="BN162">
        <v>158</v>
      </c>
      <c r="BO162">
        <v>61.9</v>
      </c>
      <c r="BP162">
        <f t="shared" si="32"/>
        <v>8.2533331269999994</v>
      </c>
      <c r="BQ162">
        <v>71.3</v>
      </c>
      <c r="BR162">
        <f t="shared" si="33"/>
        <v>9.5066664289999991</v>
      </c>
      <c r="BS162">
        <v>25.8</v>
      </c>
      <c r="BT162">
        <f t="shared" si="34"/>
        <v>3.4399999139999999</v>
      </c>
      <c r="BU162">
        <v>829.7</v>
      </c>
      <c r="BV162">
        <f t="shared" si="35"/>
        <v>110.626663901</v>
      </c>
      <c r="BW162">
        <v>813.9</v>
      </c>
      <c r="BX162">
        <f t="shared" si="36"/>
        <v>108.519997287</v>
      </c>
      <c r="BY162">
        <v>603.79999999999995</v>
      </c>
      <c r="BZ162">
        <f t="shared" si="37"/>
        <v>80.506664653999991</v>
      </c>
    </row>
    <row r="163" spans="1:78" x14ac:dyDescent="0.35">
      <c r="A163">
        <v>159</v>
      </c>
      <c r="C163">
        <v>-41.4</v>
      </c>
      <c r="D163">
        <v>-33</v>
      </c>
      <c r="E163">
        <v>26.7</v>
      </c>
      <c r="G163">
        <v>95.6</v>
      </c>
      <c r="I163">
        <v>159</v>
      </c>
      <c r="J163">
        <v>105.5</v>
      </c>
      <c r="K163">
        <v>35.700000000000003</v>
      </c>
      <c r="L163">
        <v>52.9</v>
      </c>
      <c r="M163">
        <v>811.2</v>
      </c>
      <c r="N163">
        <v>916.2</v>
      </c>
      <c r="O163">
        <v>577.4</v>
      </c>
      <c r="AM163">
        <v>158</v>
      </c>
      <c r="AP163">
        <v>-65.400000000000006</v>
      </c>
      <c r="AQ163">
        <f t="shared" si="39"/>
        <v>-8.7199997820000004</v>
      </c>
      <c r="AR163">
        <v>9.1999999999999993</v>
      </c>
      <c r="AS163">
        <f t="shared" si="40"/>
        <v>1.2266666359999998</v>
      </c>
      <c r="AT163">
        <v>59.7</v>
      </c>
      <c r="AU163">
        <f t="shared" si="41"/>
        <v>7.9599999801000001</v>
      </c>
      <c r="AX163">
        <v>110.5</v>
      </c>
      <c r="AY163">
        <f t="shared" si="42"/>
        <v>14.733332965000001</v>
      </c>
      <c r="BN163">
        <v>159</v>
      </c>
      <c r="BO163">
        <v>105.5</v>
      </c>
      <c r="BP163">
        <f t="shared" si="32"/>
        <v>14.066666315000001</v>
      </c>
      <c r="BQ163">
        <v>35.700000000000003</v>
      </c>
      <c r="BR163">
        <f t="shared" si="33"/>
        <v>4.7599998810000006</v>
      </c>
      <c r="BS163">
        <v>52.9</v>
      </c>
      <c r="BT163">
        <f t="shared" si="34"/>
        <v>7.053333157</v>
      </c>
      <c r="BU163">
        <v>811.2</v>
      </c>
      <c r="BV163">
        <f t="shared" si="35"/>
        <v>108.159997296</v>
      </c>
      <c r="BW163">
        <v>916.2</v>
      </c>
      <c r="BX163">
        <f t="shared" si="36"/>
        <v>122.15999694600001</v>
      </c>
      <c r="BY163">
        <v>577.4</v>
      </c>
      <c r="BZ163">
        <f t="shared" si="37"/>
        <v>76.986664742000002</v>
      </c>
    </row>
    <row r="164" spans="1:78" x14ac:dyDescent="0.35">
      <c r="A164">
        <v>160</v>
      </c>
      <c r="C164">
        <v>-22.4</v>
      </c>
      <c r="D164">
        <v>-76.5</v>
      </c>
      <c r="E164">
        <v>-6.6</v>
      </c>
      <c r="G164">
        <v>82.5</v>
      </c>
      <c r="I164">
        <v>160</v>
      </c>
      <c r="J164">
        <v>136</v>
      </c>
      <c r="K164">
        <v>-0.2</v>
      </c>
      <c r="L164">
        <v>76.8</v>
      </c>
      <c r="M164">
        <v>792.9</v>
      </c>
      <c r="N164">
        <v>985.9</v>
      </c>
      <c r="O164">
        <v>549.20000000000005</v>
      </c>
      <c r="AM164">
        <v>159</v>
      </c>
      <c r="AP164">
        <v>-41.4</v>
      </c>
      <c r="AQ164">
        <f t="shared" si="39"/>
        <v>-5.5199998619999997</v>
      </c>
      <c r="AR164">
        <v>-33</v>
      </c>
      <c r="AS164">
        <f t="shared" si="40"/>
        <v>-4.3999998900000001</v>
      </c>
      <c r="AT164">
        <v>26.7</v>
      </c>
      <c r="AU164">
        <f t="shared" si="41"/>
        <v>3.5599999910999998</v>
      </c>
      <c r="AX164">
        <v>95.6</v>
      </c>
      <c r="AY164">
        <f t="shared" si="42"/>
        <v>12.746666348</v>
      </c>
      <c r="BN164">
        <v>160</v>
      </c>
      <c r="BO164">
        <v>136</v>
      </c>
      <c r="BP164">
        <f t="shared" si="32"/>
        <v>18.133332880000001</v>
      </c>
      <c r="BQ164">
        <v>-0.2</v>
      </c>
      <c r="BR164">
        <f t="shared" si="33"/>
        <v>-2.6666666000000002E-2</v>
      </c>
      <c r="BS164">
        <v>76.8</v>
      </c>
      <c r="BT164">
        <f t="shared" si="34"/>
        <v>10.239999744</v>
      </c>
      <c r="BU164">
        <v>792.9</v>
      </c>
      <c r="BV164">
        <f t="shared" si="35"/>
        <v>105.719997357</v>
      </c>
      <c r="BW164">
        <v>985.9</v>
      </c>
      <c r="BX164">
        <f t="shared" si="36"/>
        <v>131.45333004700001</v>
      </c>
      <c r="BY164">
        <v>549.20000000000005</v>
      </c>
      <c r="BZ164">
        <f t="shared" si="37"/>
        <v>73.226664836000012</v>
      </c>
    </row>
    <row r="165" spans="1:78" x14ac:dyDescent="0.35">
      <c r="A165">
        <v>161</v>
      </c>
      <c r="C165">
        <v>-7.3</v>
      </c>
      <c r="D165">
        <v>-120.1</v>
      </c>
      <c r="E165">
        <v>-41.1</v>
      </c>
      <c r="G165">
        <v>70.900000000000006</v>
      </c>
      <c r="I165">
        <v>161</v>
      </c>
      <c r="J165">
        <v>166.5</v>
      </c>
      <c r="K165">
        <v>-36.5</v>
      </c>
      <c r="L165">
        <v>98.3</v>
      </c>
      <c r="M165">
        <v>774.6</v>
      </c>
      <c r="N165">
        <v>1039</v>
      </c>
      <c r="O165">
        <v>519.5</v>
      </c>
      <c r="AM165">
        <v>160</v>
      </c>
      <c r="AP165">
        <v>-22.4</v>
      </c>
      <c r="AQ165">
        <f t="shared" si="39"/>
        <v>-2.9866665919999997</v>
      </c>
      <c r="AR165">
        <v>-76.5</v>
      </c>
      <c r="AS165">
        <f t="shared" si="40"/>
        <v>-10.199999745</v>
      </c>
      <c r="AT165">
        <v>-6.6</v>
      </c>
      <c r="AU165">
        <f t="shared" si="41"/>
        <v>-0.87999999779999993</v>
      </c>
      <c r="AX165">
        <v>82.5</v>
      </c>
      <c r="AY165">
        <f t="shared" si="42"/>
        <v>10.999999725</v>
      </c>
      <c r="BN165">
        <v>161</v>
      </c>
      <c r="BO165">
        <v>166.5</v>
      </c>
      <c r="BP165">
        <f t="shared" si="32"/>
        <v>22.199999445</v>
      </c>
      <c r="BQ165">
        <v>-36.5</v>
      </c>
      <c r="BR165">
        <f t="shared" si="33"/>
        <v>-4.8666665450000002</v>
      </c>
      <c r="BS165">
        <v>98.3</v>
      </c>
      <c r="BT165">
        <f t="shared" si="34"/>
        <v>13.106666339</v>
      </c>
      <c r="BU165">
        <v>774.6</v>
      </c>
      <c r="BV165">
        <f t="shared" si="35"/>
        <v>103.27999741800001</v>
      </c>
      <c r="BW165">
        <v>1039</v>
      </c>
      <c r="BX165">
        <f t="shared" si="36"/>
        <v>138.53332986999999</v>
      </c>
      <c r="BY165">
        <v>519.5</v>
      </c>
      <c r="BZ165">
        <f t="shared" si="37"/>
        <v>69.266664934999994</v>
      </c>
    </row>
    <row r="166" spans="1:78" x14ac:dyDescent="0.35">
      <c r="A166">
        <v>162</v>
      </c>
      <c r="C166">
        <v>4.7</v>
      </c>
      <c r="D166">
        <v>-146.9</v>
      </c>
      <c r="E166">
        <v>-76.2</v>
      </c>
      <c r="I166">
        <v>162</v>
      </c>
      <c r="J166">
        <v>187.5</v>
      </c>
      <c r="K166">
        <v>-73</v>
      </c>
      <c r="L166">
        <v>118.3</v>
      </c>
      <c r="M166">
        <v>756.1</v>
      </c>
      <c r="N166">
        <v>1086.9000000000001</v>
      </c>
      <c r="O166">
        <v>488.8</v>
      </c>
      <c r="AM166">
        <v>161</v>
      </c>
      <c r="AP166">
        <v>-7.3</v>
      </c>
      <c r="AQ166">
        <f t="shared" si="39"/>
        <v>-0.97333330899999992</v>
      </c>
      <c r="AR166">
        <v>-120.1</v>
      </c>
      <c r="AS166">
        <f t="shared" si="40"/>
        <v>-16.013332933000001</v>
      </c>
      <c r="AT166">
        <v>-41.1</v>
      </c>
      <c r="AU166">
        <f t="shared" si="41"/>
        <v>-5.4799999863000002</v>
      </c>
      <c r="AX166">
        <v>70.900000000000006</v>
      </c>
      <c r="AY166">
        <f t="shared" si="42"/>
        <v>9.4533330970000016</v>
      </c>
      <c r="BN166">
        <v>162</v>
      </c>
      <c r="BO166">
        <v>187.5</v>
      </c>
      <c r="BP166">
        <f t="shared" si="32"/>
        <v>24.999999375000002</v>
      </c>
      <c r="BQ166">
        <v>-73</v>
      </c>
      <c r="BR166">
        <f t="shared" si="33"/>
        <v>-9.7333330900000004</v>
      </c>
      <c r="BS166">
        <v>118.3</v>
      </c>
      <c r="BT166">
        <f t="shared" si="34"/>
        <v>15.773332938999999</v>
      </c>
      <c r="BU166">
        <v>756.1</v>
      </c>
      <c r="BV166">
        <f t="shared" si="35"/>
        <v>100.81333081300001</v>
      </c>
      <c r="BW166">
        <v>1086.9000000000001</v>
      </c>
      <c r="BX166">
        <f t="shared" si="36"/>
        <v>144.91999637700002</v>
      </c>
      <c r="BY166">
        <v>488.8</v>
      </c>
      <c r="BZ166">
        <f t="shared" si="37"/>
        <v>65.173331704000006</v>
      </c>
    </row>
    <row r="167" spans="1:78" x14ac:dyDescent="0.35">
      <c r="A167">
        <v>163</v>
      </c>
      <c r="C167">
        <v>14.2</v>
      </c>
      <c r="D167">
        <v>-86.6</v>
      </c>
      <c r="E167">
        <v>-72.099999999999994</v>
      </c>
      <c r="I167">
        <v>163</v>
      </c>
      <c r="J167">
        <v>207.5</v>
      </c>
      <c r="K167">
        <v>-109.3</v>
      </c>
      <c r="L167">
        <v>137.30000000000001</v>
      </c>
      <c r="M167">
        <v>737</v>
      </c>
      <c r="N167">
        <v>1133.2</v>
      </c>
      <c r="O167">
        <v>457.7</v>
      </c>
      <c r="AM167">
        <v>162</v>
      </c>
      <c r="AP167">
        <v>4.7</v>
      </c>
      <c r="AQ167">
        <f t="shared" si="39"/>
        <v>0.62666665100000007</v>
      </c>
      <c r="AR167">
        <v>-146.9</v>
      </c>
      <c r="AS167">
        <f t="shared" si="40"/>
        <v>-19.586666177000001</v>
      </c>
      <c r="AT167">
        <v>-76.2</v>
      </c>
      <c r="AU167">
        <f t="shared" si="41"/>
        <v>-10.1599999746</v>
      </c>
      <c r="BN167">
        <v>163</v>
      </c>
      <c r="BO167">
        <v>207.5</v>
      </c>
      <c r="BP167">
        <f t="shared" si="32"/>
        <v>27.666665975000001</v>
      </c>
      <c r="BQ167">
        <v>-109.3</v>
      </c>
      <c r="BR167">
        <f t="shared" si="33"/>
        <v>-14.573332968999999</v>
      </c>
      <c r="BS167">
        <v>137.30000000000001</v>
      </c>
      <c r="BT167">
        <f t="shared" si="34"/>
        <v>18.306666209000003</v>
      </c>
      <c r="BU167">
        <v>737</v>
      </c>
      <c r="BV167">
        <f t="shared" si="35"/>
        <v>98.266664210000002</v>
      </c>
      <c r="BW167">
        <v>1133.2</v>
      </c>
      <c r="BX167">
        <f t="shared" si="36"/>
        <v>151.09332955600001</v>
      </c>
      <c r="BY167">
        <v>457.7</v>
      </c>
      <c r="BZ167">
        <f t="shared" si="37"/>
        <v>61.026665140999995</v>
      </c>
    </row>
    <row r="168" spans="1:78" x14ac:dyDescent="0.35">
      <c r="A168">
        <v>164</v>
      </c>
      <c r="C168">
        <v>18.8</v>
      </c>
      <c r="D168">
        <v>23.7</v>
      </c>
      <c r="E168">
        <v>14.2</v>
      </c>
      <c r="I168">
        <v>164</v>
      </c>
      <c r="J168">
        <v>221.3</v>
      </c>
      <c r="K168">
        <v>-145.1</v>
      </c>
      <c r="L168">
        <v>155.19999999999999</v>
      </c>
      <c r="M168">
        <v>717.2</v>
      </c>
      <c r="N168">
        <v>1178.3</v>
      </c>
      <c r="O168">
        <v>426.9</v>
      </c>
      <c r="AM168">
        <v>163</v>
      </c>
      <c r="AP168">
        <v>14.2</v>
      </c>
      <c r="AQ168">
        <f t="shared" si="39"/>
        <v>1.8933332859999998</v>
      </c>
      <c r="AR168">
        <v>-86.6</v>
      </c>
      <c r="AS168">
        <f t="shared" si="40"/>
        <v>-11.546666377999999</v>
      </c>
      <c r="AT168">
        <v>-72.099999999999994</v>
      </c>
      <c r="AU168">
        <f t="shared" si="41"/>
        <v>-9.6133333092999997</v>
      </c>
      <c r="BN168">
        <v>164</v>
      </c>
      <c r="BO168">
        <v>221.3</v>
      </c>
      <c r="BP168">
        <f t="shared" si="32"/>
        <v>29.506665929</v>
      </c>
      <c r="BQ168">
        <v>-145.1</v>
      </c>
      <c r="BR168">
        <f t="shared" si="33"/>
        <v>-19.346666183</v>
      </c>
      <c r="BS168">
        <v>155.19999999999999</v>
      </c>
      <c r="BT168">
        <f t="shared" si="34"/>
        <v>20.693332815999998</v>
      </c>
      <c r="BU168">
        <v>717.2</v>
      </c>
      <c r="BV168">
        <f t="shared" si="35"/>
        <v>95.626664276</v>
      </c>
      <c r="BW168">
        <v>1178.3</v>
      </c>
      <c r="BX168">
        <f t="shared" si="36"/>
        <v>157.106662739</v>
      </c>
      <c r="BY168">
        <v>426.9</v>
      </c>
      <c r="BZ168">
        <f t="shared" si="37"/>
        <v>56.919998576999994</v>
      </c>
    </row>
    <row r="169" spans="1:78" x14ac:dyDescent="0.35">
      <c r="A169">
        <v>165</v>
      </c>
      <c r="C169">
        <v>-6.5</v>
      </c>
      <c r="D169">
        <v>102.1</v>
      </c>
      <c r="E169">
        <v>98</v>
      </c>
      <c r="I169">
        <v>165</v>
      </c>
      <c r="J169">
        <v>236.1</v>
      </c>
      <c r="K169">
        <v>-179.9</v>
      </c>
      <c r="L169">
        <v>172.2</v>
      </c>
      <c r="M169">
        <v>696.3</v>
      </c>
      <c r="N169">
        <v>1222.4000000000001</v>
      </c>
      <c r="O169">
        <v>396.9</v>
      </c>
      <c r="AM169">
        <v>164</v>
      </c>
      <c r="AP169">
        <v>18.8</v>
      </c>
      <c r="AQ169">
        <f t="shared" si="39"/>
        <v>2.5066666040000003</v>
      </c>
      <c r="AR169">
        <v>23.7</v>
      </c>
      <c r="AS169">
        <f t="shared" si="40"/>
        <v>3.1599999209999998</v>
      </c>
      <c r="AT169">
        <v>14.2</v>
      </c>
      <c r="AU169">
        <f t="shared" si="41"/>
        <v>1.8933333285999998</v>
      </c>
      <c r="BN169">
        <v>165</v>
      </c>
      <c r="BO169">
        <v>236.1</v>
      </c>
      <c r="BP169">
        <f t="shared" si="32"/>
        <v>31.479999212999999</v>
      </c>
      <c r="BQ169">
        <v>-179.9</v>
      </c>
      <c r="BR169">
        <f t="shared" si="33"/>
        <v>-23.986666067000002</v>
      </c>
      <c r="BS169">
        <v>172.2</v>
      </c>
      <c r="BT169">
        <f t="shared" si="34"/>
        <v>22.959999426</v>
      </c>
      <c r="BU169">
        <v>696.3</v>
      </c>
      <c r="BV169">
        <f t="shared" si="35"/>
        <v>92.839997678999993</v>
      </c>
      <c r="BW169">
        <v>1222.4000000000001</v>
      </c>
      <c r="BX169">
        <f t="shared" si="36"/>
        <v>162.98666259200002</v>
      </c>
      <c r="BY169">
        <v>396.9</v>
      </c>
      <c r="BZ169">
        <f t="shared" si="37"/>
        <v>52.919998676999995</v>
      </c>
    </row>
    <row r="170" spans="1:78" x14ac:dyDescent="0.35">
      <c r="A170">
        <v>166</v>
      </c>
      <c r="D170">
        <v>153.4</v>
      </c>
      <c r="E170">
        <v>151.9</v>
      </c>
      <c r="I170">
        <v>166</v>
      </c>
      <c r="J170">
        <v>243.1</v>
      </c>
      <c r="K170">
        <v>-210.6</v>
      </c>
      <c r="L170">
        <v>181.4</v>
      </c>
      <c r="M170">
        <v>673.1</v>
      </c>
      <c r="N170">
        <v>1265.8</v>
      </c>
      <c r="O170">
        <v>367.3</v>
      </c>
      <c r="AM170">
        <v>165</v>
      </c>
      <c r="AP170">
        <v>-6.5</v>
      </c>
      <c r="AQ170">
        <f t="shared" si="39"/>
        <v>-0.86666664500000001</v>
      </c>
      <c r="AR170">
        <v>102.1</v>
      </c>
      <c r="AS170">
        <f t="shared" si="40"/>
        <v>13.613332992999998</v>
      </c>
      <c r="AT170">
        <v>98</v>
      </c>
      <c r="AU170">
        <f t="shared" si="41"/>
        <v>13.066666634000001</v>
      </c>
      <c r="BN170">
        <v>166</v>
      </c>
      <c r="BO170">
        <v>243.1</v>
      </c>
      <c r="BP170">
        <f t="shared" si="32"/>
        <v>32.413332523000001</v>
      </c>
      <c r="BQ170">
        <v>-210.6</v>
      </c>
      <c r="BR170">
        <f t="shared" si="33"/>
        <v>-28.079999298000001</v>
      </c>
      <c r="BS170">
        <v>181.4</v>
      </c>
      <c r="BT170">
        <f t="shared" si="34"/>
        <v>24.186666062</v>
      </c>
      <c r="BU170">
        <v>673.1</v>
      </c>
      <c r="BV170">
        <f t="shared" si="35"/>
        <v>89.746664422999999</v>
      </c>
      <c r="BW170">
        <v>1265.8</v>
      </c>
      <c r="BX170">
        <f t="shared" si="36"/>
        <v>168.77332911400001</v>
      </c>
      <c r="BY170">
        <v>367.3</v>
      </c>
      <c r="BZ170">
        <f t="shared" si="37"/>
        <v>48.973332109000005</v>
      </c>
    </row>
    <row r="171" spans="1:78" x14ac:dyDescent="0.35">
      <c r="A171">
        <v>167</v>
      </c>
      <c r="D171">
        <v>188.6</v>
      </c>
      <c r="E171">
        <v>191.1</v>
      </c>
      <c r="I171">
        <v>167</v>
      </c>
      <c r="J171">
        <v>256.7</v>
      </c>
      <c r="K171">
        <v>-196.5</v>
      </c>
      <c r="L171">
        <v>158.5</v>
      </c>
      <c r="M171">
        <v>647.5</v>
      </c>
      <c r="N171">
        <v>1307.3</v>
      </c>
      <c r="O171">
        <v>338.8</v>
      </c>
      <c r="AM171">
        <v>166</v>
      </c>
      <c r="AQ171">
        <f t="shared" si="39"/>
        <v>0</v>
      </c>
      <c r="AR171">
        <v>153.4</v>
      </c>
      <c r="AS171">
        <f t="shared" si="40"/>
        <v>20.453332822</v>
      </c>
      <c r="AT171">
        <v>151.9</v>
      </c>
      <c r="AU171">
        <f t="shared" si="41"/>
        <v>20.253333282700002</v>
      </c>
      <c r="BN171">
        <v>167</v>
      </c>
      <c r="BO171">
        <v>256.7</v>
      </c>
      <c r="BP171">
        <f t="shared" si="32"/>
        <v>34.226665810999997</v>
      </c>
      <c r="BQ171">
        <v>-196.5</v>
      </c>
      <c r="BR171">
        <f t="shared" si="33"/>
        <v>-26.199999344999998</v>
      </c>
      <c r="BS171">
        <v>158.5</v>
      </c>
      <c r="BT171">
        <f t="shared" si="34"/>
        <v>21.133332804999998</v>
      </c>
      <c r="BU171">
        <v>647.5</v>
      </c>
      <c r="BV171">
        <f t="shared" si="35"/>
        <v>86.333331174999998</v>
      </c>
      <c r="BW171">
        <v>1307.3</v>
      </c>
      <c r="BX171">
        <f t="shared" si="36"/>
        <v>174.30666230899999</v>
      </c>
      <c r="BY171">
        <v>338.8</v>
      </c>
      <c r="BZ171">
        <f t="shared" si="37"/>
        <v>45.173332204000005</v>
      </c>
    </row>
    <row r="172" spans="1:78" x14ac:dyDescent="0.35">
      <c r="A172">
        <v>168</v>
      </c>
      <c r="D172">
        <v>214.5</v>
      </c>
      <c r="E172">
        <v>223</v>
      </c>
      <c r="I172">
        <v>168</v>
      </c>
      <c r="J172">
        <v>255.5</v>
      </c>
      <c r="K172">
        <v>-121.5</v>
      </c>
      <c r="L172">
        <v>121.1</v>
      </c>
      <c r="M172">
        <v>620</v>
      </c>
      <c r="N172">
        <v>1317.2</v>
      </c>
      <c r="O172">
        <v>311.5</v>
      </c>
      <c r="AM172">
        <v>167</v>
      </c>
      <c r="AR172">
        <v>188.6</v>
      </c>
      <c r="AS172">
        <f t="shared" si="40"/>
        <v>25.146666037999999</v>
      </c>
      <c r="AT172">
        <v>191.1</v>
      </c>
      <c r="AU172">
        <f t="shared" si="41"/>
        <v>25.4799999363</v>
      </c>
      <c r="BN172">
        <v>168</v>
      </c>
      <c r="BO172">
        <v>255.5</v>
      </c>
      <c r="BP172">
        <f t="shared" si="32"/>
        <v>34.066665815</v>
      </c>
      <c r="BQ172">
        <v>-121.5</v>
      </c>
      <c r="BR172">
        <f t="shared" si="33"/>
        <v>-16.199999595000001</v>
      </c>
      <c r="BS172">
        <v>121.1</v>
      </c>
      <c r="BT172">
        <f t="shared" si="34"/>
        <v>16.146666263</v>
      </c>
      <c r="BU172">
        <v>620</v>
      </c>
      <c r="BV172">
        <f t="shared" si="35"/>
        <v>82.666664600000004</v>
      </c>
      <c r="BW172">
        <v>1317.2</v>
      </c>
      <c r="BX172">
        <f t="shared" si="36"/>
        <v>175.62666227600002</v>
      </c>
      <c r="BY172">
        <v>311.5</v>
      </c>
      <c r="BZ172">
        <f t="shared" si="37"/>
        <v>41.533332295000001</v>
      </c>
    </row>
    <row r="173" spans="1:78" x14ac:dyDescent="0.35">
      <c r="A173">
        <v>169</v>
      </c>
      <c r="D173">
        <v>234.9</v>
      </c>
      <c r="E173">
        <v>251.1</v>
      </c>
      <c r="I173">
        <v>169</v>
      </c>
      <c r="J173">
        <v>257.39999999999998</v>
      </c>
      <c r="K173">
        <v>-50.9</v>
      </c>
      <c r="L173">
        <v>89.1</v>
      </c>
      <c r="M173">
        <v>590.5</v>
      </c>
      <c r="N173">
        <v>1265</v>
      </c>
      <c r="O173">
        <v>285.8</v>
      </c>
      <c r="AM173">
        <v>168</v>
      </c>
      <c r="AR173">
        <v>214.5</v>
      </c>
      <c r="AS173">
        <f t="shared" si="40"/>
        <v>28.599999284999999</v>
      </c>
      <c r="AT173">
        <v>223</v>
      </c>
      <c r="AU173">
        <f t="shared" si="41"/>
        <v>29.733333258999998</v>
      </c>
      <c r="BN173">
        <v>169</v>
      </c>
      <c r="BO173">
        <v>257.39999999999998</v>
      </c>
      <c r="BP173">
        <f t="shared" si="32"/>
        <v>34.319999142</v>
      </c>
      <c r="BQ173">
        <v>-50.9</v>
      </c>
      <c r="BR173">
        <f t="shared" si="33"/>
        <v>-6.7866664969999997</v>
      </c>
      <c r="BS173">
        <v>89.1</v>
      </c>
      <c r="BT173">
        <f t="shared" si="34"/>
        <v>11.879999702999999</v>
      </c>
      <c r="BU173">
        <v>590.5</v>
      </c>
      <c r="BV173">
        <f t="shared" si="35"/>
        <v>78.733331364999998</v>
      </c>
      <c r="BW173">
        <v>1265</v>
      </c>
      <c r="BX173">
        <f t="shared" si="36"/>
        <v>168.66666244999999</v>
      </c>
      <c r="BY173">
        <v>285.8</v>
      </c>
      <c r="BZ173">
        <f t="shared" si="37"/>
        <v>38.106665714000002</v>
      </c>
    </row>
    <row r="174" spans="1:78" x14ac:dyDescent="0.35">
      <c r="A174">
        <v>170</v>
      </c>
      <c r="D174">
        <v>252</v>
      </c>
      <c r="E174">
        <v>276.7</v>
      </c>
      <c r="I174">
        <v>170</v>
      </c>
      <c r="J174">
        <v>234.7</v>
      </c>
      <c r="K174">
        <v>3.3</v>
      </c>
      <c r="L174">
        <v>60.6</v>
      </c>
      <c r="M174">
        <v>559.5</v>
      </c>
      <c r="N174">
        <v>1211.5</v>
      </c>
      <c r="O174">
        <v>261.7</v>
      </c>
      <c r="AM174">
        <v>169</v>
      </c>
      <c r="AR174">
        <v>234.9</v>
      </c>
      <c r="AS174">
        <f t="shared" si="40"/>
        <v>31.319999216999999</v>
      </c>
      <c r="AT174">
        <v>251.1</v>
      </c>
      <c r="AU174">
        <f t="shared" si="41"/>
        <v>33.479999916299995</v>
      </c>
      <c r="BN174">
        <v>170</v>
      </c>
      <c r="BO174">
        <v>234.7</v>
      </c>
      <c r="BP174">
        <f t="shared" si="32"/>
        <v>31.293332550999999</v>
      </c>
      <c r="BQ174">
        <v>3.3</v>
      </c>
      <c r="BR174">
        <f t="shared" si="33"/>
        <v>0.43999998899999998</v>
      </c>
      <c r="BS174">
        <v>60.6</v>
      </c>
      <c r="BT174">
        <f t="shared" si="34"/>
        <v>8.0799997979999993</v>
      </c>
      <c r="BU174">
        <v>559.5</v>
      </c>
      <c r="BV174">
        <f t="shared" si="35"/>
        <v>74.599998135000007</v>
      </c>
      <c r="BW174">
        <v>1211.5</v>
      </c>
      <c r="BX174">
        <f t="shared" si="36"/>
        <v>161.53332929499999</v>
      </c>
      <c r="BY174">
        <v>261.7</v>
      </c>
      <c r="BZ174">
        <f t="shared" si="37"/>
        <v>34.893332461</v>
      </c>
    </row>
    <row r="175" spans="1:78" x14ac:dyDescent="0.35">
      <c r="A175">
        <v>171</v>
      </c>
      <c r="D175">
        <v>266.7</v>
      </c>
      <c r="E175">
        <v>300.5</v>
      </c>
      <c r="I175">
        <v>171</v>
      </c>
      <c r="J175">
        <v>207.9</v>
      </c>
      <c r="K175">
        <v>45.5</v>
      </c>
      <c r="L175">
        <v>34.4</v>
      </c>
      <c r="M175">
        <v>527.1</v>
      </c>
      <c r="N175">
        <v>1168.3</v>
      </c>
      <c r="O175">
        <v>239.4</v>
      </c>
      <c r="AM175">
        <v>170</v>
      </c>
      <c r="AR175">
        <v>252</v>
      </c>
      <c r="AS175">
        <f t="shared" si="40"/>
        <v>33.599999160000003</v>
      </c>
      <c r="AT175">
        <v>276.7</v>
      </c>
      <c r="AU175">
        <f t="shared" si="41"/>
        <v>36.893333241099995</v>
      </c>
      <c r="BN175">
        <v>171</v>
      </c>
      <c r="BO175">
        <v>207.9</v>
      </c>
      <c r="BP175">
        <f t="shared" si="32"/>
        <v>27.719999307000002</v>
      </c>
      <c r="BQ175">
        <v>45.5</v>
      </c>
      <c r="BR175">
        <f t="shared" si="33"/>
        <v>6.0666665149999996</v>
      </c>
      <c r="BS175">
        <v>34.4</v>
      </c>
      <c r="BT175">
        <f t="shared" si="34"/>
        <v>4.5866665519999996</v>
      </c>
      <c r="BU175">
        <v>527.1</v>
      </c>
      <c r="BV175">
        <f t="shared" si="35"/>
        <v>70.279998243000009</v>
      </c>
      <c r="BW175">
        <v>1168.3</v>
      </c>
      <c r="BX175">
        <f t="shared" si="36"/>
        <v>155.77332943899998</v>
      </c>
      <c r="BY175">
        <v>239.4</v>
      </c>
      <c r="BZ175">
        <f t="shared" si="37"/>
        <v>31.919999202</v>
      </c>
    </row>
    <row r="176" spans="1:78" x14ac:dyDescent="0.35">
      <c r="A176">
        <v>172</v>
      </c>
      <c r="D176">
        <v>279.89999999999998</v>
      </c>
      <c r="E176">
        <v>322.89999999999998</v>
      </c>
      <c r="I176">
        <v>172</v>
      </c>
      <c r="J176">
        <v>183.3</v>
      </c>
      <c r="K176">
        <v>78.900000000000006</v>
      </c>
      <c r="L176">
        <v>9.8000000000000007</v>
      </c>
      <c r="M176">
        <v>493.7</v>
      </c>
      <c r="N176">
        <v>1130.4000000000001</v>
      </c>
      <c r="O176">
        <v>218.6</v>
      </c>
      <c r="AM176">
        <v>171</v>
      </c>
      <c r="AR176">
        <v>266.7</v>
      </c>
      <c r="AS176">
        <f t="shared" si="40"/>
        <v>35.559999110999996</v>
      </c>
      <c r="AT176">
        <v>300.5</v>
      </c>
      <c r="AU176">
        <f t="shared" si="41"/>
        <v>40.066666566499997</v>
      </c>
      <c r="BN176">
        <v>172</v>
      </c>
      <c r="BO176">
        <v>183.3</v>
      </c>
      <c r="BP176">
        <f t="shared" si="32"/>
        <v>24.439999389</v>
      </c>
      <c r="BQ176">
        <v>78.900000000000006</v>
      </c>
      <c r="BR176">
        <f t="shared" si="33"/>
        <v>10.519999737000001</v>
      </c>
      <c r="BS176">
        <v>9.8000000000000007</v>
      </c>
      <c r="BT176">
        <f t="shared" si="34"/>
        <v>1.3066666340000002</v>
      </c>
      <c r="BU176">
        <v>493.7</v>
      </c>
      <c r="BV176">
        <f t="shared" si="35"/>
        <v>65.826665020999997</v>
      </c>
      <c r="BW176">
        <v>1130.4000000000001</v>
      </c>
      <c r="BX176">
        <f t="shared" si="36"/>
        <v>150.719996232</v>
      </c>
      <c r="BY176">
        <v>218.6</v>
      </c>
      <c r="BZ176">
        <f t="shared" si="37"/>
        <v>29.146665937999998</v>
      </c>
    </row>
    <row r="177" spans="1:78" x14ac:dyDescent="0.35">
      <c r="A177">
        <v>173</v>
      </c>
      <c r="D177">
        <v>291.8</v>
      </c>
      <c r="E177">
        <v>344.1</v>
      </c>
      <c r="I177">
        <v>173</v>
      </c>
      <c r="J177">
        <v>160.69999999999999</v>
      </c>
      <c r="K177">
        <v>105.9</v>
      </c>
      <c r="L177">
        <v>-13.7</v>
      </c>
      <c r="M177">
        <v>460.2</v>
      </c>
      <c r="N177">
        <v>1096.3</v>
      </c>
      <c r="O177">
        <v>199.4</v>
      </c>
      <c r="AM177">
        <v>172</v>
      </c>
      <c r="AR177">
        <v>279.89999999999998</v>
      </c>
      <c r="AS177">
        <f t="shared" si="40"/>
        <v>37.319999066999998</v>
      </c>
      <c r="AT177">
        <v>322.89999999999998</v>
      </c>
      <c r="AU177">
        <f t="shared" si="41"/>
        <v>43.053333225699994</v>
      </c>
      <c r="BN177">
        <v>173</v>
      </c>
      <c r="BO177">
        <v>160.69999999999999</v>
      </c>
      <c r="BP177">
        <f t="shared" si="32"/>
        <v>21.426666130999998</v>
      </c>
      <c r="BQ177">
        <v>105.9</v>
      </c>
      <c r="BR177">
        <f t="shared" si="33"/>
        <v>14.119999647</v>
      </c>
      <c r="BS177">
        <v>-13.7</v>
      </c>
      <c r="BT177">
        <f t="shared" si="34"/>
        <v>-1.826666621</v>
      </c>
      <c r="BU177">
        <v>460.2</v>
      </c>
      <c r="BV177">
        <f t="shared" si="35"/>
        <v>61.359998466</v>
      </c>
      <c r="BW177">
        <v>1096.3</v>
      </c>
      <c r="BX177">
        <f t="shared" si="36"/>
        <v>146.17332967900001</v>
      </c>
      <c r="BY177">
        <v>199.4</v>
      </c>
      <c r="BZ177">
        <f t="shared" si="37"/>
        <v>26.586666002000001</v>
      </c>
    </row>
    <row r="178" spans="1:78" x14ac:dyDescent="0.35">
      <c r="A178">
        <v>174</v>
      </c>
      <c r="D178">
        <v>298.3</v>
      </c>
      <c r="E178">
        <v>363.6</v>
      </c>
      <c r="I178">
        <v>174</v>
      </c>
      <c r="J178">
        <v>140.1</v>
      </c>
      <c r="K178">
        <v>128</v>
      </c>
      <c r="L178">
        <v>-36.299999999999997</v>
      </c>
      <c r="M178">
        <v>427</v>
      </c>
      <c r="N178">
        <v>1065.4000000000001</v>
      </c>
      <c r="O178">
        <v>181.6</v>
      </c>
      <c r="AM178">
        <v>173</v>
      </c>
      <c r="AR178">
        <v>291.8</v>
      </c>
      <c r="AS178">
        <f t="shared" si="40"/>
        <v>38.906665694000004</v>
      </c>
      <c r="AT178">
        <v>344.1</v>
      </c>
      <c r="AU178">
        <f t="shared" si="41"/>
        <v>45.879999885300002</v>
      </c>
      <c r="BN178">
        <v>174</v>
      </c>
      <c r="BO178">
        <v>140.1</v>
      </c>
      <c r="BP178">
        <f t="shared" si="32"/>
        <v>18.679999533</v>
      </c>
      <c r="BQ178">
        <v>128</v>
      </c>
      <c r="BR178">
        <f t="shared" si="33"/>
        <v>17.06666624</v>
      </c>
      <c r="BS178">
        <v>-36.299999999999997</v>
      </c>
      <c r="BT178">
        <f t="shared" si="34"/>
        <v>-4.8399998789999996</v>
      </c>
      <c r="BU178">
        <v>427</v>
      </c>
      <c r="BV178">
        <f t="shared" si="35"/>
        <v>56.93333191</v>
      </c>
      <c r="BW178">
        <v>1065.4000000000001</v>
      </c>
      <c r="BX178">
        <f t="shared" si="36"/>
        <v>142.05332978200002</v>
      </c>
      <c r="BY178">
        <v>181.6</v>
      </c>
      <c r="BZ178">
        <f t="shared" si="37"/>
        <v>24.213332727999997</v>
      </c>
    </row>
    <row r="179" spans="1:78" x14ac:dyDescent="0.35">
      <c r="A179">
        <v>175</v>
      </c>
      <c r="D179">
        <v>271.7</v>
      </c>
      <c r="E179">
        <v>359.3</v>
      </c>
      <c r="I179">
        <v>175</v>
      </c>
      <c r="J179">
        <v>121.4</v>
      </c>
      <c r="K179">
        <v>146.4</v>
      </c>
      <c r="L179">
        <v>-58.4</v>
      </c>
      <c r="M179">
        <v>394.7</v>
      </c>
      <c r="N179">
        <v>1037.0999999999999</v>
      </c>
      <c r="O179">
        <v>165.3</v>
      </c>
      <c r="AM179">
        <v>174</v>
      </c>
      <c r="AR179">
        <v>298.3</v>
      </c>
      <c r="AS179">
        <f t="shared" si="40"/>
        <v>39.773332339</v>
      </c>
      <c r="AT179">
        <v>363.6</v>
      </c>
      <c r="AU179">
        <f t="shared" si="41"/>
        <v>48.479999878800001</v>
      </c>
      <c r="BN179">
        <v>175</v>
      </c>
      <c r="BO179">
        <v>121.4</v>
      </c>
      <c r="BP179">
        <f t="shared" si="32"/>
        <v>16.186666261999999</v>
      </c>
      <c r="BQ179">
        <v>146.4</v>
      </c>
      <c r="BR179">
        <f t="shared" si="33"/>
        <v>19.519999512000002</v>
      </c>
      <c r="BS179">
        <v>-58.4</v>
      </c>
      <c r="BT179">
        <f t="shared" si="34"/>
        <v>-7.7866664719999994</v>
      </c>
      <c r="BU179">
        <v>394.7</v>
      </c>
      <c r="BV179">
        <f t="shared" si="35"/>
        <v>52.626665351</v>
      </c>
      <c r="BW179">
        <v>1037.0999999999999</v>
      </c>
      <c r="BX179">
        <f t="shared" si="36"/>
        <v>138.27999654299998</v>
      </c>
      <c r="BY179">
        <v>165.3</v>
      </c>
      <c r="BZ179">
        <f t="shared" si="37"/>
        <v>22.039999449</v>
      </c>
    </row>
    <row r="180" spans="1:78" x14ac:dyDescent="0.35">
      <c r="A180">
        <v>176</v>
      </c>
      <c r="D180">
        <v>225.8</v>
      </c>
      <c r="E180">
        <v>306.39999999999998</v>
      </c>
      <c r="I180">
        <v>176</v>
      </c>
      <c r="J180">
        <v>104.3</v>
      </c>
      <c r="K180">
        <v>161.69999999999999</v>
      </c>
      <c r="L180">
        <v>-80.7</v>
      </c>
      <c r="M180">
        <v>363.5</v>
      </c>
      <c r="N180">
        <v>1011</v>
      </c>
      <c r="O180">
        <v>150.4</v>
      </c>
      <c r="AM180">
        <v>175</v>
      </c>
      <c r="AR180">
        <v>271.7</v>
      </c>
      <c r="AS180">
        <f t="shared" ref="AS180:AS211" si="43" xml:space="preserve"> AR180*0.13333333</f>
        <v>36.226665761</v>
      </c>
      <c r="AT180">
        <v>359.3</v>
      </c>
      <c r="AU180">
        <f t="shared" ref="AU180:AU211" si="44">AT180*0.133333333</f>
        <v>47.906666546899999</v>
      </c>
      <c r="BN180">
        <v>176</v>
      </c>
      <c r="BO180">
        <v>104.3</v>
      </c>
      <c r="BP180">
        <f t="shared" si="32"/>
        <v>13.906666318999999</v>
      </c>
      <c r="BQ180">
        <v>161.69999999999999</v>
      </c>
      <c r="BR180">
        <f t="shared" si="33"/>
        <v>21.559999460999997</v>
      </c>
      <c r="BS180">
        <v>-80.7</v>
      </c>
      <c r="BT180">
        <f t="shared" si="34"/>
        <v>-10.759999731000001</v>
      </c>
      <c r="BU180">
        <v>363.5</v>
      </c>
      <c r="BV180">
        <f t="shared" si="35"/>
        <v>48.466665454999998</v>
      </c>
      <c r="BW180">
        <v>1011</v>
      </c>
      <c r="BX180">
        <f t="shared" si="36"/>
        <v>134.79999663000001</v>
      </c>
      <c r="BY180">
        <v>150.4</v>
      </c>
      <c r="BZ180">
        <f t="shared" si="37"/>
        <v>20.053332832000002</v>
      </c>
    </row>
    <row r="181" spans="1:78" x14ac:dyDescent="0.35">
      <c r="A181">
        <v>177</v>
      </c>
      <c r="D181">
        <v>186.1</v>
      </c>
      <c r="E181">
        <v>253.5</v>
      </c>
      <c r="I181">
        <v>177</v>
      </c>
      <c r="J181">
        <v>88.7</v>
      </c>
      <c r="K181">
        <v>174.8</v>
      </c>
      <c r="L181">
        <v>-103.1</v>
      </c>
      <c r="M181">
        <v>340.8</v>
      </c>
      <c r="N181">
        <v>986.7</v>
      </c>
      <c r="O181">
        <v>136.5</v>
      </c>
      <c r="AM181">
        <v>176</v>
      </c>
      <c r="AR181">
        <v>225.8</v>
      </c>
      <c r="AS181">
        <f t="shared" si="43"/>
        <v>30.106665914000001</v>
      </c>
      <c r="AT181">
        <v>306.39999999999998</v>
      </c>
      <c r="AU181">
        <f t="shared" si="44"/>
        <v>40.853333231199997</v>
      </c>
      <c r="BN181">
        <v>177</v>
      </c>
      <c r="BO181">
        <v>88.7</v>
      </c>
      <c r="BP181">
        <f t="shared" si="32"/>
        <v>11.826666371</v>
      </c>
      <c r="BQ181">
        <v>174.8</v>
      </c>
      <c r="BR181">
        <f t="shared" si="33"/>
        <v>23.306666084</v>
      </c>
      <c r="BS181">
        <v>-103.1</v>
      </c>
      <c r="BT181">
        <f t="shared" si="34"/>
        <v>-13.746666322999999</v>
      </c>
      <c r="BU181">
        <v>340.8</v>
      </c>
      <c r="BV181">
        <f t="shared" si="35"/>
        <v>45.439998864000003</v>
      </c>
      <c r="BW181">
        <v>986.7</v>
      </c>
      <c r="BX181">
        <f t="shared" si="36"/>
        <v>131.559996711</v>
      </c>
      <c r="BY181">
        <v>136.5</v>
      </c>
      <c r="BZ181">
        <f t="shared" si="37"/>
        <v>18.199999545000001</v>
      </c>
    </row>
    <row r="182" spans="1:78" x14ac:dyDescent="0.35">
      <c r="A182">
        <v>178</v>
      </c>
      <c r="D182">
        <v>150.4</v>
      </c>
      <c r="E182">
        <v>209.6</v>
      </c>
      <c r="I182">
        <v>178</v>
      </c>
      <c r="J182">
        <v>74.5</v>
      </c>
      <c r="K182">
        <v>186.1</v>
      </c>
      <c r="L182">
        <v>-116.4</v>
      </c>
      <c r="M182">
        <v>403</v>
      </c>
      <c r="N182">
        <v>964.3</v>
      </c>
      <c r="O182">
        <v>123.8</v>
      </c>
      <c r="AM182">
        <v>177</v>
      </c>
      <c r="AR182">
        <v>186.1</v>
      </c>
      <c r="AS182">
        <f t="shared" si="43"/>
        <v>24.813332712999998</v>
      </c>
      <c r="AT182">
        <v>253.5</v>
      </c>
      <c r="AU182">
        <f t="shared" si="44"/>
        <v>33.799999915500003</v>
      </c>
      <c r="BN182">
        <v>178</v>
      </c>
      <c r="BO182">
        <v>74.5</v>
      </c>
      <c r="BP182">
        <f t="shared" si="32"/>
        <v>9.9333330849999992</v>
      </c>
      <c r="BQ182">
        <v>186.1</v>
      </c>
      <c r="BR182">
        <f t="shared" si="33"/>
        <v>24.813332712999998</v>
      </c>
      <c r="BS182">
        <v>-116.4</v>
      </c>
      <c r="BT182">
        <f t="shared" si="34"/>
        <v>-15.519999612000001</v>
      </c>
      <c r="BU182">
        <v>403</v>
      </c>
      <c r="BV182">
        <f t="shared" si="35"/>
        <v>53.733331990000003</v>
      </c>
      <c r="BW182">
        <v>964.3</v>
      </c>
      <c r="BX182">
        <f t="shared" si="36"/>
        <v>128.57333011899999</v>
      </c>
      <c r="BY182">
        <v>123.8</v>
      </c>
      <c r="BZ182">
        <f t="shared" si="37"/>
        <v>16.506666253999999</v>
      </c>
    </row>
    <row r="183" spans="1:78" x14ac:dyDescent="0.35">
      <c r="A183">
        <v>179</v>
      </c>
      <c r="D183">
        <v>116.4</v>
      </c>
      <c r="E183">
        <v>170.6</v>
      </c>
      <c r="I183">
        <v>179</v>
      </c>
      <c r="J183">
        <v>61.7</v>
      </c>
      <c r="K183">
        <v>188.1</v>
      </c>
      <c r="L183">
        <v>-87.2</v>
      </c>
      <c r="M183">
        <v>602.6</v>
      </c>
      <c r="N183">
        <v>944.9</v>
      </c>
      <c r="O183">
        <v>112</v>
      </c>
      <c r="AM183">
        <v>178</v>
      </c>
      <c r="AR183">
        <v>150.4</v>
      </c>
      <c r="AS183">
        <f t="shared" si="43"/>
        <v>20.053332832000002</v>
      </c>
      <c r="AT183">
        <v>209.6</v>
      </c>
      <c r="AU183">
        <f t="shared" si="44"/>
        <v>27.9466665968</v>
      </c>
      <c r="BN183">
        <v>179</v>
      </c>
      <c r="BO183">
        <v>61.7</v>
      </c>
      <c r="BP183">
        <f t="shared" si="32"/>
        <v>8.2266664610000007</v>
      </c>
      <c r="BQ183">
        <v>188.1</v>
      </c>
      <c r="BR183">
        <f t="shared" si="33"/>
        <v>25.079999373</v>
      </c>
      <c r="BS183">
        <v>-87.2</v>
      </c>
      <c r="BT183">
        <f t="shared" si="34"/>
        <v>-11.626666376000001</v>
      </c>
      <c r="BU183">
        <v>602.6</v>
      </c>
      <c r="BV183">
        <f t="shared" si="35"/>
        <v>80.346664658000009</v>
      </c>
      <c r="BW183">
        <v>944.9</v>
      </c>
      <c r="BX183">
        <f t="shared" si="36"/>
        <v>125.986663517</v>
      </c>
      <c r="BY183">
        <v>112</v>
      </c>
      <c r="BZ183">
        <f t="shared" si="37"/>
        <v>14.93333296</v>
      </c>
    </row>
    <row r="184" spans="1:78" x14ac:dyDescent="0.35">
      <c r="A184">
        <v>180</v>
      </c>
      <c r="D184">
        <v>81.900000000000006</v>
      </c>
      <c r="E184">
        <v>134.6</v>
      </c>
      <c r="I184">
        <v>180</v>
      </c>
      <c r="J184">
        <v>54.3</v>
      </c>
      <c r="K184">
        <v>160.80000000000001</v>
      </c>
      <c r="L184">
        <v>-35</v>
      </c>
      <c r="M184">
        <v>776.1</v>
      </c>
      <c r="N184">
        <v>930.5</v>
      </c>
      <c r="O184">
        <v>101.2</v>
      </c>
      <c r="AM184">
        <v>179</v>
      </c>
      <c r="AR184">
        <v>116.4</v>
      </c>
      <c r="AS184">
        <f t="shared" si="43"/>
        <v>15.519999612000001</v>
      </c>
      <c r="AT184">
        <v>170.6</v>
      </c>
      <c r="AU184">
        <f t="shared" si="44"/>
        <v>22.746666609799998</v>
      </c>
      <c r="BN184">
        <v>180</v>
      </c>
      <c r="BO184">
        <v>54.3</v>
      </c>
      <c r="BP184">
        <f t="shared" si="32"/>
        <v>7.2399998189999994</v>
      </c>
      <c r="BQ184">
        <v>160.80000000000001</v>
      </c>
      <c r="BR184">
        <f t="shared" si="33"/>
        <v>21.439999464000003</v>
      </c>
      <c r="BS184">
        <v>-35</v>
      </c>
      <c r="BT184">
        <f t="shared" si="34"/>
        <v>-4.6666665500000004</v>
      </c>
      <c r="BU184">
        <v>776.1</v>
      </c>
      <c r="BV184">
        <f t="shared" si="35"/>
        <v>103.47999741300001</v>
      </c>
      <c r="BW184">
        <v>930.5</v>
      </c>
      <c r="BX184">
        <f t="shared" si="36"/>
        <v>124.066663565</v>
      </c>
      <c r="BY184">
        <v>101.2</v>
      </c>
      <c r="BZ184">
        <f t="shared" si="37"/>
        <v>13.493332996000001</v>
      </c>
    </row>
    <row r="185" spans="1:78" x14ac:dyDescent="0.35">
      <c r="A185">
        <v>181</v>
      </c>
      <c r="D185">
        <v>44.9</v>
      </c>
      <c r="E185">
        <v>100.8</v>
      </c>
      <c r="I185">
        <v>181</v>
      </c>
      <c r="J185">
        <v>59.8</v>
      </c>
      <c r="K185">
        <v>124.4</v>
      </c>
      <c r="L185">
        <v>4.0999999999999996</v>
      </c>
      <c r="M185">
        <v>875.9</v>
      </c>
      <c r="N185">
        <v>911.8</v>
      </c>
      <c r="O185">
        <v>91.2</v>
      </c>
      <c r="AM185">
        <v>180</v>
      </c>
      <c r="AR185">
        <v>81.900000000000006</v>
      </c>
      <c r="AS185">
        <f t="shared" si="43"/>
        <v>10.919999727</v>
      </c>
      <c r="AT185">
        <v>134.6</v>
      </c>
      <c r="AU185">
        <f t="shared" si="44"/>
        <v>17.946666621799999</v>
      </c>
      <c r="BN185">
        <v>181</v>
      </c>
      <c r="BO185">
        <v>59.8</v>
      </c>
      <c r="BP185">
        <f t="shared" si="32"/>
        <v>7.9733331339999998</v>
      </c>
      <c r="BQ185">
        <v>124.4</v>
      </c>
      <c r="BR185">
        <f t="shared" si="33"/>
        <v>16.586666252000001</v>
      </c>
      <c r="BS185">
        <v>4.0999999999999996</v>
      </c>
      <c r="BT185">
        <f t="shared" si="34"/>
        <v>0.54666665299999995</v>
      </c>
      <c r="BU185">
        <v>875.9</v>
      </c>
      <c r="BV185">
        <f t="shared" si="35"/>
        <v>116.78666374699999</v>
      </c>
      <c r="BW185">
        <v>911.8</v>
      </c>
      <c r="BX185">
        <f t="shared" si="36"/>
        <v>121.57333029399999</v>
      </c>
      <c r="BY185">
        <v>91.2</v>
      </c>
      <c r="BZ185">
        <f t="shared" si="37"/>
        <v>12.159999696</v>
      </c>
    </row>
    <row r="186" spans="1:78" x14ac:dyDescent="0.35">
      <c r="A186">
        <v>182</v>
      </c>
      <c r="D186">
        <v>4.8</v>
      </c>
      <c r="E186">
        <v>67.900000000000006</v>
      </c>
      <c r="I186">
        <v>182</v>
      </c>
      <c r="J186">
        <v>90.2</v>
      </c>
      <c r="K186">
        <v>89.6</v>
      </c>
      <c r="L186">
        <v>35.200000000000003</v>
      </c>
      <c r="M186">
        <v>935.8</v>
      </c>
      <c r="N186">
        <v>893.1</v>
      </c>
      <c r="AM186">
        <v>181</v>
      </c>
      <c r="AR186">
        <v>44.9</v>
      </c>
      <c r="AS186">
        <f t="shared" si="43"/>
        <v>5.9866665169999997</v>
      </c>
      <c r="AT186">
        <v>100.8</v>
      </c>
      <c r="AU186">
        <f t="shared" si="44"/>
        <v>13.4399999664</v>
      </c>
      <c r="BN186">
        <v>182</v>
      </c>
      <c r="BO186">
        <v>90.2</v>
      </c>
      <c r="BP186">
        <f t="shared" ref="BP186:BP196" si="45">BO186*0.13333333</f>
        <v>12.026666366000001</v>
      </c>
      <c r="BQ186">
        <v>89.6</v>
      </c>
      <c r="BR186">
        <f t="shared" ref="BR186:BR196" si="46">BQ186*0.13333333</f>
        <v>11.946666367999999</v>
      </c>
      <c r="BS186">
        <v>35.200000000000003</v>
      </c>
      <c r="BT186">
        <f t="shared" ref="BT186:BT196" si="47">BS186*0.13333333</f>
        <v>4.6933332160000001</v>
      </c>
      <c r="BU186">
        <v>935.8</v>
      </c>
      <c r="BV186">
        <f t="shared" ref="BV186:BV196" si="48">BU186*0.13333333</f>
        <v>124.773330214</v>
      </c>
      <c r="BW186">
        <v>893.1</v>
      </c>
      <c r="BX186">
        <f t="shared" ref="BX186:BX196" si="49">BW186*0.13333333</f>
        <v>119.079997023</v>
      </c>
    </row>
    <row r="187" spans="1:78" x14ac:dyDescent="0.35">
      <c r="A187">
        <v>183</v>
      </c>
      <c r="D187">
        <v>-37.700000000000003</v>
      </c>
      <c r="E187">
        <v>35</v>
      </c>
      <c r="I187">
        <v>183</v>
      </c>
      <c r="J187">
        <v>125.7</v>
      </c>
      <c r="K187">
        <v>54.8</v>
      </c>
      <c r="L187">
        <v>62</v>
      </c>
      <c r="M187">
        <v>977.8</v>
      </c>
      <c r="N187">
        <v>875.4</v>
      </c>
      <c r="AM187">
        <v>182</v>
      </c>
      <c r="AR187">
        <v>4.8</v>
      </c>
      <c r="AS187">
        <f t="shared" si="43"/>
        <v>0.63999998400000002</v>
      </c>
      <c r="AT187">
        <v>67.900000000000006</v>
      </c>
      <c r="AU187">
        <f t="shared" si="44"/>
        <v>9.0533333107000011</v>
      </c>
      <c r="BN187">
        <v>183</v>
      </c>
      <c r="BO187">
        <v>125.7</v>
      </c>
      <c r="BP187">
        <f t="shared" si="45"/>
        <v>16.759999580999999</v>
      </c>
      <c r="BQ187">
        <v>54.8</v>
      </c>
      <c r="BR187">
        <f t="shared" si="46"/>
        <v>7.306666484</v>
      </c>
      <c r="BS187">
        <v>62</v>
      </c>
      <c r="BT187">
        <f t="shared" si="47"/>
        <v>8.2666664599999997</v>
      </c>
      <c r="BU187">
        <v>977.8</v>
      </c>
      <c r="BV187">
        <f t="shared" si="48"/>
        <v>130.37333007399999</v>
      </c>
      <c r="BW187">
        <v>875.4</v>
      </c>
      <c r="BX187">
        <f t="shared" si="49"/>
        <v>116.71999708199999</v>
      </c>
    </row>
    <row r="188" spans="1:78" x14ac:dyDescent="0.35">
      <c r="A188">
        <v>184</v>
      </c>
      <c r="D188">
        <v>-81.400000000000006</v>
      </c>
      <c r="E188">
        <v>1.8</v>
      </c>
      <c r="I188">
        <v>184</v>
      </c>
      <c r="J188">
        <v>156.6</v>
      </c>
      <c r="K188">
        <v>19.5</v>
      </c>
      <c r="L188">
        <v>85.7</v>
      </c>
      <c r="M188">
        <v>1013</v>
      </c>
      <c r="N188">
        <v>858.5</v>
      </c>
      <c r="AM188">
        <v>183</v>
      </c>
      <c r="AR188">
        <v>-37.700000000000003</v>
      </c>
      <c r="AS188">
        <f t="shared" si="43"/>
        <v>-5.026666541</v>
      </c>
      <c r="AT188">
        <v>35</v>
      </c>
      <c r="AU188">
        <f t="shared" si="44"/>
        <v>4.6666666550000002</v>
      </c>
      <c r="BN188">
        <v>184</v>
      </c>
      <c r="BO188">
        <v>156.6</v>
      </c>
      <c r="BP188">
        <f t="shared" si="45"/>
        <v>20.879999477999998</v>
      </c>
      <c r="BQ188">
        <v>19.5</v>
      </c>
      <c r="BR188">
        <f t="shared" si="46"/>
        <v>2.599999935</v>
      </c>
      <c r="BS188">
        <v>85.7</v>
      </c>
      <c r="BT188">
        <f t="shared" si="47"/>
        <v>11.426666381</v>
      </c>
      <c r="BU188">
        <v>1013</v>
      </c>
      <c r="BV188">
        <f t="shared" si="48"/>
        <v>135.06666329000001</v>
      </c>
      <c r="BW188">
        <v>858.5</v>
      </c>
      <c r="BX188">
        <f t="shared" si="49"/>
        <v>114.466663805</v>
      </c>
    </row>
    <row r="189" spans="1:78" x14ac:dyDescent="0.35">
      <c r="A189">
        <v>185</v>
      </c>
      <c r="D189">
        <v>-124.7</v>
      </c>
      <c r="E189">
        <v>-32.299999999999997</v>
      </c>
      <c r="I189">
        <v>185</v>
      </c>
      <c r="J189">
        <v>177.2</v>
      </c>
      <c r="K189">
        <v>-16.399999999999999</v>
      </c>
      <c r="L189">
        <v>107.2</v>
      </c>
      <c r="M189">
        <v>1045.3</v>
      </c>
      <c r="N189">
        <v>842.2</v>
      </c>
      <c r="AM189">
        <v>184</v>
      </c>
      <c r="AR189">
        <v>-81.400000000000006</v>
      </c>
      <c r="AS189">
        <f t="shared" si="43"/>
        <v>-10.853333062000001</v>
      </c>
      <c r="AT189">
        <v>1.8</v>
      </c>
      <c r="AU189">
        <f t="shared" si="44"/>
        <v>0.2399999994</v>
      </c>
      <c r="BN189">
        <v>185</v>
      </c>
      <c r="BO189">
        <v>177.2</v>
      </c>
      <c r="BP189">
        <f t="shared" si="45"/>
        <v>23.626666075999999</v>
      </c>
      <c r="BQ189">
        <v>-16.399999999999999</v>
      </c>
      <c r="BR189">
        <f t="shared" si="46"/>
        <v>-2.1866666119999998</v>
      </c>
      <c r="BS189">
        <v>107.2</v>
      </c>
      <c r="BT189">
        <f t="shared" si="47"/>
        <v>14.293332976</v>
      </c>
      <c r="BU189">
        <v>1045.3</v>
      </c>
      <c r="BV189">
        <f t="shared" si="48"/>
        <v>139.37332984899999</v>
      </c>
      <c r="BW189">
        <v>842.2</v>
      </c>
      <c r="BX189">
        <f t="shared" si="49"/>
        <v>112.29333052600001</v>
      </c>
    </row>
    <row r="190" spans="1:78" x14ac:dyDescent="0.35">
      <c r="A190">
        <v>186</v>
      </c>
      <c r="D190">
        <v>-144.5</v>
      </c>
      <c r="E190">
        <v>-65.2</v>
      </c>
      <c r="I190">
        <v>186</v>
      </c>
      <c r="J190">
        <v>200.8</v>
      </c>
      <c r="K190">
        <v>-52.6</v>
      </c>
      <c r="L190">
        <v>127.1</v>
      </c>
      <c r="M190">
        <v>1076.2</v>
      </c>
      <c r="N190">
        <v>826.4</v>
      </c>
      <c r="AM190">
        <v>185</v>
      </c>
      <c r="AR190">
        <v>-124.7</v>
      </c>
      <c r="AS190">
        <f t="shared" si="43"/>
        <v>-16.626666251</v>
      </c>
      <c r="AT190">
        <v>-32.299999999999997</v>
      </c>
      <c r="AU190">
        <f t="shared" si="44"/>
        <v>-4.3066666559</v>
      </c>
      <c r="BN190">
        <v>186</v>
      </c>
      <c r="BO190">
        <v>200.8</v>
      </c>
      <c r="BP190">
        <f t="shared" si="45"/>
        <v>26.773332664000002</v>
      </c>
      <c r="BQ190">
        <v>-52.6</v>
      </c>
      <c r="BR190">
        <f t="shared" si="46"/>
        <v>-7.013333158</v>
      </c>
      <c r="BS190">
        <v>127.1</v>
      </c>
      <c r="BT190">
        <f t="shared" si="47"/>
        <v>16.946666242999999</v>
      </c>
      <c r="BU190">
        <v>1076.2</v>
      </c>
      <c r="BV190">
        <f t="shared" si="48"/>
        <v>143.493329746</v>
      </c>
      <c r="BW190">
        <v>826.4</v>
      </c>
      <c r="BX190">
        <f t="shared" si="49"/>
        <v>110.186663912</v>
      </c>
    </row>
    <row r="191" spans="1:78" x14ac:dyDescent="0.35">
      <c r="A191">
        <v>187</v>
      </c>
      <c r="D191">
        <v>-77.7</v>
      </c>
      <c r="E191">
        <v>-54</v>
      </c>
      <c r="I191">
        <v>187</v>
      </c>
      <c r="J191">
        <v>212.2</v>
      </c>
      <c r="K191">
        <v>-88.9</v>
      </c>
      <c r="L191">
        <v>145.80000000000001</v>
      </c>
      <c r="M191">
        <v>1106.5</v>
      </c>
      <c r="N191">
        <v>810.9</v>
      </c>
      <c r="AM191">
        <v>186</v>
      </c>
      <c r="AR191">
        <v>-144.5</v>
      </c>
      <c r="AS191">
        <f t="shared" si="43"/>
        <v>-19.266666184999998</v>
      </c>
      <c r="AT191">
        <v>-65.2</v>
      </c>
      <c r="AU191">
        <f t="shared" si="44"/>
        <v>-8.6933333116</v>
      </c>
      <c r="BN191">
        <v>187</v>
      </c>
      <c r="BO191">
        <v>212.2</v>
      </c>
      <c r="BP191">
        <f t="shared" si="45"/>
        <v>28.293332625999998</v>
      </c>
      <c r="BQ191">
        <v>-88.9</v>
      </c>
      <c r="BR191">
        <f t="shared" si="46"/>
        <v>-11.853333037000001</v>
      </c>
      <c r="BS191">
        <v>145.80000000000001</v>
      </c>
      <c r="BT191">
        <f t="shared" si="47"/>
        <v>19.439999514</v>
      </c>
      <c r="BU191">
        <v>1106.5</v>
      </c>
      <c r="BV191">
        <f t="shared" si="48"/>
        <v>147.53332964500001</v>
      </c>
      <c r="BW191">
        <v>810.9</v>
      </c>
      <c r="BX191">
        <f t="shared" si="49"/>
        <v>108.119997297</v>
      </c>
    </row>
    <row r="192" spans="1:78" x14ac:dyDescent="0.35">
      <c r="A192">
        <v>188</v>
      </c>
      <c r="D192">
        <v>28.5</v>
      </c>
      <c r="E192">
        <v>27.8</v>
      </c>
      <c r="I192">
        <v>188</v>
      </c>
      <c r="J192">
        <v>229.3</v>
      </c>
      <c r="K192">
        <v>-125</v>
      </c>
      <c r="L192">
        <v>163.4</v>
      </c>
      <c r="M192">
        <v>1136</v>
      </c>
      <c r="N192">
        <v>795.6</v>
      </c>
      <c r="AM192">
        <v>187</v>
      </c>
      <c r="AR192">
        <v>-77.7</v>
      </c>
      <c r="AS192">
        <f t="shared" si="43"/>
        <v>-10.359999741000001</v>
      </c>
      <c r="AT192">
        <v>-54</v>
      </c>
      <c r="AU192">
        <f t="shared" si="44"/>
        <v>-7.1999999819999996</v>
      </c>
      <c r="BN192">
        <v>188</v>
      </c>
      <c r="BO192">
        <v>229.3</v>
      </c>
      <c r="BP192">
        <f t="shared" si="45"/>
        <v>30.573332569000002</v>
      </c>
      <c r="BQ192">
        <v>-125</v>
      </c>
      <c r="BR192">
        <f t="shared" si="46"/>
        <v>-16.666666249999999</v>
      </c>
      <c r="BS192">
        <v>163.4</v>
      </c>
      <c r="BT192">
        <f t="shared" si="47"/>
        <v>21.786666122</v>
      </c>
      <c r="BU192">
        <v>1136</v>
      </c>
      <c r="BV192">
        <f t="shared" si="48"/>
        <v>151.46666288</v>
      </c>
      <c r="BW192">
        <v>795.6</v>
      </c>
      <c r="BX192">
        <f t="shared" si="49"/>
        <v>106.07999734800001</v>
      </c>
    </row>
    <row r="193" spans="1:76" x14ac:dyDescent="0.35">
      <c r="A193">
        <v>189</v>
      </c>
      <c r="D193">
        <v>105.6</v>
      </c>
      <c r="E193">
        <v>107.2</v>
      </c>
      <c r="I193">
        <v>189</v>
      </c>
      <c r="J193">
        <v>237</v>
      </c>
      <c r="K193">
        <v>-160.4</v>
      </c>
      <c r="L193">
        <v>176.5</v>
      </c>
      <c r="M193">
        <v>1142.8</v>
      </c>
      <c r="N193">
        <v>780.3</v>
      </c>
      <c r="AM193">
        <v>188</v>
      </c>
      <c r="AR193">
        <v>28.5</v>
      </c>
      <c r="AS193">
        <f t="shared" si="43"/>
        <v>3.799999905</v>
      </c>
      <c r="AT193">
        <v>27.8</v>
      </c>
      <c r="AU193">
        <f t="shared" si="44"/>
        <v>3.7066666574</v>
      </c>
      <c r="BN193">
        <v>189</v>
      </c>
      <c r="BO193">
        <v>237</v>
      </c>
      <c r="BP193">
        <f t="shared" si="45"/>
        <v>31.59999921</v>
      </c>
      <c r="BQ193">
        <v>-160.4</v>
      </c>
      <c r="BR193">
        <f t="shared" si="46"/>
        <v>-21.386666132000002</v>
      </c>
      <c r="BS193">
        <v>176.5</v>
      </c>
      <c r="BT193">
        <f t="shared" si="47"/>
        <v>23.533332744999999</v>
      </c>
      <c r="BU193">
        <v>1142.8</v>
      </c>
      <c r="BV193">
        <f t="shared" si="48"/>
        <v>152.37332952399998</v>
      </c>
      <c r="BW193">
        <v>780.3</v>
      </c>
      <c r="BX193">
        <f t="shared" si="49"/>
        <v>104.039997399</v>
      </c>
    </row>
    <row r="194" spans="1:76" x14ac:dyDescent="0.35">
      <c r="A194">
        <v>190</v>
      </c>
      <c r="D194">
        <v>156.5</v>
      </c>
      <c r="E194">
        <v>159.30000000000001</v>
      </c>
      <c r="I194">
        <v>190</v>
      </c>
      <c r="J194">
        <v>247.5</v>
      </c>
      <c r="K194">
        <v>-193.5</v>
      </c>
      <c r="L194">
        <v>158.6</v>
      </c>
      <c r="M194">
        <v>1095.9000000000001</v>
      </c>
      <c r="N194">
        <v>764.1</v>
      </c>
      <c r="AM194">
        <v>189</v>
      </c>
      <c r="AR194">
        <v>105.6</v>
      </c>
      <c r="AS194">
        <f t="shared" si="43"/>
        <v>14.079999647999999</v>
      </c>
      <c r="AT194">
        <v>107.2</v>
      </c>
      <c r="AU194">
        <f t="shared" si="44"/>
        <v>14.2933332976</v>
      </c>
      <c r="BN194">
        <v>190</v>
      </c>
      <c r="BO194">
        <v>247.5</v>
      </c>
      <c r="BP194">
        <f t="shared" si="45"/>
        <v>32.999999174999999</v>
      </c>
      <c r="BQ194">
        <v>-193.5</v>
      </c>
      <c r="BR194">
        <f t="shared" si="46"/>
        <v>-25.799999355000001</v>
      </c>
      <c r="BS194">
        <v>158.6</v>
      </c>
      <c r="BT194">
        <f t="shared" si="47"/>
        <v>21.146666138000001</v>
      </c>
      <c r="BU194">
        <v>1095.9000000000001</v>
      </c>
      <c r="BV194">
        <f t="shared" si="48"/>
        <v>146.11999634700001</v>
      </c>
      <c r="BW194">
        <v>764.1</v>
      </c>
      <c r="BX194">
        <f t="shared" si="49"/>
        <v>101.879997453</v>
      </c>
    </row>
    <row r="195" spans="1:76" x14ac:dyDescent="0.35">
      <c r="A195">
        <v>191</v>
      </c>
      <c r="D195">
        <v>191.7</v>
      </c>
      <c r="E195">
        <v>197.4</v>
      </c>
      <c r="I195">
        <v>191</v>
      </c>
      <c r="J195">
        <v>255.9</v>
      </c>
      <c r="K195">
        <v>-191.5</v>
      </c>
      <c r="L195">
        <v>119.3</v>
      </c>
      <c r="M195">
        <v>1051.0999999999999</v>
      </c>
      <c r="N195">
        <v>747.9</v>
      </c>
      <c r="AM195">
        <v>190</v>
      </c>
      <c r="AR195">
        <v>156.5</v>
      </c>
      <c r="AS195">
        <f t="shared" si="43"/>
        <v>20.866666145</v>
      </c>
      <c r="AT195">
        <v>159.30000000000001</v>
      </c>
      <c r="AU195">
        <f t="shared" si="44"/>
        <v>21.239999946900003</v>
      </c>
      <c r="BN195">
        <v>191</v>
      </c>
      <c r="BO195">
        <v>255.9</v>
      </c>
      <c r="BP195">
        <f t="shared" si="45"/>
        <v>34.119999147000001</v>
      </c>
      <c r="BQ195">
        <v>-191.5</v>
      </c>
      <c r="BR195">
        <f t="shared" si="46"/>
        <v>-25.533332694999999</v>
      </c>
      <c r="BS195">
        <v>119.3</v>
      </c>
      <c r="BT195">
        <f t="shared" si="47"/>
        <v>15.906666269</v>
      </c>
      <c r="BU195">
        <v>1051.0999999999999</v>
      </c>
      <c r="BV195">
        <f t="shared" si="48"/>
        <v>140.146663163</v>
      </c>
      <c r="BW195">
        <v>747.9</v>
      </c>
      <c r="BX195">
        <f t="shared" si="49"/>
        <v>99.719997507000002</v>
      </c>
    </row>
    <row r="196" spans="1:76" x14ac:dyDescent="0.35">
      <c r="A196">
        <v>192</v>
      </c>
      <c r="D196">
        <v>217.7</v>
      </c>
      <c r="E196">
        <v>228.9</v>
      </c>
      <c r="I196">
        <v>192</v>
      </c>
      <c r="J196">
        <v>258.5</v>
      </c>
      <c r="K196">
        <v>-122.1</v>
      </c>
      <c r="L196">
        <v>86.4</v>
      </c>
      <c r="M196">
        <v>1016.6</v>
      </c>
      <c r="N196">
        <v>731.4</v>
      </c>
      <c r="AM196">
        <v>191</v>
      </c>
      <c r="AR196">
        <v>191.7</v>
      </c>
      <c r="AS196">
        <f t="shared" si="43"/>
        <v>25.559999360999999</v>
      </c>
      <c r="AT196">
        <v>197.4</v>
      </c>
      <c r="AU196">
        <f t="shared" si="44"/>
        <v>26.319999934200002</v>
      </c>
      <c r="BN196">
        <v>192</v>
      </c>
      <c r="BO196">
        <v>258.5</v>
      </c>
      <c r="BP196">
        <f t="shared" si="45"/>
        <v>34.466665804999998</v>
      </c>
      <c r="BQ196">
        <v>-122.1</v>
      </c>
      <c r="BR196">
        <f t="shared" si="46"/>
        <v>-16.279999592999999</v>
      </c>
      <c r="BS196">
        <v>86.4</v>
      </c>
      <c r="BT196">
        <f t="shared" si="47"/>
        <v>11.519999712000001</v>
      </c>
      <c r="BU196">
        <v>1016.6</v>
      </c>
      <c r="BV196">
        <f t="shared" si="48"/>
        <v>135.54666327800001</v>
      </c>
      <c r="BW196">
        <v>731.4</v>
      </c>
      <c r="BX196">
        <f t="shared" si="49"/>
        <v>97.519997562</v>
      </c>
    </row>
    <row r="197" spans="1:76" x14ac:dyDescent="0.35">
      <c r="A197">
        <v>193</v>
      </c>
      <c r="D197">
        <v>238.2</v>
      </c>
      <c r="E197">
        <v>256.8</v>
      </c>
      <c r="I197">
        <v>193</v>
      </c>
      <c r="J197">
        <v>264.2</v>
      </c>
      <c r="K197">
        <v>-51.1</v>
      </c>
      <c r="L197">
        <v>57.2</v>
      </c>
      <c r="M197">
        <v>986.4</v>
      </c>
      <c r="N197">
        <v>713.8</v>
      </c>
      <c r="AM197">
        <v>192</v>
      </c>
      <c r="AR197">
        <v>217.7</v>
      </c>
      <c r="AS197">
        <f t="shared" si="43"/>
        <v>29.026665940999997</v>
      </c>
      <c r="AT197">
        <v>228.9</v>
      </c>
      <c r="AU197">
        <f t="shared" si="44"/>
        <v>30.519999923700002</v>
      </c>
      <c r="BN197">
        <v>193</v>
      </c>
      <c r="BO197">
        <v>264.2</v>
      </c>
      <c r="BP197">
        <f t="shared" ref="BP197:BP203" si="50">BO197*0.13333333</f>
        <v>35.226665785999998</v>
      </c>
      <c r="BQ197">
        <v>-51.1</v>
      </c>
      <c r="BR197">
        <f t="shared" ref="BR197:BR246" si="51">BQ197*0.13333333</f>
        <v>-6.8133331630000002</v>
      </c>
      <c r="BS197">
        <v>57.2</v>
      </c>
      <c r="BT197">
        <f t="shared" ref="BT197:BT203" si="52">BS197*0.13333333</f>
        <v>7.6266664760000005</v>
      </c>
      <c r="BU197">
        <v>986.4</v>
      </c>
      <c r="BV197">
        <f t="shared" ref="BV197:BV232" si="53">BU197*0.13333333</f>
        <v>131.51999671199999</v>
      </c>
      <c r="BW197">
        <v>713.8</v>
      </c>
      <c r="BX197">
        <f t="shared" ref="BX197:BX235" si="54">BW197*0.13333333</f>
        <v>95.173330953999994</v>
      </c>
    </row>
    <row r="198" spans="1:76" x14ac:dyDescent="0.35">
      <c r="A198">
        <v>194</v>
      </c>
      <c r="D198">
        <v>255.3</v>
      </c>
      <c r="E198">
        <v>282.2</v>
      </c>
      <c r="I198">
        <v>194</v>
      </c>
      <c r="J198">
        <v>241.1</v>
      </c>
      <c r="K198">
        <v>3.1</v>
      </c>
      <c r="L198">
        <v>30.4</v>
      </c>
      <c r="M198">
        <v>959</v>
      </c>
      <c r="N198">
        <v>695.1</v>
      </c>
      <c r="AM198">
        <v>193</v>
      </c>
      <c r="AR198">
        <v>238.2</v>
      </c>
      <c r="AS198">
        <f t="shared" ref="AS198:AS233" si="55" xml:space="preserve"> AR198*0.13333333</f>
        <v>31.759999206</v>
      </c>
      <c r="AT198">
        <v>256.8</v>
      </c>
      <c r="AU198">
        <f t="shared" ref="AU198:AU233" si="56">AT198*0.133333333</f>
        <v>34.239999914400002</v>
      </c>
      <c r="BN198">
        <v>194</v>
      </c>
      <c r="BO198">
        <v>241.1</v>
      </c>
      <c r="BP198">
        <f t="shared" si="50"/>
        <v>32.146665863000003</v>
      </c>
      <c r="BQ198">
        <v>3.1</v>
      </c>
      <c r="BR198">
        <f t="shared" si="51"/>
        <v>0.41333332300000003</v>
      </c>
      <c r="BS198">
        <v>30.4</v>
      </c>
      <c r="BT198">
        <f t="shared" si="52"/>
        <v>4.053333232</v>
      </c>
      <c r="BU198">
        <v>959</v>
      </c>
      <c r="BV198">
        <f t="shared" si="53"/>
        <v>127.86666347000001</v>
      </c>
      <c r="BW198">
        <v>695.1</v>
      </c>
      <c r="BX198">
        <f t="shared" si="54"/>
        <v>92.679997682999996</v>
      </c>
    </row>
    <row r="199" spans="1:76" x14ac:dyDescent="0.35">
      <c r="A199">
        <v>195</v>
      </c>
      <c r="D199">
        <v>270.3</v>
      </c>
      <c r="E199">
        <v>305.89999999999998</v>
      </c>
      <c r="I199">
        <v>195</v>
      </c>
      <c r="J199">
        <v>213.9</v>
      </c>
      <c r="K199">
        <v>45.5</v>
      </c>
      <c r="L199">
        <v>5.5</v>
      </c>
      <c r="M199">
        <v>933.6</v>
      </c>
      <c r="N199">
        <v>674.9</v>
      </c>
      <c r="AM199">
        <v>194</v>
      </c>
      <c r="AR199">
        <v>255.3</v>
      </c>
      <c r="AS199">
        <f t="shared" si="55"/>
        <v>34.039999149000003</v>
      </c>
      <c r="AT199">
        <v>282.2</v>
      </c>
      <c r="AU199">
        <f t="shared" si="56"/>
        <v>37.626666572600001</v>
      </c>
      <c r="BN199">
        <v>195</v>
      </c>
      <c r="BO199">
        <v>213.9</v>
      </c>
      <c r="BP199">
        <f t="shared" si="50"/>
        <v>28.519999287000001</v>
      </c>
      <c r="BQ199">
        <v>45.5</v>
      </c>
      <c r="BR199">
        <f t="shared" si="51"/>
        <v>6.0666665149999996</v>
      </c>
      <c r="BS199">
        <v>5.5</v>
      </c>
      <c r="BT199">
        <f t="shared" si="52"/>
        <v>0.73333331499999999</v>
      </c>
      <c r="BU199">
        <v>933.6</v>
      </c>
      <c r="BV199">
        <f t="shared" si="53"/>
        <v>124.479996888</v>
      </c>
      <c r="BW199">
        <v>674.9</v>
      </c>
      <c r="BX199">
        <f t="shared" si="54"/>
        <v>89.986664417</v>
      </c>
    </row>
    <row r="200" spans="1:76" x14ac:dyDescent="0.35">
      <c r="A200">
        <v>196</v>
      </c>
      <c r="D200">
        <v>283.5</v>
      </c>
      <c r="E200">
        <v>328.3</v>
      </c>
      <c r="I200">
        <v>196</v>
      </c>
      <c r="J200">
        <v>188.8</v>
      </c>
      <c r="K200">
        <v>78.900000000000006</v>
      </c>
      <c r="L200">
        <v>-18.2</v>
      </c>
      <c r="M200">
        <v>909.3</v>
      </c>
      <c r="N200">
        <v>653.1</v>
      </c>
      <c r="AM200">
        <v>195</v>
      </c>
      <c r="AR200">
        <v>270.3</v>
      </c>
      <c r="AS200">
        <f t="shared" si="55"/>
        <v>36.039999098999999</v>
      </c>
      <c r="AT200">
        <v>305.89999999999998</v>
      </c>
      <c r="AU200">
        <f t="shared" si="56"/>
        <v>40.786666564699999</v>
      </c>
      <c r="BN200">
        <v>196</v>
      </c>
      <c r="BO200">
        <v>188.8</v>
      </c>
      <c r="BP200">
        <f t="shared" si="50"/>
        <v>25.173332704</v>
      </c>
      <c r="BQ200">
        <v>78.900000000000006</v>
      </c>
      <c r="BR200">
        <f t="shared" si="51"/>
        <v>10.519999737000001</v>
      </c>
      <c r="BS200">
        <v>-18.2</v>
      </c>
      <c r="BT200">
        <f t="shared" si="52"/>
        <v>-2.4266666059999999</v>
      </c>
      <c r="BU200">
        <v>909.3</v>
      </c>
      <c r="BV200">
        <f t="shared" si="53"/>
        <v>121.23999696899999</v>
      </c>
      <c r="BW200">
        <v>653.1</v>
      </c>
      <c r="BX200">
        <f t="shared" si="54"/>
        <v>87.079997822999999</v>
      </c>
    </row>
    <row r="201" spans="1:76" x14ac:dyDescent="0.35">
      <c r="A201">
        <v>197</v>
      </c>
      <c r="D201">
        <v>295.60000000000002</v>
      </c>
      <c r="E201">
        <v>349.5</v>
      </c>
      <c r="I201">
        <v>197</v>
      </c>
      <c r="J201">
        <v>165.8</v>
      </c>
      <c r="K201">
        <v>105.7</v>
      </c>
      <c r="L201">
        <v>-41.2</v>
      </c>
      <c r="M201">
        <v>885.7</v>
      </c>
      <c r="N201">
        <v>630</v>
      </c>
      <c r="AM201">
        <v>196</v>
      </c>
      <c r="AR201">
        <v>283.5</v>
      </c>
      <c r="AS201">
        <f t="shared" si="55"/>
        <v>37.799999055000001</v>
      </c>
      <c r="AT201">
        <v>328.3</v>
      </c>
      <c r="AU201">
        <f t="shared" si="56"/>
        <v>43.773333223900003</v>
      </c>
      <c r="BN201">
        <v>197</v>
      </c>
      <c r="BO201">
        <v>165.8</v>
      </c>
      <c r="BP201">
        <f t="shared" si="50"/>
        <v>22.106666114000003</v>
      </c>
      <c r="BQ201">
        <v>105.7</v>
      </c>
      <c r="BR201">
        <f t="shared" si="51"/>
        <v>14.093332981</v>
      </c>
      <c r="BS201">
        <v>-41.2</v>
      </c>
      <c r="BT201">
        <f t="shared" si="52"/>
        <v>-5.493333196</v>
      </c>
      <c r="BU201">
        <v>885.7</v>
      </c>
      <c r="BV201">
        <f t="shared" si="53"/>
        <v>118.093330381</v>
      </c>
      <c r="BW201">
        <v>630</v>
      </c>
      <c r="BX201">
        <f t="shared" si="54"/>
        <v>83.999997899999997</v>
      </c>
    </row>
    <row r="202" spans="1:76" x14ac:dyDescent="0.35">
      <c r="A202">
        <v>198</v>
      </c>
      <c r="D202">
        <v>303.3</v>
      </c>
      <c r="E202">
        <v>369.3</v>
      </c>
      <c r="I202">
        <v>198</v>
      </c>
      <c r="J202">
        <v>144.69999999999999</v>
      </c>
      <c r="K202">
        <v>127.8</v>
      </c>
      <c r="L202">
        <v>-63.9</v>
      </c>
      <c r="M202">
        <v>862.9</v>
      </c>
      <c r="N202">
        <v>605.20000000000005</v>
      </c>
      <c r="AM202">
        <v>197</v>
      </c>
      <c r="AR202">
        <v>295.60000000000002</v>
      </c>
      <c r="AS202">
        <f t="shared" si="55"/>
        <v>39.413332348000004</v>
      </c>
      <c r="AT202">
        <v>349.5</v>
      </c>
      <c r="AU202">
        <f t="shared" si="56"/>
        <v>46.599999883499997</v>
      </c>
      <c r="BN202">
        <v>198</v>
      </c>
      <c r="BO202">
        <v>144.69999999999999</v>
      </c>
      <c r="BP202">
        <f t="shared" si="50"/>
        <v>19.293332850999999</v>
      </c>
      <c r="BQ202">
        <v>127.8</v>
      </c>
      <c r="BR202">
        <f t="shared" si="51"/>
        <v>17.039999573999999</v>
      </c>
      <c r="BS202">
        <v>-63.9</v>
      </c>
      <c r="BT202">
        <f t="shared" si="52"/>
        <v>-8.5199997869999997</v>
      </c>
      <c r="BU202">
        <v>862.9</v>
      </c>
      <c r="BV202">
        <f t="shared" si="53"/>
        <v>115.053330457</v>
      </c>
      <c r="BW202">
        <v>605.20000000000005</v>
      </c>
      <c r="BX202">
        <f t="shared" si="54"/>
        <v>80.693331316000013</v>
      </c>
    </row>
    <row r="203" spans="1:76" x14ac:dyDescent="0.35">
      <c r="A203">
        <v>199</v>
      </c>
      <c r="D203">
        <v>282.5</v>
      </c>
      <c r="E203">
        <v>367.4</v>
      </c>
      <c r="I203">
        <v>199</v>
      </c>
      <c r="J203">
        <v>125.5</v>
      </c>
      <c r="K203">
        <v>146</v>
      </c>
      <c r="L203">
        <v>-86.8</v>
      </c>
      <c r="M203">
        <v>840.8</v>
      </c>
      <c r="N203">
        <v>578.5</v>
      </c>
      <c r="AM203">
        <v>198</v>
      </c>
      <c r="AR203">
        <v>303.3</v>
      </c>
      <c r="AS203">
        <f t="shared" si="55"/>
        <v>40.439998989000003</v>
      </c>
      <c r="AT203">
        <v>369.3</v>
      </c>
      <c r="AU203">
        <f t="shared" si="56"/>
        <v>49.239999876900001</v>
      </c>
      <c r="BN203">
        <v>199</v>
      </c>
      <c r="BO203">
        <v>125.5</v>
      </c>
      <c r="BP203">
        <f t="shared" si="50"/>
        <v>16.733332914999998</v>
      </c>
      <c r="BQ203">
        <v>146</v>
      </c>
      <c r="BR203">
        <f t="shared" si="51"/>
        <v>19.466666180000001</v>
      </c>
      <c r="BS203">
        <v>-86.8</v>
      </c>
      <c r="BT203">
        <f t="shared" si="52"/>
        <v>-11.573333044</v>
      </c>
      <c r="BU203">
        <v>840.8</v>
      </c>
      <c r="BV203">
        <f t="shared" si="53"/>
        <v>112.106663864</v>
      </c>
      <c r="BW203">
        <v>578.5</v>
      </c>
      <c r="BX203">
        <f t="shared" si="54"/>
        <v>77.133331405000007</v>
      </c>
    </row>
    <row r="204" spans="1:76" x14ac:dyDescent="0.35">
      <c r="A204">
        <v>200</v>
      </c>
      <c r="D204">
        <v>237.3</v>
      </c>
      <c r="E204">
        <v>318.10000000000002</v>
      </c>
      <c r="I204">
        <v>200</v>
      </c>
      <c r="K204">
        <v>161.4</v>
      </c>
      <c r="M204">
        <v>819.1</v>
      </c>
      <c r="N204">
        <v>549.9</v>
      </c>
      <c r="AM204">
        <v>199</v>
      </c>
      <c r="AR204">
        <v>282.5</v>
      </c>
      <c r="AS204">
        <f t="shared" si="55"/>
        <v>37.666665725000001</v>
      </c>
      <c r="AT204">
        <v>367.4</v>
      </c>
      <c r="AU204">
        <f t="shared" si="56"/>
        <v>48.986666544199998</v>
      </c>
      <c r="BN204">
        <v>200</v>
      </c>
      <c r="BQ204">
        <v>161.4</v>
      </c>
      <c r="BR204">
        <f t="shared" si="51"/>
        <v>21.519999462000001</v>
      </c>
      <c r="BU204">
        <v>819.1</v>
      </c>
      <c r="BV204">
        <f t="shared" si="53"/>
        <v>109.213330603</v>
      </c>
      <c r="BW204">
        <v>549.9</v>
      </c>
      <c r="BX204">
        <f t="shared" si="54"/>
        <v>73.319998166999994</v>
      </c>
    </row>
    <row r="205" spans="1:76" x14ac:dyDescent="0.35">
      <c r="A205">
        <v>201</v>
      </c>
      <c r="D205">
        <v>196.4</v>
      </c>
      <c r="E205">
        <v>264.7</v>
      </c>
      <c r="I205">
        <v>201</v>
      </c>
      <c r="K205">
        <v>174.5</v>
      </c>
      <c r="M205">
        <v>798.4</v>
      </c>
      <c r="N205">
        <v>519.6</v>
      </c>
      <c r="AM205">
        <v>200</v>
      </c>
      <c r="AR205">
        <v>237.3</v>
      </c>
      <c r="AS205">
        <f t="shared" si="55"/>
        <v>31.639999209000003</v>
      </c>
      <c r="AT205">
        <v>318.10000000000002</v>
      </c>
      <c r="AU205">
        <f t="shared" si="56"/>
        <v>42.413333227300001</v>
      </c>
      <c r="BN205">
        <v>201</v>
      </c>
      <c r="BQ205">
        <v>174.5</v>
      </c>
      <c r="BR205">
        <f t="shared" si="51"/>
        <v>23.266666085000001</v>
      </c>
      <c r="BU205">
        <v>798.4</v>
      </c>
      <c r="BV205">
        <f t="shared" si="53"/>
        <v>106.45333067199999</v>
      </c>
      <c r="BW205">
        <v>519.6</v>
      </c>
      <c r="BX205">
        <f t="shared" si="54"/>
        <v>69.279998268</v>
      </c>
    </row>
    <row r="206" spans="1:76" x14ac:dyDescent="0.35">
      <c r="A206">
        <v>202</v>
      </c>
      <c r="D206">
        <v>159.9</v>
      </c>
      <c r="E206">
        <v>219.8</v>
      </c>
      <c r="I206">
        <v>202</v>
      </c>
      <c r="K206">
        <v>185.8</v>
      </c>
      <c r="M206">
        <v>778.5</v>
      </c>
      <c r="N206">
        <v>488.1</v>
      </c>
      <c r="AM206">
        <v>201</v>
      </c>
      <c r="AR206">
        <v>196.4</v>
      </c>
      <c r="AS206">
        <f t="shared" si="55"/>
        <v>26.186666012</v>
      </c>
      <c r="AT206">
        <v>264.7</v>
      </c>
      <c r="AU206">
        <f t="shared" si="56"/>
        <v>35.293333245100001</v>
      </c>
      <c r="BN206">
        <v>202</v>
      </c>
      <c r="BQ206">
        <v>185.8</v>
      </c>
      <c r="BR206">
        <f t="shared" si="51"/>
        <v>24.773332714000002</v>
      </c>
      <c r="BU206">
        <v>778.5</v>
      </c>
      <c r="BV206">
        <f t="shared" si="53"/>
        <v>103.799997405</v>
      </c>
      <c r="BW206">
        <v>488.1</v>
      </c>
      <c r="BX206">
        <f t="shared" si="54"/>
        <v>65.079998373000009</v>
      </c>
    </row>
    <row r="207" spans="1:76" x14ac:dyDescent="0.35">
      <c r="A207">
        <v>203</v>
      </c>
      <c r="D207">
        <v>125.7</v>
      </c>
      <c r="E207">
        <v>180</v>
      </c>
      <c r="I207">
        <v>203</v>
      </c>
      <c r="K207">
        <v>190.7</v>
      </c>
      <c r="M207">
        <v>757.7</v>
      </c>
      <c r="N207">
        <v>456</v>
      </c>
      <c r="AM207">
        <v>202</v>
      </c>
      <c r="AR207">
        <v>159.9</v>
      </c>
      <c r="AS207">
        <f t="shared" si="55"/>
        <v>21.319999467000002</v>
      </c>
      <c r="AT207">
        <v>219.8</v>
      </c>
      <c r="AU207">
        <f t="shared" si="56"/>
        <v>29.306666593400003</v>
      </c>
      <c r="BN207">
        <v>203</v>
      </c>
      <c r="BQ207">
        <v>190.7</v>
      </c>
      <c r="BR207">
        <f t="shared" si="51"/>
        <v>25.426666031</v>
      </c>
      <c r="BU207">
        <v>757.7</v>
      </c>
      <c r="BV207">
        <f t="shared" si="53"/>
        <v>101.02666414100001</v>
      </c>
      <c r="BW207">
        <v>456</v>
      </c>
      <c r="BX207">
        <f t="shared" si="54"/>
        <v>60.799998479999999</v>
      </c>
    </row>
    <row r="208" spans="1:76" x14ac:dyDescent="0.35">
      <c r="A208">
        <v>204</v>
      </c>
      <c r="D208">
        <v>91.5</v>
      </c>
      <c r="E208">
        <v>143.6</v>
      </c>
      <c r="I208">
        <v>204</v>
      </c>
      <c r="K208">
        <v>167.8</v>
      </c>
      <c r="M208">
        <v>736</v>
      </c>
      <c r="N208">
        <v>423.8</v>
      </c>
      <c r="AM208">
        <v>203</v>
      </c>
      <c r="AR208">
        <v>125.7</v>
      </c>
      <c r="AS208">
        <f t="shared" si="55"/>
        <v>16.759999580999999</v>
      </c>
      <c r="AT208">
        <v>180</v>
      </c>
      <c r="AU208">
        <f t="shared" si="56"/>
        <v>23.999999939999999</v>
      </c>
      <c r="BN208">
        <v>204</v>
      </c>
      <c r="BQ208">
        <v>167.8</v>
      </c>
      <c r="BR208">
        <f t="shared" si="51"/>
        <v>22.373332774000001</v>
      </c>
      <c r="BU208">
        <v>736</v>
      </c>
      <c r="BV208">
        <f t="shared" si="53"/>
        <v>98.133330880000003</v>
      </c>
      <c r="BW208">
        <v>423.8</v>
      </c>
      <c r="BX208">
        <f t="shared" si="54"/>
        <v>56.506665254000005</v>
      </c>
    </row>
    <row r="209" spans="1:76" x14ac:dyDescent="0.35">
      <c r="A209">
        <v>205</v>
      </c>
      <c r="D209">
        <v>55.1</v>
      </c>
      <c r="E209">
        <v>109.3</v>
      </c>
      <c r="I209">
        <v>205</v>
      </c>
      <c r="K209">
        <v>130.80000000000001</v>
      </c>
      <c r="M209">
        <v>713.4</v>
      </c>
      <c r="N209">
        <v>391.9</v>
      </c>
      <c r="AM209">
        <v>204</v>
      </c>
      <c r="AR209">
        <v>91.5</v>
      </c>
      <c r="AS209">
        <f t="shared" si="55"/>
        <v>12.199999695000001</v>
      </c>
      <c r="AT209">
        <v>143.6</v>
      </c>
      <c r="AU209">
        <f t="shared" si="56"/>
        <v>19.146666618799998</v>
      </c>
      <c r="BN209">
        <v>205</v>
      </c>
      <c r="BQ209">
        <v>130.80000000000001</v>
      </c>
      <c r="BR209">
        <f t="shared" si="51"/>
        <v>17.439999564000001</v>
      </c>
      <c r="BU209">
        <v>713.4</v>
      </c>
      <c r="BV209">
        <f t="shared" si="53"/>
        <v>95.119997622</v>
      </c>
      <c r="BW209">
        <v>391.9</v>
      </c>
      <c r="BX209">
        <f t="shared" si="54"/>
        <v>52.253332026999999</v>
      </c>
    </row>
    <row r="210" spans="1:76" x14ac:dyDescent="0.35">
      <c r="A210">
        <v>206</v>
      </c>
      <c r="D210">
        <v>15.5</v>
      </c>
      <c r="E210">
        <v>76.2</v>
      </c>
      <c r="I210">
        <v>206</v>
      </c>
      <c r="K210">
        <v>95.6</v>
      </c>
      <c r="M210">
        <v>689.4</v>
      </c>
      <c r="N210">
        <v>360.9</v>
      </c>
      <c r="AM210">
        <v>205</v>
      </c>
      <c r="AR210">
        <v>55.1</v>
      </c>
      <c r="AS210">
        <f t="shared" si="55"/>
        <v>7.3466664829999999</v>
      </c>
      <c r="AT210">
        <v>109.3</v>
      </c>
      <c r="AU210">
        <f t="shared" si="56"/>
        <v>14.5733332969</v>
      </c>
      <c r="BN210">
        <v>206</v>
      </c>
      <c r="BQ210">
        <v>95.6</v>
      </c>
      <c r="BR210">
        <f t="shared" si="51"/>
        <v>12.746666348</v>
      </c>
      <c r="BU210">
        <v>689.4</v>
      </c>
      <c r="BV210">
        <f t="shared" si="53"/>
        <v>91.919997702000003</v>
      </c>
      <c r="BW210">
        <v>360.9</v>
      </c>
      <c r="BX210">
        <f t="shared" si="54"/>
        <v>48.119998796999994</v>
      </c>
    </row>
    <row r="211" spans="1:76" x14ac:dyDescent="0.35">
      <c r="A211">
        <v>207</v>
      </c>
      <c r="D211">
        <v>-26.6</v>
      </c>
      <c r="E211">
        <v>43.2</v>
      </c>
      <c r="I211">
        <v>207</v>
      </c>
      <c r="K211">
        <v>60.5</v>
      </c>
      <c r="M211">
        <v>663.6</v>
      </c>
      <c r="N211">
        <v>331.2</v>
      </c>
      <c r="AM211">
        <v>206</v>
      </c>
      <c r="AR211">
        <v>15.5</v>
      </c>
      <c r="AS211">
        <f t="shared" si="55"/>
        <v>2.0666666149999999</v>
      </c>
      <c r="AT211">
        <v>76.2</v>
      </c>
      <c r="AU211">
        <f t="shared" si="56"/>
        <v>10.1599999746</v>
      </c>
      <c r="BN211">
        <v>207</v>
      </c>
      <c r="BQ211">
        <v>60.5</v>
      </c>
      <c r="BR211">
        <f t="shared" si="51"/>
        <v>8.0666664650000008</v>
      </c>
      <c r="BU211">
        <v>663.6</v>
      </c>
      <c r="BV211">
        <f t="shared" si="53"/>
        <v>88.479997788000006</v>
      </c>
      <c r="BW211">
        <v>331.2</v>
      </c>
      <c r="BX211">
        <f t="shared" si="54"/>
        <v>44.159998895999998</v>
      </c>
    </row>
    <row r="212" spans="1:76" x14ac:dyDescent="0.35">
      <c r="A212">
        <v>208</v>
      </c>
      <c r="D212">
        <v>-70</v>
      </c>
      <c r="E212">
        <v>10.1</v>
      </c>
      <c r="I212">
        <v>208</v>
      </c>
      <c r="K212">
        <v>25.1</v>
      </c>
      <c r="M212">
        <v>635.79999999999995</v>
      </c>
      <c r="N212">
        <v>303.10000000000002</v>
      </c>
      <c r="AM212">
        <v>207</v>
      </c>
      <c r="AR212">
        <v>-26.6</v>
      </c>
      <c r="AS212">
        <f t="shared" si="55"/>
        <v>-3.5466665780000004</v>
      </c>
      <c r="AT212">
        <v>43.2</v>
      </c>
      <c r="AU212">
        <f t="shared" si="56"/>
        <v>5.7599999856000004</v>
      </c>
      <c r="BN212">
        <v>208</v>
      </c>
      <c r="BQ212">
        <v>25.1</v>
      </c>
      <c r="BR212">
        <f t="shared" si="51"/>
        <v>3.3466665830000002</v>
      </c>
      <c r="BU212">
        <v>635.79999999999995</v>
      </c>
      <c r="BV212">
        <f t="shared" si="53"/>
        <v>84.773331213999995</v>
      </c>
      <c r="BW212">
        <v>303.10000000000002</v>
      </c>
      <c r="BX212">
        <f t="shared" si="54"/>
        <v>40.413332323000006</v>
      </c>
    </row>
    <row r="213" spans="1:76" x14ac:dyDescent="0.35">
      <c r="A213">
        <v>209</v>
      </c>
      <c r="D213">
        <v>-113.5</v>
      </c>
      <c r="E213">
        <v>-23.6</v>
      </c>
      <c r="I213">
        <v>209</v>
      </c>
      <c r="K213">
        <v>-10.8</v>
      </c>
      <c r="M213">
        <v>606</v>
      </c>
      <c r="N213">
        <v>276.89999999999998</v>
      </c>
      <c r="AM213">
        <v>208</v>
      </c>
      <c r="AR213">
        <v>-70</v>
      </c>
      <c r="AS213">
        <f t="shared" si="55"/>
        <v>-9.3333331000000008</v>
      </c>
      <c r="AT213">
        <v>10.1</v>
      </c>
      <c r="AU213">
        <f t="shared" si="56"/>
        <v>1.3466666633</v>
      </c>
      <c r="BN213">
        <v>209</v>
      </c>
      <c r="BQ213">
        <v>-10.8</v>
      </c>
      <c r="BR213">
        <f t="shared" si="51"/>
        <v>-1.4399999640000001</v>
      </c>
      <c r="BU213">
        <v>606</v>
      </c>
      <c r="BV213">
        <f t="shared" si="53"/>
        <v>80.799997980000001</v>
      </c>
      <c r="BW213">
        <v>276.89999999999998</v>
      </c>
      <c r="BX213">
        <f t="shared" si="54"/>
        <v>36.919999077</v>
      </c>
    </row>
    <row r="214" spans="1:76" x14ac:dyDescent="0.35">
      <c r="A214">
        <v>210</v>
      </c>
      <c r="D214">
        <v>-141.80000000000001</v>
      </c>
      <c r="E214">
        <v>-56.6</v>
      </c>
      <c r="I214">
        <v>210</v>
      </c>
      <c r="K214">
        <v>-47.2</v>
      </c>
      <c r="M214">
        <v>574.4</v>
      </c>
      <c r="N214">
        <v>253</v>
      </c>
      <c r="AM214">
        <v>209</v>
      </c>
      <c r="AR214">
        <v>-113.5</v>
      </c>
      <c r="AS214">
        <f t="shared" si="55"/>
        <v>-15.133332955</v>
      </c>
      <c r="AT214">
        <v>-23.6</v>
      </c>
      <c r="AU214">
        <f t="shared" si="56"/>
        <v>-3.1466666588000001</v>
      </c>
      <c r="BN214">
        <v>210</v>
      </c>
      <c r="BQ214">
        <v>-47.2</v>
      </c>
      <c r="BR214">
        <f t="shared" si="51"/>
        <v>-6.293333176</v>
      </c>
      <c r="BU214">
        <v>574.4</v>
      </c>
      <c r="BV214">
        <f t="shared" si="53"/>
        <v>76.58666475199999</v>
      </c>
      <c r="BW214">
        <v>253</v>
      </c>
      <c r="BX214">
        <f t="shared" si="54"/>
        <v>33.733332490000002</v>
      </c>
    </row>
    <row r="215" spans="1:76" x14ac:dyDescent="0.35">
      <c r="A215">
        <v>211</v>
      </c>
      <c r="D215">
        <v>-88.4</v>
      </c>
      <c r="E215">
        <v>-56.6</v>
      </c>
      <c r="I215">
        <v>211</v>
      </c>
      <c r="K215">
        <v>-83.6</v>
      </c>
      <c r="M215">
        <v>541.1</v>
      </c>
      <c r="N215">
        <v>230.4</v>
      </c>
      <c r="AM215">
        <v>210</v>
      </c>
      <c r="AR215">
        <v>-141.80000000000001</v>
      </c>
      <c r="AS215">
        <f t="shared" si="55"/>
        <v>-18.906666194000003</v>
      </c>
      <c r="AT215">
        <v>-56.6</v>
      </c>
      <c r="AU215">
        <f t="shared" si="56"/>
        <v>-7.5466666478000004</v>
      </c>
      <c r="BN215">
        <v>211</v>
      </c>
      <c r="BQ215">
        <v>-83.6</v>
      </c>
      <c r="BR215">
        <f t="shared" si="51"/>
        <v>-11.146666388</v>
      </c>
      <c r="BU215">
        <v>541.1</v>
      </c>
      <c r="BV215">
        <f t="shared" si="53"/>
        <v>72.146664862999998</v>
      </c>
      <c r="BW215">
        <v>230.4</v>
      </c>
      <c r="BX215">
        <f t="shared" si="54"/>
        <v>30.719999231999999</v>
      </c>
    </row>
    <row r="216" spans="1:76" x14ac:dyDescent="0.35">
      <c r="A216">
        <v>212</v>
      </c>
      <c r="D216">
        <v>21.8</v>
      </c>
      <c r="E216">
        <v>10.9</v>
      </c>
      <c r="I216">
        <v>212</v>
      </c>
      <c r="K216">
        <v>-119.8</v>
      </c>
      <c r="M216">
        <v>506.8</v>
      </c>
      <c r="N216">
        <v>210.6</v>
      </c>
      <c r="AM216">
        <v>211</v>
      </c>
      <c r="AR216">
        <v>-88.4</v>
      </c>
      <c r="AS216">
        <f t="shared" si="55"/>
        <v>-11.786666372000001</v>
      </c>
      <c r="AT216">
        <v>-56.6</v>
      </c>
      <c r="AU216">
        <f t="shared" si="56"/>
        <v>-7.5466666478000004</v>
      </c>
      <c r="BN216">
        <v>212</v>
      </c>
      <c r="BQ216">
        <v>-119.8</v>
      </c>
      <c r="BR216">
        <f t="shared" si="51"/>
        <v>-15.973332934</v>
      </c>
      <c r="BU216">
        <v>506.8</v>
      </c>
      <c r="BV216">
        <f t="shared" si="53"/>
        <v>67.573331644000007</v>
      </c>
      <c r="BW216">
        <v>210.6</v>
      </c>
      <c r="BX216">
        <f t="shared" si="54"/>
        <v>28.079999298000001</v>
      </c>
    </row>
    <row r="217" spans="1:76" x14ac:dyDescent="0.35">
      <c r="A217">
        <v>213</v>
      </c>
      <c r="D217">
        <v>103.3</v>
      </c>
      <c r="E217">
        <v>95.4</v>
      </c>
      <c r="I217">
        <v>213</v>
      </c>
      <c r="K217">
        <v>-155.4</v>
      </c>
      <c r="M217">
        <v>471.8</v>
      </c>
      <c r="N217">
        <v>194.8</v>
      </c>
      <c r="AM217">
        <v>212</v>
      </c>
      <c r="AR217">
        <v>21.8</v>
      </c>
      <c r="AS217">
        <f t="shared" si="55"/>
        <v>2.9066665940000003</v>
      </c>
      <c r="AT217">
        <v>10.9</v>
      </c>
      <c r="AU217">
        <f t="shared" si="56"/>
        <v>1.4533333297</v>
      </c>
      <c r="BN217">
        <v>213</v>
      </c>
      <c r="BQ217">
        <v>-155.4</v>
      </c>
      <c r="BR217">
        <f t="shared" si="51"/>
        <v>-20.719999482000002</v>
      </c>
      <c r="BU217">
        <v>471.8</v>
      </c>
      <c r="BV217">
        <f t="shared" si="53"/>
        <v>62.906665094000005</v>
      </c>
      <c r="BW217">
        <v>194.8</v>
      </c>
      <c r="BX217">
        <f t="shared" si="54"/>
        <v>25.973332684000003</v>
      </c>
    </row>
    <row r="218" spans="1:76" x14ac:dyDescent="0.35">
      <c r="A218">
        <v>214</v>
      </c>
      <c r="D218">
        <v>156.4</v>
      </c>
      <c r="E218">
        <v>152.19999999999999</v>
      </c>
      <c r="I218">
        <v>214</v>
      </c>
      <c r="K218">
        <v>-189.2</v>
      </c>
      <c r="M218">
        <v>436.9</v>
      </c>
      <c r="N218">
        <v>176.1</v>
      </c>
      <c r="AM218">
        <v>213</v>
      </c>
      <c r="AR218">
        <v>103.3</v>
      </c>
      <c r="AS218">
        <f t="shared" si="55"/>
        <v>13.773332989</v>
      </c>
      <c r="AT218">
        <v>95.4</v>
      </c>
      <c r="AU218">
        <f t="shared" si="56"/>
        <v>12.7199999682</v>
      </c>
      <c r="BN218">
        <v>214</v>
      </c>
      <c r="BQ218">
        <v>-189.2</v>
      </c>
      <c r="BR218">
        <f t="shared" si="51"/>
        <v>-25.226666035999997</v>
      </c>
      <c r="BU218">
        <v>436.9</v>
      </c>
      <c r="BV218">
        <f t="shared" si="53"/>
        <v>58.253331876999994</v>
      </c>
      <c r="BW218">
        <v>176.1</v>
      </c>
      <c r="BX218">
        <f t="shared" si="54"/>
        <v>23.479999412999998</v>
      </c>
    </row>
    <row r="219" spans="1:76" x14ac:dyDescent="0.35">
      <c r="A219">
        <v>215</v>
      </c>
      <c r="D219">
        <v>192.6</v>
      </c>
      <c r="E219">
        <v>192.8</v>
      </c>
      <c r="I219">
        <v>215</v>
      </c>
      <c r="K219">
        <v>-200.6</v>
      </c>
      <c r="M219">
        <v>402.5</v>
      </c>
      <c r="N219">
        <v>160.80000000000001</v>
      </c>
      <c r="AM219">
        <v>214</v>
      </c>
      <c r="AR219">
        <v>156.4</v>
      </c>
      <c r="AS219">
        <f t="shared" si="55"/>
        <v>20.853332812000001</v>
      </c>
      <c r="AT219">
        <v>152.19999999999999</v>
      </c>
      <c r="AU219">
        <f t="shared" si="56"/>
        <v>20.293333282599999</v>
      </c>
      <c r="BN219">
        <v>215</v>
      </c>
      <c r="BQ219">
        <v>-200.6</v>
      </c>
      <c r="BR219">
        <f t="shared" si="51"/>
        <v>-26.746665998000001</v>
      </c>
      <c r="BU219">
        <v>402.5</v>
      </c>
      <c r="BV219">
        <f t="shared" si="53"/>
        <v>53.666665324999997</v>
      </c>
      <c r="BW219">
        <v>160.80000000000001</v>
      </c>
      <c r="BX219">
        <f t="shared" si="54"/>
        <v>21.439999464000003</v>
      </c>
    </row>
    <row r="220" spans="1:76" x14ac:dyDescent="0.35">
      <c r="A220">
        <v>216</v>
      </c>
      <c r="D220">
        <v>219</v>
      </c>
      <c r="E220">
        <v>225.8</v>
      </c>
      <c r="I220">
        <v>216</v>
      </c>
      <c r="K220">
        <v>-145.69999999999999</v>
      </c>
      <c r="M220">
        <v>369.3</v>
      </c>
      <c r="N220">
        <v>145.19999999999999</v>
      </c>
      <c r="AM220">
        <v>215</v>
      </c>
      <c r="AR220">
        <v>192.6</v>
      </c>
      <c r="AS220">
        <f t="shared" si="55"/>
        <v>25.679999358</v>
      </c>
      <c r="AT220">
        <v>192.8</v>
      </c>
      <c r="AU220">
        <f t="shared" si="56"/>
        <v>25.706666602400002</v>
      </c>
      <c r="BN220">
        <v>216</v>
      </c>
      <c r="BQ220">
        <v>-145.69999999999999</v>
      </c>
      <c r="BR220">
        <f t="shared" si="51"/>
        <v>-19.426666180999998</v>
      </c>
      <c r="BU220">
        <v>369.3</v>
      </c>
      <c r="BV220">
        <f t="shared" si="53"/>
        <v>49.239998769000003</v>
      </c>
      <c r="BW220">
        <v>145.19999999999999</v>
      </c>
      <c r="BX220">
        <f t="shared" si="54"/>
        <v>19.359999515999998</v>
      </c>
    </row>
    <row r="221" spans="1:76" x14ac:dyDescent="0.35">
      <c r="A221">
        <v>217</v>
      </c>
      <c r="D221">
        <v>239.9</v>
      </c>
      <c r="E221">
        <v>254.7</v>
      </c>
      <c r="I221">
        <v>217</v>
      </c>
      <c r="K221">
        <v>-70.099999999999994</v>
      </c>
      <c r="M221">
        <v>337.4</v>
      </c>
      <c r="N221">
        <v>131.80000000000001</v>
      </c>
      <c r="AM221">
        <v>216</v>
      </c>
      <c r="AR221">
        <v>219</v>
      </c>
      <c r="AS221">
        <f t="shared" si="55"/>
        <v>29.199999269999999</v>
      </c>
      <c r="AT221">
        <v>225.8</v>
      </c>
      <c r="AU221">
        <f t="shared" si="56"/>
        <v>30.1066665914</v>
      </c>
      <c r="BN221">
        <v>217</v>
      </c>
      <c r="BQ221">
        <v>-70.099999999999994</v>
      </c>
      <c r="BR221">
        <f t="shared" si="51"/>
        <v>-9.3466664329999993</v>
      </c>
      <c r="BU221">
        <v>337.4</v>
      </c>
      <c r="BV221">
        <f t="shared" si="53"/>
        <v>44.986665541999997</v>
      </c>
      <c r="BW221">
        <v>131.80000000000001</v>
      </c>
      <c r="BX221">
        <f t="shared" si="54"/>
        <v>17.573332894</v>
      </c>
    </row>
    <row r="222" spans="1:76" x14ac:dyDescent="0.35">
      <c r="A222">
        <v>218</v>
      </c>
      <c r="D222">
        <v>257.10000000000002</v>
      </c>
      <c r="E222">
        <v>281</v>
      </c>
      <c r="I222">
        <v>218</v>
      </c>
      <c r="K222">
        <v>-11.2</v>
      </c>
      <c r="M222">
        <v>307.2</v>
      </c>
      <c r="N222">
        <v>118.8</v>
      </c>
      <c r="AM222">
        <v>217</v>
      </c>
      <c r="AR222">
        <v>239.9</v>
      </c>
      <c r="AS222">
        <f t="shared" si="55"/>
        <v>31.986665866999999</v>
      </c>
      <c r="AT222">
        <v>254.7</v>
      </c>
      <c r="AU222">
        <f t="shared" si="56"/>
        <v>33.959999915099999</v>
      </c>
      <c r="BN222">
        <v>218</v>
      </c>
      <c r="BQ222">
        <v>-11.2</v>
      </c>
      <c r="BR222">
        <f t="shared" si="51"/>
        <v>-1.4933332959999999</v>
      </c>
      <c r="BU222">
        <v>307.2</v>
      </c>
      <c r="BV222">
        <f t="shared" si="53"/>
        <v>40.959998976000001</v>
      </c>
      <c r="BW222">
        <v>118.8</v>
      </c>
      <c r="BX222">
        <f t="shared" si="54"/>
        <v>15.839999603999999</v>
      </c>
    </row>
    <row r="223" spans="1:76" x14ac:dyDescent="0.35">
      <c r="A223">
        <v>219</v>
      </c>
      <c r="D223">
        <v>272</v>
      </c>
      <c r="E223">
        <v>305.39999999999998</v>
      </c>
      <c r="I223">
        <v>219</v>
      </c>
      <c r="K223">
        <v>34.1</v>
      </c>
      <c r="M223">
        <v>279</v>
      </c>
      <c r="N223">
        <v>107.6</v>
      </c>
      <c r="AM223">
        <v>218</v>
      </c>
      <c r="AR223">
        <v>257.10000000000002</v>
      </c>
      <c r="AS223">
        <f t="shared" si="55"/>
        <v>34.279999143000005</v>
      </c>
      <c r="AT223">
        <v>281</v>
      </c>
      <c r="AU223">
        <f t="shared" si="56"/>
        <v>37.466666572999998</v>
      </c>
      <c r="BN223">
        <v>219</v>
      </c>
      <c r="BQ223">
        <v>34.1</v>
      </c>
      <c r="BR223">
        <f t="shared" si="51"/>
        <v>4.5466665530000006</v>
      </c>
      <c r="BU223">
        <v>279</v>
      </c>
      <c r="BV223">
        <f t="shared" si="53"/>
        <v>37.199999069999997</v>
      </c>
      <c r="BW223">
        <v>107.6</v>
      </c>
      <c r="BX223">
        <f t="shared" si="54"/>
        <v>14.346666308</v>
      </c>
    </row>
    <row r="224" spans="1:76" x14ac:dyDescent="0.35">
      <c r="A224">
        <v>220</v>
      </c>
      <c r="D224">
        <v>285.3</v>
      </c>
      <c r="E224">
        <v>328.3</v>
      </c>
      <c r="I224">
        <v>220</v>
      </c>
      <c r="K224">
        <v>69.900000000000006</v>
      </c>
      <c r="M224">
        <v>253</v>
      </c>
      <c r="N224">
        <v>96</v>
      </c>
      <c r="AM224">
        <v>219</v>
      </c>
      <c r="AR224">
        <v>272</v>
      </c>
      <c r="AS224">
        <f t="shared" si="55"/>
        <v>36.266665760000002</v>
      </c>
      <c r="AT224">
        <v>305.39999999999998</v>
      </c>
      <c r="AU224">
        <f t="shared" si="56"/>
        <v>40.719999898199994</v>
      </c>
      <c r="BN224">
        <v>220</v>
      </c>
      <c r="BQ224">
        <v>69.900000000000006</v>
      </c>
      <c r="BR224">
        <f t="shared" si="51"/>
        <v>9.3199997670000005</v>
      </c>
      <c r="BU224">
        <v>253</v>
      </c>
      <c r="BV224">
        <f t="shared" si="53"/>
        <v>33.733332490000002</v>
      </c>
      <c r="BW224">
        <v>96</v>
      </c>
      <c r="BX224">
        <f t="shared" si="54"/>
        <v>12.799999679999999</v>
      </c>
    </row>
    <row r="225" spans="1:76" x14ac:dyDescent="0.35">
      <c r="A225">
        <v>221</v>
      </c>
      <c r="D225">
        <v>297.5</v>
      </c>
      <c r="E225">
        <v>350</v>
      </c>
      <c r="I225">
        <v>221</v>
      </c>
      <c r="K225">
        <v>98.6</v>
      </c>
      <c r="M225">
        <v>229</v>
      </c>
      <c r="N225">
        <v>85.5</v>
      </c>
      <c r="AM225">
        <v>220</v>
      </c>
      <c r="AR225">
        <v>285.3</v>
      </c>
      <c r="AS225">
        <f t="shared" si="55"/>
        <v>38.039999049000002</v>
      </c>
      <c r="AT225">
        <v>328.3</v>
      </c>
      <c r="AU225">
        <f t="shared" si="56"/>
        <v>43.773333223900003</v>
      </c>
      <c r="BN225">
        <v>221</v>
      </c>
      <c r="BQ225">
        <v>98.6</v>
      </c>
      <c r="BR225">
        <f t="shared" si="51"/>
        <v>13.146666337999999</v>
      </c>
      <c r="BU225">
        <v>229</v>
      </c>
      <c r="BV225">
        <f t="shared" si="53"/>
        <v>30.533332569999999</v>
      </c>
      <c r="BW225">
        <v>85.5</v>
      </c>
      <c r="BX225">
        <f t="shared" si="54"/>
        <v>11.399999715</v>
      </c>
    </row>
    <row r="226" spans="1:76" x14ac:dyDescent="0.35">
      <c r="A226">
        <v>222</v>
      </c>
      <c r="D226">
        <v>305.5</v>
      </c>
      <c r="E226">
        <v>370.3</v>
      </c>
      <c r="I226">
        <v>222</v>
      </c>
      <c r="K226">
        <v>121.9</v>
      </c>
      <c r="M226">
        <v>207</v>
      </c>
      <c r="N226">
        <v>75.900000000000006</v>
      </c>
      <c r="AM226">
        <v>221</v>
      </c>
      <c r="AR226">
        <v>297.5</v>
      </c>
      <c r="AS226">
        <f t="shared" si="55"/>
        <v>39.666665674999997</v>
      </c>
      <c r="AT226">
        <v>350</v>
      </c>
      <c r="AU226">
        <f t="shared" si="56"/>
        <v>46.666666550000002</v>
      </c>
      <c r="BN226">
        <v>222</v>
      </c>
      <c r="BQ226">
        <v>121.9</v>
      </c>
      <c r="BR226">
        <f t="shared" si="51"/>
        <v>16.253332927000002</v>
      </c>
      <c r="BU226">
        <v>207</v>
      </c>
      <c r="BV226">
        <f t="shared" si="53"/>
        <v>27.599999310000001</v>
      </c>
      <c r="BW226">
        <v>75.900000000000006</v>
      </c>
      <c r="BX226">
        <f t="shared" si="54"/>
        <v>10.119999747000001</v>
      </c>
    </row>
    <row r="227" spans="1:76" x14ac:dyDescent="0.35">
      <c r="A227">
        <v>223</v>
      </c>
      <c r="D227">
        <v>282.2</v>
      </c>
      <c r="E227">
        <v>370.7</v>
      </c>
      <c r="I227">
        <v>223</v>
      </c>
      <c r="K227">
        <v>141.19999999999999</v>
      </c>
      <c r="M227">
        <v>187</v>
      </c>
      <c r="N227">
        <v>67.099999999999994</v>
      </c>
      <c r="AM227">
        <v>222</v>
      </c>
      <c r="AR227">
        <v>305.5</v>
      </c>
      <c r="AS227">
        <f t="shared" si="55"/>
        <v>40.733332314999998</v>
      </c>
      <c r="AT227">
        <v>370.3</v>
      </c>
      <c r="AU227">
        <f t="shared" si="56"/>
        <v>49.373333209900004</v>
      </c>
      <c r="BN227">
        <v>223</v>
      </c>
      <c r="BQ227">
        <v>141.19999999999999</v>
      </c>
      <c r="BR227">
        <f t="shared" si="51"/>
        <v>18.826666195999998</v>
      </c>
      <c r="BU227">
        <v>187</v>
      </c>
      <c r="BV227">
        <f t="shared" si="53"/>
        <v>24.933332709999998</v>
      </c>
      <c r="BW227">
        <v>67.099999999999994</v>
      </c>
      <c r="BX227">
        <f t="shared" si="54"/>
        <v>8.9466664429999998</v>
      </c>
    </row>
    <row r="228" spans="1:76" x14ac:dyDescent="0.35">
      <c r="A228">
        <v>224</v>
      </c>
      <c r="D228">
        <v>235.8</v>
      </c>
      <c r="E228">
        <v>319.8</v>
      </c>
      <c r="I228">
        <v>224</v>
      </c>
      <c r="K228">
        <v>157.4</v>
      </c>
      <c r="M228">
        <v>168.6</v>
      </c>
      <c r="N228">
        <v>59</v>
      </c>
      <c r="AM228">
        <v>223</v>
      </c>
      <c r="AR228">
        <v>282.2</v>
      </c>
      <c r="AS228">
        <f t="shared" si="55"/>
        <v>37.626665725999999</v>
      </c>
      <c r="AT228">
        <v>370.7</v>
      </c>
      <c r="AU228">
        <f t="shared" si="56"/>
        <v>49.426666543099998</v>
      </c>
      <c r="BN228">
        <v>224</v>
      </c>
      <c r="BQ228">
        <v>157.4</v>
      </c>
      <c r="BR228">
        <f t="shared" si="51"/>
        <v>20.986666142000001</v>
      </c>
      <c r="BU228">
        <v>168.6</v>
      </c>
      <c r="BV228">
        <f t="shared" si="53"/>
        <v>22.479999438</v>
      </c>
      <c r="BW228">
        <v>59</v>
      </c>
      <c r="BX228">
        <f t="shared" si="54"/>
        <v>7.8666664700000002</v>
      </c>
    </row>
    <row r="229" spans="1:76" x14ac:dyDescent="0.35">
      <c r="A229">
        <v>225</v>
      </c>
      <c r="D229">
        <v>195.1</v>
      </c>
      <c r="E229">
        <v>264.89999999999998</v>
      </c>
      <c r="I229">
        <v>225</v>
      </c>
      <c r="K229">
        <v>171.2</v>
      </c>
      <c r="M229">
        <v>151.9</v>
      </c>
      <c r="N229">
        <v>51.5</v>
      </c>
      <c r="AM229">
        <v>224</v>
      </c>
      <c r="AR229">
        <v>235.8</v>
      </c>
      <c r="AS229">
        <f t="shared" si="55"/>
        <v>31.439999214</v>
      </c>
      <c r="AT229">
        <v>319.8</v>
      </c>
      <c r="AU229">
        <f t="shared" si="56"/>
        <v>42.639999893400002</v>
      </c>
      <c r="BN229">
        <v>225</v>
      </c>
      <c r="BQ229">
        <v>171.2</v>
      </c>
      <c r="BR229">
        <f t="shared" si="51"/>
        <v>22.826666095999997</v>
      </c>
      <c r="BU229">
        <v>151.9</v>
      </c>
      <c r="BV229">
        <f t="shared" si="53"/>
        <v>20.253332827000001</v>
      </c>
      <c r="BW229">
        <v>51.5</v>
      </c>
      <c r="BX229">
        <f t="shared" si="54"/>
        <v>6.8666664949999996</v>
      </c>
    </row>
    <row r="230" spans="1:76" x14ac:dyDescent="0.35">
      <c r="A230">
        <v>226</v>
      </c>
      <c r="D230">
        <v>158.69999999999999</v>
      </c>
      <c r="E230">
        <v>220</v>
      </c>
      <c r="I230">
        <v>226</v>
      </c>
      <c r="K230">
        <v>182.7</v>
      </c>
      <c r="M230">
        <v>136.9</v>
      </c>
      <c r="N230">
        <v>44.6</v>
      </c>
      <c r="AM230">
        <v>225</v>
      </c>
      <c r="AR230">
        <v>195.1</v>
      </c>
      <c r="AS230">
        <f t="shared" si="55"/>
        <v>26.013332682999998</v>
      </c>
      <c r="AT230">
        <v>264.89999999999998</v>
      </c>
      <c r="AU230">
        <f t="shared" si="56"/>
        <v>35.319999911699995</v>
      </c>
      <c r="BN230">
        <v>226</v>
      </c>
      <c r="BQ230">
        <v>182.7</v>
      </c>
      <c r="BR230">
        <f t="shared" si="51"/>
        <v>24.359999390999999</v>
      </c>
      <c r="BU230">
        <v>136.9</v>
      </c>
      <c r="BV230">
        <f t="shared" si="53"/>
        <v>18.253332877000002</v>
      </c>
      <c r="BW230">
        <v>44.6</v>
      </c>
      <c r="BX230">
        <f t="shared" si="54"/>
        <v>5.9466665179999998</v>
      </c>
    </row>
    <row r="231" spans="1:76" x14ac:dyDescent="0.35">
      <c r="A231">
        <v>227</v>
      </c>
      <c r="D231">
        <v>124.3</v>
      </c>
      <c r="E231">
        <v>180.1</v>
      </c>
      <c r="I231">
        <v>227</v>
      </c>
      <c r="K231">
        <v>182.7</v>
      </c>
      <c r="M231">
        <v>123.2</v>
      </c>
      <c r="N231">
        <v>38.299999999999997</v>
      </c>
      <c r="AM231">
        <v>226</v>
      </c>
      <c r="AR231">
        <v>158.69999999999999</v>
      </c>
      <c r="AS231">
        <f t="shared" si="55"/>
        <v>21.159999470999999</v>
      </c>
      <c r="AT231">
        <v>220</v>
      </c>
      <c r="AU231">
        <f t="shared" si="56"/>
        <v>29.33333326</v>
      </c>
      <c r="BN231">
        <v>227</v>
      </c>
      <c r="BQ231">
        <v>182.7</v>
      </c>
      <c r="BR231">
        <f t="shared" si="51"/>
        <v>24.359999390999999</v>
      </c>
      <c r="BU231">
        <v>123.2</v>
      </c>
      <c r="BV231">
        <f t="shared" si="53"/>
        <v>16.426666256000001</v>
      </c>
      <c r="BW231">
        <v>38.299999999999997</v>
      </c>
      <c r="BX231">
        <f t="shared" si="54"/>
        <v>5.1066665389999999</v>
      </c>
    </row>
    <row r="232" spans="1:76" x14ac:dyDescent="0.35">
      <c r="A232">
        <v>228</v>
      </c>
      <c r="D232">
        <v>89.7</v>
      </c>
      <c r="E232">
        <v>143.6</v>
      </c>
      <c r="I232">
        <v>228</v>
      </c>
      <c r="K232">
        <v>155.5</v>
      </c>
      <c r="M232">
        <v>110.9</v>
      </c>
      <c r="N232">
        <v>32.5</v>
      </c>
      <c r="AM232">
        <v>227</v>
      </c>
      <c r="AR232">
        <v>124.3</v>
      </c>
      <c r="AS232">
        <f t="shared" si="55"/>
        <v>16.573332918999998</v>
      </c>
      <c r="AT232">
        <v>180.1</v>
      </c>
      <c r="AU232">
        <f t="shared" si="56"/>
        <v>24.013333273299999</v>
      </c>
      <c r="BN232">
        <v>228</v>
      </c>
      <c r="BQ232">
        <v>155.5</v>
      </c>
      <c r="BR232">
        <f t="shared" si="51"/>
        <v>20.733332815000001</v>
      </c>
      <c r="BU232">
        <v>110.9</v>
      </c>
      <c r="BV232">
        <f t="shared" si="53"/>
        <v>14.786666297</v>
      </c>
      <c r="BW232">
        <v>32.5</v>
      </c>
      <c r="BX232">
        <f t="shared" si="54"/>
        <v>4.3333332249999996</v>
      </c>
    </row>
    <row r="233" spans="1:76" x14ac:dyDescent="0.35">
      <c r="I233">
        <v>229</v>
      </c>
      <c r="K233">
        <v>119.6</v>
      </c>
      <c r="N233">
        <v>27.2</v>
      </c>
      <c r="AM233">
        <v>228</v>
      </c>
      <c r="AR233">
        <v>89.7</v>
      </c>
      <c r="AS233">
        <f t="shared" si="55"/>
        <v>11.959999701000001</v>
      </c>
      <c r="AT233">
        <v>143.6</v>
      </c>
      <c r="AU233">
        <f t="shared" si="56"/>
        <v>19.146666618799998</v>
      </c>
      <c r="BN233">
        <v>229</v>
      </c>
      <c r="BQ233">
        <v>119.6</v>
      </c>
      <c r="BR233">
        <f t="shared" si="51"/>
        <v>15.946666268</v>
      </c>
      <c r="BW233">
        <v>27.2</v>
      </c>
      <c r="BX233">
        <f t="shared" si="54"/>
        <v>3.6266665759999999</v>
      </c>
    </row>
    <row r="234" spans="1:76" x14ac:dyDescent="0.35">
      <c r="I234">
        <v>230</v>
      </c>
      <c r="K234">
        <v>84.2</v>
      </c>
      <c r="N234">
        <v>22.2</v>
      </c>
      <c r="BN234">
        <v>230</v>
      </c>
      <c r="BQ234">
        <v>84.2</v>
      </c>
      <c r="BR234">
        <f t="shared" si="51"/>
        <v>11.226666386</v>
      </c>
      <c r="BW234">
        <v>22.2</v>
      </c>
      <c r="BX234">
        <f t="shared" si="54"/>
        <v>2.9599999260000001</v>
      </c>
    </row>
    <row r="235" spans="1:76" x14ac:dyDescent="0.35">
      <c r="I235">
        <v>231</v>
      </c>
      <c r="K235">
        <v>48.8</v>
      </c>
      <c r="N235">
        <v>15.8</v>
      </c>
      <c r="BN235">
        <v>231</v>
      </c>
      <c r="BQ235">
        <v>48.8</v>
      </c>
      <c r="BR235">
        <f t="shared" si="51"/>
        <v>6.506666504</v>
      </c>
      <c r="BW235">
        <v>15.8</v>
      </c>
      <c r="BX235">
        <f t="shared" si="54"/>
        <v>2.1066666139999999</v>
      </c>
    </row>
    <row r="236" spans="1:76" x14ac:dyDescent="0.35">
      <c r="I236">
        <v>232</v>
      </c>
      <c r="K236">
        <v>13.1</v>
      </c>
      <c r="BN236">
        <v>232</v>
      </c>
      <c r="BQ236">
        <v>13.1</v>
      </c>
      <c r="BR236">
        <f t="shared" si="51"/>
        <v>1.7466666229999999</v>
      </c>
    </row>
    <row r="237" spans="1:76" x14ac:dyDescent="0.35">
      <c r="I237">
        <v>233</v>
      </c>
      <c r="K237">
        <v>-23.2</v>
      </c>
      <c r="BN237">
        <v>233</v>
      </c>
      <c r="BQ237">
        <v>-23.2</v>
      </c>
      <c r="BR237">
        <f t="shared" si="51"/>
        <v>-3.0933332559999998</v>
      </c>
    </row>
    <row r="238" spans="1:76" x14ac:dyDescent="0.35">
      <c r="I238">
        <v>234</v>
      </c>
      <c r="K238">
        <v>-59.7</v>
      </c>
      <c r="BN238">
        <v>234</v>
      </c>
      <c r="BQ238">
        <v>-59.7</v>
      </c>
      <c r="BR238">
        <f t="shared" si="51"/>
        <v>-7.9599998010000004</v>
      </c>
    </row>
    <row r="239" spans="1:76" x14ac:dyDescent="0.35">
      <c r="I239">
        <v>235</v>
      </c>
      <c r="K239">
        <v>-96.1</v>
      </c>
      <c r="BN239">
        <v>235</v>
      </c>
      <c r="BQ239">
        <v>-96.1</v>
      </c>
      <c r="BR239">
        <f t="shared" si="51"/>
        <v>-12.813333012999999</v>
      </c>
    </row>
    <row r="240" spans="1:76" x14ac:dyDescent="0.35">
      <c r="I240">
        <v>236</v>
      </c>
      <c r="K240">
        <v>-132.19999999999999</v>
      </c>
      <c r="BN240">
        <v>236</v>
      </c>
      <c r="BQ240">
        <v>-132.19999999999999</v>
      </c>
      <c r="BR240">
        <f t="shared" si="51"/>
        <v>-17.626666225999998</v>
      </c>
    </row>
    <row r="241" spans="9:70" x14ac:dyDescent="0.35">
      <c r="I241">
        <v>237</v>
      </c>
      <c r="K241">
        <v>-167.6</v>
      </c>
      <c r="BN241">
        <v>237</v>
      </c>
      <c r="BQ241">
        <v>-167.6</v>
      </c>
      <c r="BR241">
        <f t="shared" si="51"/>
        <v>-22.346666108000001</v>
      </c>
    </row>
    <row r="242" spans="9:70" x14ac:dyDescent="0.35">
      <c r="I242">
        <v>238</v>
      </c>
      <c r="K242">
        <v>-200.2</v>
      </c>
      <c r="BN242">
        <v>238</v>
      </c>
      <c r="BQ242">
        <v>-200.2</v>
      </c>
      <c r="BR242">
        <f t="shared" si="51"/>
        <v>-26.693332666</v>
      </c>
    </row>
    <row r="243" spans="9:70" x14ac:dyDescent="0.35">
      <c r="I243">
        <v>239</v>
      </c>
      <c r="K243">
        <v>-197.2</v>
      </c>
      <c r="BN243">
        <v>239</v>
      </c>
      <c r="BQ243">
        <v>-197.2</v>
      </c>
      <c r="BR243">
        <f t="shared" si="51"/>
        <v>-26.293332675999999</v>
      </c>
    </row>
    <row r="244" spans="9:70" x14ac:dyDescent="0.35">
      <c r="I244">
        <v>240</v>
      </c>
      <c r="K244">
        <v>-129.69999999999999</v>
      </c>
      <c r="BN244">
        <v>240</v>
      </c>
      <c r="BQ244">
        <v>-129.69999999999999</v>
      </c>
      <c r="BR244">
        <f t="shared" si="51"/>
        <v>-17.293332900999999</v>
      </c>
    </row>
    <row r="245" spans="9:70" x14ac:dyDescent="0.35">
      <c r="I245">
        <v>241</v>
      </c>
      <c r="K245">
        <v>-58.5</v>
      </c>
      <c r="BN245">
        <v>241</v>
      </c>
      <c r="BQ245">
        <v>-58.5</v>
      </c>
      <c r="BR245">
        <f t="shared" si="51"/>
        <v>-7.7999998049999997</v>
      </c>
    </row>
    <row r="246" spans="9:70" x14ac:dyDescent="0.35">
      <c r="I246">
        <v>242</v>
      </c>
      <c r="K246">
        <v>-3.6</v>
      </c>
      <c r="BN246">
        <v>242</v>
      </c>
      <c r="BQ246">
        <v>-3.6</v>
      </c>
      <c r="BR246">
        <f t="shared" si="51"/>
        <v>-0.47999998799999999</v>
      </c>
    </row>
  </sheetData>
  <conditionalFormatting sqref="AN1:AN146 AN148:AN104857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:AP146 AP148:AP1048576 AQ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:AR146 AR148:AR1048576 AS3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:AT146 AT148:AT104857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:AV146 AV148:AV104857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:AX146 AX148:AX1048576 AY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:BO2 BO251:BO1048576 BO4:BO24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:BQ2 BQ251:BQ1048576 BQ4:BQ24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3:BR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1:BS2 BS251:BS1048576 BS4:BS249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3:BT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:BU2 BU251:BU1048576 BU4:BU249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:BW2 BW251:BW1048576 BW4:BW249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1:BY2 BY4:BY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3:BZ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100ml</vt:lpstr>
      <vt:lpstr>Stats</vt:lpstr>
      <vt:lpstr>10-100ml</vt:lpstr>
      <vt:lpstr>pump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2023-03-28T12:26:34Z</dcterms:created>
  <dcterms:modified xsi:type="dcterms:W3CDTF">2023-04-29T20:24:32Z</dcterms:modified>
</cp:coreProperties>
</file>